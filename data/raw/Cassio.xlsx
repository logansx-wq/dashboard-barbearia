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ogan\Downloads\"/>
    </mc:Choice>
  </mc:AlternateContent>
  <xr:revisionPtr revIDLastSave="0" documentId="13_ncr:1_{39CE54E9-670D-4361-B80A-337E71EEF3E1}" xr6:coauthVersionLast="47" xr6:coauthVersionMax="47" xr10:uidLastSave="{00000000-0000-0000-0000-000000000000}"/>
  <bookViews>
    <workbookView xWindow="19095" yWindow="0" windowWidth="19410" windowHeight="15585" activeTab="1" xr2:uid="{00000000-000D-0000-FFFF-FFFF00000000}"/>
  </bookViews>
  <sheets>
    <sheet name="Controle GEral" sheetId="1" r:id="rId1"/>
    <sheet name="Tela de dados" sheetId="2" r:id="rId2"/>
    <sheet name="Página9" sheetId="3" state="hidden" r:id="rId3"/>
    <sheet name="Cópia de Tela de dados" sheetId="4" state="hidden" r:id="rId4"/>
  </sheets>
  <definedNames>
    <definedName name="_xlnm._FilterDatabase" localSheetId="3" hidden="1">'Cópia de Tela de dados'!$A$1:$Z$1130</definedName>
    <definedName name="_xlnm._FilterDatabase" localSheetId="1" hidden="1">'Tela de dados'!$A$1:$Z$543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393" i="4" l="1"/>
  <c r="P1392" i="4"/>
  <c r="P1391" i="4"/>
  <c r="P1390" i="4"/>
  <c r="P1389" i="4"/>
  <c r="P1388" i="4"/>
  <c r="P1387" i="4"/>
  <c r="P1386" i="4"/>
  <c r="P1385" i="4"/>
  <c r="P1384" i="4"/>
  <c r="P1383" i="4"/>
  <c r="P1382" i="4"/>
  <c r="P1381" i="4"/>
  <c r="P1380" i="4"/>
  <c r="P1379" i="4"/>
  <c r="P1378" i="4"/>
  <c r="P1377" i="4"/>
  <c r="P1376" i="4"/>
  <c r="P1375" i="4"/>
  <c r="P1374" i="4"/>
  <c r="P1373" i="4"/>
  <c r="P1372" i="4"/>
  <c r="P1371" i="4"/>
  <c r="P1370" i="4"/>
  <c r="P1369" i="4"/>
  <c r="P1368" i="4"/>
  <c r="P1367" i="4"/>
  <c r="P1366" i="4"/>
  <c r="P1365" i="4"/>
  <c r="P1364" i="4"/>
  <c r="P1363" i="4"/>
  <c r="P1362" i="4"/>
  <c r="P1361" i="4"/>
  <c r="P1360" i="4"/>
  <c r="P1359" i="4"/>
  <c r="P1358" i="4"/>
  <c r="P1357" i="4"/>
  <c r="P1356" i="4"/>
  <c r="P1355" i="4"/>
  <c r="P1354" i="4"/>
  <c r="P1353" i="4"/>
  <c r="P1352" i="4"/>
  <c r="P1351" i="4"/>
  <c r="P1350" i="4"/>
  <c r="P1349" i="4"/>
  <c r="P1348" i="4"/>
  <c r="P1347" i="4"/>
  <c r="P1346" i="4"/>
  <c r="P1345" i="4"/>
  <c r="P1344" i="4"/>
  <c r="P1343" i="4"/>
  <c r="P1342" i="4"/>
  <c r="P1341" i="4"/>
  <c r="P1340" i="4"/>
  <c r="P1339" i="4"/>
  <c r="P1338" i="4"/>
  <c r="P1337" i="4"/>
  <c r="P1336" i="4"/>
  <c r="P1335" i="4"/>
  <c r="P1334" i="4"/>
  <c r="P1333" i="4"/>
  <c r="P1332" i="4"/>
  <c r="P1331" i="4"/>
  <c r="P1330" i="4"/>
  <c r="P1329" i="4"/>
  <c r="P1328" i="4"/>
  <c r="P1327" i="4"/>
  <c r="P1326" i="4"/>
  <c r="P1325" i="4"/>
  <c r="P1324" i="4"/>
  <c r="P1323" i="4"/>
  <c r="P1322" i="4"/>
  <c r="P1321" i="4"/>
  <c r="P1320" i="4"/>
  <c r="P1319" i="4"/>
  <c r="P1318" i="4"/>
  <c r="P1317" i="4"/>
  <c r="P1316" i="4"/>
  <c r="P1315" i="4"/>
  <c r="P1314" i="4"/>
  <c r="P1313" i="4"/>
  <c r="P1312" i="4"/>
  <c r="P1311" i="4"/>
  <c r="P1310" i="4"/>
  <c r="P1309" i="4"/>
  <c r="P1308" i="4"/>
  <c r="P1307" i="4"/>
  <c r="P1306" i="4"/>
  <c r="P1305" i="4"/>
  <c r="P1304" i="4"/>
  <c r="P1303" i="4"/>
  <c r="P1302" i="4"/>
  <c r="P1301" i="4"/>
  <c r="P1300" i="4"/>
  <c r="P1299" i="4"/>
  <c r="P1298" i="4"/>
  <c r="P1297" i="4"/>
  <c r="P1296" i="4"/>
  <c r="P1295" i="4"/>
  <c r="P1294" i="4"/>
  <c r="P1293" i="4"/>
  <c r="P1292" i="4"/>
  <c r="P1291" i="4"/>
  <c r="P1290" i="4"/>
  <c r="P1289" i="4"/>
  <c r="P1288" i="4"/>
  <c r="P1287" i="4"/>
  <c r="P1286" i="4"/>
  <c r="P1285" i="4"/>
  <c r="P1284" i="4"/>
  <c r="P1283" i="4"/>
  <c r="P1282" i="4"/>
  <c r="P1281" i="4"/>
  <c r="P1280" i="4"/>
  <c r="P1279" i="4"/>
  <c r="P1278" i="4"/>
  <c r="P1277" i="4"/>
  <c r="P1276" i="4"/>
  <c r="P1275" i="4"/>
  <c r="P1274" i="4"/>
  <c r="P1273" i="4"/>
  <c r="P1272" i="4"/>
  <c r="P1271" i="4"/>
  <c r="P1270" i="4"/>
  <c r="P1269" i="4"/>
  <c r="P1268" i="4"/>
  <c r="P1267" i="4"/>
  <c r="P1266" i="4"/>
  <c r="P1265" i="4"/>
  <c r="P1264" i="4"/>
  <c r="P1263" i="4"/>
  <c r="P1262" i="4"/>
  <c r="P1261" i="4"/>
  <c r="P1260" i="4"/>
  <c r="P1259" i="4"/>
  <c r="P1258" i="4"/>
  <c r="P1257" i="4"/>
  <c r="P1256" i="4"/>
  <c r="P1255" i="4"/>
  <c r="P1254" i="4"/>
  <c r="P1253" i="4"/>
  <c r="P1252" i="4"/>
  <c r="P1251" i="4"/>
  <c r="P1250" i="4"/>
  <c r="P1249" i="4"/>
  <c r="P1248" i="4"/>
  <c r="P1247" i="4"/>
  <c r="P1246" i="4"/>
  <c r="P1245" i="4"/>
  <c r="P1244" i="4"/>
  <c r="P1243" i="4"/>
  <c r="P1242" i="4"/>
  <c r="P1241" i="4"/>
  <c r="P1240" i="4"/>
  <c r="P1239" i="4"/>
  <c r="P1238" i="4"/>
  <c r="P1237" i="4"/>
  <c r="P1236" i="4"/>
  <c r="P1235" i="4"/>
  <c r="P1234" i="4"/>
  <c r="P1233" i="4"/>
  <c r="P1232" i="4"/>
  <c r="P1231" i="4"/>
  <c r="P1230" i="4"/>
  <c r="P1229" i="4"/>
  <c r="P1228" i="4"/>
  <c r="P1227" i="4"/>
  <c r="P1226" i="4"/>
  <c r="P1225" i="4"/>
  <c r="P1224" i="4"/>
  <c r="P1223" i="4"/>
  <c r="P1222" i="4"/>
  <c r="P1221" i="4"/>
  <c r="P1220" i="4"/>
  <c r="P1219" i="4"/>
  <c r="P1218" i="4"/>
  <c r="P1217" i="4"/>
  <c r="P1216" i="4"/>
  <c r="P1215" i="4"/>
  <c r="P1214" i="4"/>
  <c r="P1213" i="4"/>
  <c r="P1212" i="4"/>
  <c r="P1211" i="4"/>
  <c r="P1210" i="4"/>
  <c r="P1209" i="4"/>
  <c r="P1208" i="4"/>
  <c r="P1207" i="4"/>
  <c r="P1206" i="4"/>
  <c r="P1205" i="4"/>
  <c r="P1204" i="4"/>
  <c r="P1203" i="4"/>
  <c r="P1202" i="4"/>
  <c r="P1201" i="4"/>
  <c r="P1200" i="4"/>
  <c r="P1199" i="4"/>
  <c r="P1198" i="4"/>
  <c r="P1197" i="4"/>
  <c r="P1196" i="4"/>
  <c r="P1195" i="4"/>
  <c r="P1194" i="4"/>
  <c r="P1193" i="4"/>
  <c r="P1192" i="4"/>
  <c r="P1191" i="4"/>
  <c r="P1190" i="4"/>
  <c r="P1189" i="4"/>
  <c r="P1188" i="4"/>
  <c r="P1187" i="4"/>
  <c r="P1186" i="4"/>
  <c r="P1185" i="4"/>
  <c r="P1184" i="4"/>
  <c r="P1183" i="4"/>
  <c r="P1182" i="4"/>
  <c r="P1181" i="4"/>
  <c r="P1180" i="4"/>
  <c r="P1179" i="4"/>
  <c r="P1178" i="4"/>
  <c r="P1177" i="4"/>
  <c r="P1176" i="4"/>
  <c r="P1175" i="4"/>
  <c r="P1174" i="4"/>
  <c r="P1173" i="4"/>
  <c r="P1172" i="4"/>
  <c r="P1171" i="4"/>
  <c r="P1170" i="4"/>
  <c r="P1169" i="4"/>
  <c r="P1168" i="4"/>
  <c r="P1167" i="4"/>
  <c r="P1166" i="4"/>
  <c r="P1165" i="4"/>
  <c r="P1164" i="4"/>
  <c r="P1163" i="4"/>
  <c r="P1162" i="4"/>
  <c r="P1161" i="4"/>
  <c r="P1160" i="4"/>
  <c r="P1159" i="4"/>
  <c r="P1158" i="4"/>
  <c r="P1157" i="4"/>
  <c r="P1156" i="4"/>
  <c r="P1155" i="4"/>
  <c r="P1154" i="4"/>
  <c r="P1153" i="4"/>
  <c r="P1152" i="4"/>
  <c r="P1151" i="4"/>
  <c r="P1150" i="4"/>
  <c r="P1149" i="4"/>
  <c r="P1148" i="4"/>
  <c r="P1147" i="4"/>
  <c r="P1146" i="4"/>
  <c r="P1145" i="4"/>
  <c r="P1144" i="4"/>
  <c r="P1143" i="4"/>
  <c r="P1142" i="4"/>
  <c r="P1141" i="4"/>
  <c r="P1140" i="4"/>
  <c r="P1139" i="4"/>
  <c r="P1138" i="4"/>
  <c r="P1137" i="4"/>
  <c r="P1136" i="4"/>
  <c r="P1135" i="4"/>
  <c r="P1134" i="4"/>
  <c r="P1133" i="4"/>
  <c r="P1132" i="4"/>
  <c r="P1130" i="4"/>
  <c r="P1129" i="4"/>
  <c r="P1128" i="4"/>
  <c r="P1127" i="4"/>
  <c r="P1126" i="4"/>
  <c r="P1125" i="4"/>
  <c r="P1124" i="4"/>
  <c r="P1123" i="4"/>
  <c r="P1122" i="4"/>
  <c r="P1121" i="4"/>
  <c r="P1120" i="4"/>
  <c r="P1119" i="4"/>
  <c r="P1118" i="4"/>
  <c r="P1117" i="4"/>
  <c r="P1116" i="4"/>
  <c r="P1115" i="4"/>
  <c r="P1114" i="4"/>
  <c r="P1113" i="4"/>
  <c r="P1112" i="4"/>
  <c r="P1111" i="4"/>
  <c r="P1110" i="4"/>
  <c r="P1109" i="4"/>
  <c r="P1108" i="4"/>
  <c r="P1107" i="4"/>
  <c r="P1106" i="4"/>
  <c r="P1105" i="4"/>
  <c r="P1104" i="4"/>
  <c r="P1103" i="4"/>
  <c r="P1102" i="4"/>
  <c r="P1101" i="4"/>
  <c r="P1100" i="4"/>
  <c r="P1099" i="4"/>
  <c r="P1098" i="4"/>
  <c r="P1097" i="4"/>
  <c r="P1096" i="4"/>
  <c r="P1095" i="4"/>
  <c r="P1094" i="4"/>
  <c r="P1093" i="4"/>
  <c r="P1092" i="4"/>
  <c r="P1091" i="4"/>
  <c r="P1090" i="4"/>
  <c r="P1089" i="4"/>
  <c r="P1088" i="4"/>
  <c r="P1087" i="4"/>
  <c r="P1086" i="4"/>
  <c r="P1085" i="4"/>
  <c r="P1084" i="4"/>
  <c r="P1083" i="4"/>
  <c r="P1082" i="4"/>
  <c r="P1081" i="4"/>
  <c r="P1080" i="4"/>
  <c r="P1079" i="4"/>
  <c r="P1078" i="4"/>
  <c r="P1077" i="4"/>
  <c r="P1076" i="4"/>
  <c r="P1075" i="4"/>
  <c r="P1074" i="4"/>
  <c r="P1073" i="4"/>
  <c r="P1072" i="4"/>
  <c r="P1071" i="4"/>
  <c r="P1070" i="4"/>
  <c r="P1069" i="4"/>
  <c r="P1068" i="4"/>
  <c r="P1067" i="4"/>
  <c r="P1066" i="4"/>
  <c r="P1065" i="4"/>
  <c r="P1064" i="4"/>
  <c r="P1063" i="4"/>
  <c r="P1062" i="4"/>
  <c r="P1061" i="4"/>
  <c r="P1060" i="4"/>
  <c r="P1059" i="4"/>
  <c r="P1058" i="4"/>
  <c r="P1057" i="4"/>
  <c r="P1056" i="4"/>
  <c r="P1055" i="4"/>
  <c r="P1054" i="4"/>
  <c r="P1053" i="4"/>
  <c r="P1052" i="4"/>
  <c r="P1051" i="4"/>
  <c r="P1050" i="4"/>
  <c r="P1049" i="4"/>
  <c r="P1048" i="4"/>
  <c r="P1047" i="4"/>
  <c r="P1046" i="4"/>
  <c r="P1045" i="4"/>
  <c r="P1044" i="4"/>
  <c r="P1043" i="4"/>
  <c r="P1042" i="4"/>
  <c r="P1041" i="4"/>
  <c r="P1040" i="4"/>
  <c r="P1039" i="4"/>
  <c r="P1038" i="4"/>
  <c r="P1037" i="4"/>
  <c r="P1036" i="4"/>
  <c r="P1035" i="4"/>
  <c r="P1034" i="4"/>
  <c r="P1033" i="4"/>
  <c r="P1032" i="4"/>
  <c r="P1031" i="4"/>
  <c r="P1030" i="4"/>
  <c r="P1029" i="4"/>
  <c r="P1028" i="4"/>
  <c r="P1027" i="4"/>
  <c r="P1026" i="4"/>
  <c r="P1025" i="4"/>
  <c r="P1024" i="4"/>
  <c r="P1023" i="4"/>
  <c r="P1022" i="4"/>
  <c r="P1021" i="4"/>
  <c r="P1020" i="4"/>
  <c r="P1019" i="4"/>
  <c r="P1018" i="4"/>
  <c r="P1017" i="4"/>
  <c r="P1016" i="4"/>
  <c r="P1015" i="4"/>
  <c r="P1014" i="4"/>
  <c r="P1013" i="4"/>
  <c r="P1012" i="4"/>
  <c r="P1011" i="4"/>
  <c r="P1010" i="4"/>
  <c r="P1009" i="4"/>
  <c r="P1008" i="4"/>
  <c r="P1007" i="4"/>
  <c r="P1006" i="4"/>
  <c r="P1005" i="4"/>
  <c r="P1004" i="4"/>
  <c r="P1003" i="4"/>
  <c r="P1002" i="4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Q975" i="4"/>
  <c r="P975" i="4"/>
  <c r="Q974" i="4"/>
  <c r="P974" i="4"/>
  <c r="Q973" i="4"/>
  <c r="P973" i="4"/>
  <c r="Q972" i="4"/>
  <c r="P972" i="4"/>
  <c r="Q971" i="4"/>
  <c r="P971" i="4"/>
  <c r="Q970" i="4"/>
  <c r="P970" i="4"/>
  <c r="Q969" i="4"/>
  <c r="P969" i="4"/>
  <c r="Q968" i="4"/>
  <c r="P968" i="4"/>
  <c r="Q967" i="4"/>
  <c r="P967" i="4"/>
  <c r="Q966" i="4"/>
  <c r="P966" i="4"/>
  <c r="Q965" i="4"/>
  <c r="P965" i="4"/>
  <c r="Q964" i="4"/>
  <c r="P964" i="4"/>
  <c r="Q963" i="4"/>
  <c r="P963" i="4"/>
  <c r="Q962" i="4"/>
  <c r="P962" i="4"/>
  <c r="Q961" i="4"/>
  <c r="P961" i="4"/>
  <c r="Q960" i="4"/>
  <c r="P960" i="4"/>
  <c r="Q959" i="4"/>
  <c r="P959" i="4"/>
  <c r="Q958" i="4"/>
  <c r="P958" i="4"/>
  <c r="Q957" i="4"/>
  <c r="P957" i="4"/>
  <c r="Q956" i="4"/>
  <c r="P956" i="4"/>
  <c r="Q955" i="4"/>
  <c r="P955" i="4"/>
  <c r="Q954" i="4"/>
  <c r="P954" i="4"/>
  <c r="Q953" i="4"/>
  <c r="P953" i="4"/>
  <c r="Q952" i="4"/>
  <c r="P952" i="4"/>
  <c r="Q951" i="4"/>
  <c r="P951" i="4"/>
  <c r="Q950" i="4"/>
  <c r="P950" i="4"/>
  <c r="Q949" i="4"/>
  <c r="P949" i="4"/>
  <c r="Q948" i="4"/>
  <c r="P948" i="4"/>
  <c r="Q947" i="4"/>
  <c r="P947" i="4"/>
  <c r="Q946" i="4"/>
  <c r="P946" i="4"/>
  <c r="Q945" i="4"/>
  <c r="P945" i="4"/>
  <c r="Q944" i="4"/>
  <c r="P944" i="4"/>
  <c r="Q943" i="4"/>
  <c r="P943" i="4"/>
  <c r="Q942" i="4"/>
  <c r="P942" i="4"/>
  <c r="Q941" i="4"/>
  <c r="P941" i="4"/>
  <c r="Q940" i="4"/>
  <c r="P940" i="4"/>
  <c r="Q939" i="4"/>
  <c r="P939" i="4"/>
  <c r="Q938" i="4"/>
  <c r="P938" i="4"/>
  <c r="Q937" i="4"/>
  <c r="P937" i="4"/>
  <c r="Q936" i="4"/>
  <c r="P936" i="4"/>
  <c r="Q935" i="4"/>
  <c r="P935" i="4"/>
  <c r="Q934" i="4"/>
  <c r="P934" i="4"/>
  <c r="Q933" i="4"/>
  <c r="P933" i="4"/>
  <c r="Q932" i="4"/>
  <c r="P932" i="4"/>
  <c r="Q931" i="4"/>
  <c r="P931" i="4"/>
  <c r="Q930" i="4"/>
  <c r="P930" i="4"/>
  <c r="Q929" i="4"/>
  <c r="P929" i="4"/>
  <c r="Q928" i="4"/>
  <c r="P928" i="4"/>
  <c r="Q927" i="4"/>
  <c r="P927" i="4"/>
  <c r="Q926" i="4"/>
  <c r="P926" i="4"/>
  <c r="Q925" i="4"/>
  <c r="P925" i="4"/>
  <c r="Q924" i="4"/>
  <c r="P924" i="4"/>
  <c r="Q923" i="4"/>
  <c r="P923" i="4"/>
  <c r="Q922" i="4"/>
  <c r="P922" i="4"/>
  <c r="Q921" i="4"/>
  <c r="P921" i="4"/>
  <c r="Q920" i="4"/>
  <c r="P920" i="4"/>
  <c r="Q919" i="4"/>
  <c r="P919" i="4"/>
  <c r="Q918" i="4"/>
  <c r="P918" i="4"/>
  <c r="Q917" i="4"/>
  <c r="P917" i="4"/>
  <c r="Q916" i="4"/>
  <c r="P916" i="4"/>
  <c r="Q915" i="4"/>
  <c r="P915" i="4"/>
  <c r="Q914" i="4"/>
  <c r="P914" i="4"/>
  <c r="Q913" i="4"/>
  <c r="P913" i="4"/>
  <c r="Q912" i="4"/>
  <c r="P912" i="4"/>
  <c r="Q911" i="4"/>
  <c r="P911" i="4"/>
  <c r="Q910" i="4"/>
  <c r="P910" i="4"/>
  <c r="Q909" i="4"/>
  <c r="P909" i="4"/>
  <c r="Q908" i="4"/>
  <c r="P908" i="4"/>
  <c r="Q907" i="4"/>
  <c r="P907" i="4"/>
  <c r="Q906" i="4"/>
  <c r="P906" i="4"/>
  <c r="Q905" i="4"/>
  <c r="P905" i="4"/>
  <c r="Q904" i="4"/>
  <c r="P904" i="4"/>
  <c r="Q903" i="4"/>
  <c r="P903" i="4"/>
  <c r="Q902" i="4"/>
  <c r="P902" i="4"/>
  <c r="Q901" i="4"/>
  <c r="P901" i="4"/>
  <c r="Q900" i="4"/>
  <c r="P900" i="4"/>
  <c r="Q899" i="4"/>
  <c r="P899" i="4"/>
  <c r="Q898" i="4"/>
  <c r="P898" i="4"/>
  <c r="Q897" i="4"/>
  <c r="P897" i="4"/>
  <c r="Q896" i="4"/>
  <c r="P896" i="4"/>
  <c r="Q895" i="4"/>
  <c r="P895" i="4"/>
  <c r="Q894" i="4"/>
  <c r="P894" i="4"/>
  <c r="Q893" i="4"/>
  <c r="P893" i="4"/>
  <c r="Q892" i="4"/>
  <c r="P892" i="4"/>
  <c r="Q891" i="4"/>
  <c r="P891" i="4"/>
  <c r="Q890" i="4"/>
  <c r="P890" i="4"/>
  <c r="Q889" i="4"/>
  <c r="P889" i="4"/>
  <c r="Q888" i="4"/>
  <c r="P888" i="4"/>
  <c r="Q887" i="4"/>
  <c r="P887" i="4"/>
  <c r="Q886" i="4"/>
  <c r="P886" i="4"/>
  <c r="Q885" i="4"/>
  <c r="P885" i="4"/>
  <c r="Q884" i="4"/>
  <c r="P884" i="4"/>
  <c r="Q883" i="4"/>
  <c r="P883" i="4"/>
  <c r="Q882" i="4"/>
  <c r="P882" i="4"/>
  <c r="Q881" i="4"/>
  <c r="P881" i="4"/>
  <c r="Q880" i="4"/>
  <c r="P880" i="4"/>
  <c r="Q879" i="4"/>
  <c r="P879" i="4"/>
  <c r="Q878" i="4"/>
  <c r="P878" i="4"/>
  <c r="Q877" i="4"/>
  <c r="P877" i="4"/>
  <c r="Q876" i="4"/>
  <c r="P876" i="4"/>
  <c r="Q875" i="4"/>
  <c r="P875" i="4"/>
  <c r="Q874" i="4"/>
  <c r="P874" i="4"/>
  <c r="Q873" i="4"/>
  <c r="P873" i="4"/>
  <c r="Q872" i="4"/>
  <c r="P872" i="4"/>
  <c r="Q871" i="4"/>
  <c r="P871" i="4"/>
  <c r="Q870" i="4"/>
  <c r="P870" i="4"/>
  <c r="Q869" i="4"/>
  <c r="P869" i="4"/>
  <c r="Q868" i="4"/>
  <c r="P868" i="4"/>
  <c r="Q867" i="4"/>
  <c r="P867" i="4"/>
  <c r="Q866" i="4"/>
  <c r="P866" i="4"/>
  <c r="Q865" i="4"/>
  <c r="P865" i="4"/>
  <c r="Q864" i="4"/>
  <c r="P864" i="4"/>
  <c r="Q863" i="4"/>
  <c r="P863" i="4"/>
  <c r="Q862" i="4"/>
  <c r="P862" i="4"/>
  <c r="Q861" i="4"/>
  <c r="P861" i="4"/>
  <c r="Q860" i="4"/>
  <c r="P860" i="4"/>
  <c r="Q859" i="4"/>
  <c r="P859" i="4"/>
  <c r="Q858" i="4"/>
  <c r="P858" i="4"/>
  <c r="Q857" i="4"/>
  <c r="P857" i="4"/>
  <c r="Q856" i="4"/>
  <c r="P856" i="4"/>
  <c r="Q855" i="4"/>
  <c r="P855" i="4"/>
  <c r="Q854" i="4"/>
  <c r="P854" i="4"/>
  <c r="Q853" i="4"/>
  <c r="P853" i="4"/>
  <c r="Q852" i="4"/>
  <c r="P852" i="4"/>
  <c r="Q851" i="4"/>
  <c r="P851" i="4"/>
  <c r="Q850" i="4"/>
  <c r="P850" i="4"/>
  <c r="Q849" i="4"/>
  <c r="P849" i="4"/>
  <c r="Q848" i="4"/>
  <c r="P848" i="4"/>
  <c r="Q847" i="4"/>
  <c r="P847" i="4"/>
  <c r="Q846" i="4"/>
  <c r="P846" i="4"/>
  <c r="Q845" i="4"/>
  <c r="P845" i="4"/>
  <c r="Q844" i="4"/>
  <c r="P844" i="4"/>
  <c r="Q843" i="4"/>
  <c r="P843" i="4"/>
  <c r="Q842" i="4"/>
  <c r="P842" i="4"/>
  <c r="Q841" i="4"/>
  <c r="P841" i="4"/>
  <c r="Q840" i="4"/>
  <c r="P840" i="4"/>
  <c r="Q839" i="4"/>
  <c r="P839" i="4"/>
  <c r="Q838" i="4"/>
  <c r="P838" i="4"/>
  <c r="Q837" i="4"/>
  <c r="P837" i="4"/>
  <c r="Q836" i="4"/>
  <c r="P836" i="4"/>
  <c r="Q835" i="4"/>
  <c r="P835" i="4"/>
  <c r="Q834" i="4"/>
  <c r="P834" i="4"/>
  <c r="Q833" i="4"/>
  <c r="P833" i="4"/>
  <c r="Q832" i="4"/>
  <c r="P832" i="4"/>
  <c r="Q831" i="4"/>
  <c r="P831" i="4"/>
  <c r="Q830" i="4"/>
  <c r="P830" i="4"/>
  <c r="Q829" i="4"/>
  <c r="P829" i="4"/>
  <c r="Q828" i="4"/>
  <c r="P828" i="4"/>
  <c r="Q827" i="4"/>
  <c r="P827" i="4"/>
  <c r="Q826" i="4"/>
  <c r="P826" i="4"/>
  <c r="Q825" i="4"/>
  <c r="P825" i="4"/>
  <c r="Q824" i="4"/>
  <c r="P824" i="4"/>
  <c r="Q823" i="4"/>
  <c r="P823" i="4"/>
  <c r="Q822" i="4"/>
  <c r="P822" i="4"/>
  <c r="Q821" i="4"/>
  <c r="P821" i="4"/>
  <c r="Q820" i="4"/>
  <c r="P820" i="4"/>
  <c r="Q819" i="4"/>
  <c r="P819" i="4"/>
  <c r="Q818" i="4"/>
  <c r="P818" i="4"/>
  <c r="Q817" i="4"/>
  <c r="P817" i="4"/>
  <c r="Q816" i="4"/>
  <c r="P816" i="4"/>
  <c r="Q815" i="4"/>
  <c r="P815" i="4"/>
  <c r="Q814" i="4"/>
  <c r="P814" i="4"/>
  <c r="Q813" i="4"/>
  <c r="P813" i="4"/>
  <c r="Q812" i="4"/>
  <c r="P812" i="4"/>
  <c r="Q811" i="4"/>
  <c r="P811" i="4"/>
  <c r="Q810" i="4"/>
  <c r="P810" i="4"/>
  <c r="Q809" i="4"/>
  <c r="P809" i="4"/>
  <c r="Q808" i="4"/>
  <c r="P808" i="4"/>
  <c r="Q807" i="4"/>
  <c r="P807" i="4"/>
  <c r="Q806" i="4"/>
  <c r="P806" i="4"/>
  <c r="Q805" i="4"/>
  <c r="P805" i="4"/>
  <c r="Q804" i="4"/>
  <c r="P804" i="4"/>
  <c r="Q803" i="4"/>
  <c r="P803" i="4"/>
  <c r="Q802" i="4"/>
  <c r="P802" i="4"/>
  <c r="Q801" i="4"/>
  <c r="P801" i="4"/>
  <c r="Q800" i="4"/>
  <c r="P800" i="4"/>
  <c r="Q799" i="4"/>
  <c r="P799" i="4"/>
  <c r="Q798" i="4"/>
  <c r="P798" i="4"/>
  <c r="Q797" i="4"/>
  <c r="P797" i="4"/>
  <c r="Q796" i="4"/>
  <c r="P796" i="4"/>
  <c r="Q795" i="4"/>
  <c r="P795" i="4"/>
  <c r="Q794" i="4"/>
  <c r="P794" i="4"/>
  <c r="Q793" i="4"/>
  <c r="P793" i="4"/>
  <c r="Q792" i="4"/>
  <c r="P792" i="4"/>
  <c r="Q791" i="4"/>
  <c r="P791" i="4"/>
  <c r="Q790" i="4"/>
  <c r="P790" i="4"/>
  <c r="Q789" i="4"/>
  <c r="P789" i="4"/>
  <c r="Q788" i="4"/>
  <c r="P788" i="4"/>
  <c r="Q787" i="4"/>
  <c r="P787" i="4"/>
  <c r="Q786" i="4"/>
  <c r="P786" i="4"/>
  <c r="Q785" i="4"/>
  <c r="P785" i="4"/>
  <c r="Q784" i="4"/>
  <c r="P784" i="4"/>
  <c r="Q783" i="4"/>
  <c r="P783" i="4"/>
  <c r="Q782" i="4"/>
  <c r="P782" i="4"/>
  <c r="Q781" i="4"/>
  <c r="P781" i="4"/>
  <c r="Q780" i="4"/>
  <c r="P780" i="4"/>
  <c r="Q779" i="4"/>
  <c r="P779" i="4"/>
  <c r="Q778" i="4"/>
  <c r="P778" i="4"/>
  <c r="Q777" i="4"/>
  <c r="P777" i="4"/>
  <c r="Q776" i="4"/>
  <c r="P776" i="4"/>
  <c r="Q775" i="4"/>
  <c r="P775" i="4"/>
  <c r="Q774" i="4"/>
  <c r="P774" i="4"/>
  <c r="Q773" i="4"/>
  <c r="P773" i="4"/>
  <c r="Q772" i="4"/>
  <c r="P772" i="4"/>
  <c r="Q771" i="4"/>
  <c r="P771" i="4"/>
  <c r="Q770" i="4"/>
  <c r="P770" i="4"/>
  <c r="Q769" i="4"/>
  <c r="P769" i="4"/>
  <c r="Q768" i="4"/>
  <c r="P768" i="4"/>
  <c r="Q767" i="4"/>
  <c r="P767" i="4"/>
  <c r="Q766" i="4"/>
  <c r="P766" i="4"/>
  <c r="Q765" i="4"/>
  <c r="P765" i="4"/>
  <c r="Q764" i="4"/>
  <c r="P764" i="4"/>
  <c r="Q763" i="4"/>
  <c r="P763" i="4"/>
  <c r="Q762" i="4"/>
  <c r="P762" i="4"/>
  <c r="Q761" i="4"/>
  <c r="P761" i="4"/>
  <c r="Q760" i="4"/>
  <c r="P760" i="4"/>
  <c r="Q759" i="4"/>
  <c r="P759" i="4"/>
  <c r="Q758" i="4"/>
  <c r="P758" i="4"/>
  <c r="Q757" i="4"/>
  <c r="P757" i="4"/>
  <c r="Q756" i="4"/>
  <c r="P756" i="4"/>
  <c r="Q755" i="4"/>
  <c r="P755" i="4"/>
  <c r="Q754" i="4"/>
  <c r="P754" i="4"/>
  <c r="Q753" i="4"/>
  <c r="P753" i="4"/>
  <c r="Q752" i="4"/>
  <c r="P752" i="4"/>
  <c r="Q751" i="4"/>
  <c r="P751" i="4"/>
  <c r="Q750" i="4"/>
  <c r="P750" i="4"/>
  <c r="Q749" i="4"/>
  <c r="P749" i="4"/>
  <c r="Q748" i="4"/>
  <c r="P748" i="4"/>
  <c r="Q747" i="4"/>
  <c r="P747" i="4"/>
  <c r="Q746" i="4"/>
  <c r="P746" i="4"/>
  <c r="Q745" i="4"/>
  <c r="P745" i="4"/>
  <c r="Q744" i="4"/>
  <c r="P744" i="4"/>
  <c r="Q743" i="4"/>
  <c r="P743" i="4"/>
  <c r="Q742" i="4"/>
  <c r="P742" i="4"/>
  <c r="Q741" i="4"/>
  <c r="P741" i="4"/>
  <c r="Q740" i="4"/>
  <c r="P740" i="4"/>
  <c r="Q739" i="4"/>
  <c r="P739" i="4"/>
  <c r="Q738" i="4"/>
  <c r="P738" i="4"/>
  <c r="Q737" i="4"/>
  <c r="P737" i="4"/>
  <c r="Q736" i="4"/>
  <c r="P736" i="4"/>
  <c r="Q735" i="4"/>
  <c r="P735" i="4"/>
  <c r="Q734" i="4"/>
  <c r="P734" i="4"/>
  <c r="Q733" i="4"/>
  <c r="P733" i="4"/>
  <c r="Q732" i="4"/>
  <c r="P732" i="4"/>
  <c r="Q731" i="4"/>
  <c r="P731" i="4"/>
  <c r="Q730" i="4"/>
  <c r="P730" i="4"/>
  <c r="Q729" i="4"/>
  <c r="P729" i="4"/>
  <c r="Q728" i="4"/>
  <c r="P728" i="4"/>
  <c r="Q727" i="4"/>
  <c r="P727" i="4"/>
  <c r="Q726" i="4"/>
  <c r="P726" i="4"/>
  <c r="Q725" i="4"/>
  <c r="P725" i="4"/>
  <c r="Q724" i="4"/>
  <c r="P724" i="4"/>
  <c r="Q723" i="4"/>
  <c r="P723" i="4"/>
  <c r="Q722" i="4"/>
  <c r="P722" i="4"/>
  <c r="Q721" i="4"/>
  <c r="P721" i="4"/>
  <c r="Q720" i="4"/>
  <c r="P720" i="4"/>
  <c r="Q719" i="4"/>
  <c r="P719" i="4"/>
  <c r="Q718" i="4"/>
  <c r="P718" i="4"/>
  <c r="Q717" i="4"/>
  <c r="P717" i="4"/>
  <c r="Q716" i="4"/>
  <c r="P716" i="4"/>
  <c r="Q715" i="4"/>
  <c r="P715" i="4"/>
  <c r="Q714" i="4"/>
  <c r="P714" i="4"/>
  <c r="Q713" i="4"/>
  <c r="P713" i="4"/>
  <c r="Q712" i="4"/>
  <c r="P712" i="4"/>
  <c r="Q711" i="4"/>
  <c r="P711" i="4"/>
  <c r="Q710" i="4"/>
  <c r="P710" i="4"/>
  <c r="Q709" i="4"/>
  <c r="P709" i="4"/>
  <c r="Q708" i="4"/>
  <c r="P708" i="4"/>
  <c r="Q707" i="4"/>
  <c r="P707" i="4"/>
  <c r="Q706" i="4"/>
  <c r="P706" i="4"/>
  <c r="Q705" i="4"/>
  <c r="P705" i="4"/>
  <c r="Q704" i="4"/>
  <c r="P704" i="4"/>
  <c r="Q703" i="4"/>
  <c r="P703" i="4"/>
  <c r="Q702" i="4"/>
  <c r="P702" i="4"/>
  <c r="Q701" i="4"/>
  <c r="P701" i="4"/>
  <c r="Q700" i="4"/>
  <c r="P700" i="4"/>
  <c r="Q699" i="4"/>
  <c r="P699" i="4"/>
  <c r="Q698" i="4"/>
  <c r="P698" i="4"/>
  <c r="Q697" i="4"/>
  <c r="P697" i="4"/>
  <c r="Q696" i="4"/>
  <c r="P696" i="4"/>
  <c r="Q695" i="4"/>
  <c r="P695" i="4"/>
  <c r="Q694" i="4"/>
  <c r="P694" i="4"/>
  <c r="Q693" i="4"/>
  <c r="P693" i="4"/>
  <c r="Q692" i="4"/>
  <c r="P692" i="4"/>
  <c r="Q691" i="4"/>
  <c r="P691" i="4"/>
  <c r="Q690" i="4"/>
  <c r="P690" i="4"/>
  <c r="Q689" i="4"/>
  <c r="P689" i="4"/>
  <c r="Q688" i="4"/>
  <c r="P688" i="4"/>
  <c r="Q687" i="4"/>
  <c r="P687" i="4"/>
  <c r="Q686" i="4"/>
  <c r="P686" i="4"/>
  <c r="Q685" i="4"/>
  <c r="P685" i="4"/>
  <c r="Q684" i="4"/>
  <c r="P684" i="4"/>
  <c r="Q683" i="4"/>
  <c r="P683" i="4"/>
  <c r="Q682" i="4"/>
  <c r="P682" i="4"/>
  <c r="Q681" i="4"/>
  <c r="P681" i="4"/>
  <c r="Q680" i="4"/>
  <c r="P680" i="4"/>
  <c r="Q679" i="4"/>
  <c r="P679" i="4"/>
  <c r="Q678" i="4"/>
  <c r="P678" i="4"/>
  <c r="Q677" i="4"/>
  <c r="P677" i="4"/>
  <c r="Q676" i="4"/>
  <c r="P676" i="4"/>
  <c r="Q675" i="4"/>
  <c r="P675" i="4"/>
  <c r="Q674" i="4"/>
  <c r="P674" i="4"/>
  <c r="Q673" i="4"/>
  <c r="P673" i="4"/>
  <c r="Q672" i="4"/>
  <c r="P672" i="4"/>
  <c r="Q671" i="4"/>
  <c r="P671" i="4"/>
  <c r="Q670" i="4"/>
  <c r="P670" i="4"/>
  <c r="Q669" i="4"/>
  <c r="P669" i="4"/>
  <c r="Q668" i="4"/>
  <c r="P668" i="4"/>
  <c r="Q667" i="4"/>
  <c r="P667" i="4"/>
  <c r="Q666" i="4"/>
  <c r="P666" i="4"/>
  <c r="Q665" i="4"/>
  <c r="P665" i="4"/>
  <c r="Q664" i="4"/>
  <c r="P664" i="4"/>
  <c r="Q663" i="4"/>
  <c r="P663" i="4"/>
  <c r="Q662" i="4"/>
  <c r="P662" i="4"/>
  <c r="Q661" i="4"/>
  <c r="P661" i="4"/>
  <c r="Q660" i="4"/>
  <c r="P660" i="4"/>
  <c r="Q659" i="4"/>
  <c r="P659" i="4"/>
  <c r="Q658" i="4"/>
  <c r="P658" i="4"/>
  <c r="Q657" i="4"/>
  <c r="P657" i="4"/>
  <c r="Q656" i="4"/>
  <c r="P656" i="4"/>
  <c r="Q655" i="4"/>
  <c r="P655" i="4"/>
  <c r="Q654" i="4"/>
  <c r="P654" i="4"/>
  <c r="Q653" i="4"/>
  <c r="P653" i="4"/>
  <c r="Q652" i="4"/>
  <c r="P652" i="4"/>
  <c r="Q651" i="4"/>
  <c r="P651" i="4"/>
  <c r="Q650" i="4"/>
  <c r="P650" i="4"/>
  <c r="Q649" i="4"/>
  <c r="P649" i="4"/>
  <c r="Q648" i="4"/>
  <c r="P648" i="4"/>
  <c r="Q647" i="4"/>
  <c r="P647" i="4"/>
  <c r="Q646" i="4"/>
  <c r="P646" i="4"/>
  <c r="Q645" i="4"/>
  <c r="P645" i="4"/>
  <c r="Q644" i="4"/>
  <c r="P644" i="4"/>
  <c r="Q643" i="4"/>
  <c r="P643" i="4"/>
  <c r="Q642" i="4"/>
  <c r="P642" i="4"/>
  <c r="Q641" i="4"/>
  <c r="P641" i="4"/>
  <c r="Q640" i="4"/>
  <c r="P640" i="4"/>
  <c r="Q639" i="4"/>
  <c r="P639" i="4"/>
  <c r="Q638" i="4"/>
  <c r="P638" i="4"/>
  <c r="Q637" i="4"/>
  <c r="P637" i="4"/>
  <c r="Q636" i="4"/>
  <c r="P636" i="4"/>
  <c r="Q635" i="4"/>
  <c r="P635" i="4"/>
  <c r="Q634" i="4"/>
  <c r="P634" i="4"/>
  <c r="Q633" i="4"/>
  <c r="P633" i="4"/>
  <c r="Q632" i="4"/>
  <c r="P632" i="4"/>
  <c r="Q631" i="4"/>
  <c r="P631" i="4"/>
  <c r="Q630" i="4"/>
  <c r="P630" i="4"/>
  <c r="Q629" i="4"/>
  <c r="P629" i="4"/>
  <c r="Q628" i="4"/>
  <c r="P628" i="4"/>
  <c r="Q627" i="4"/>
  <c r="P627" i="4"/>
  <c r="Q626" i="4"/>
  <c r="P626" i="4"/>
  <c r="Q625" i="4"/>
  <c r="P625" i="4"/>
  <c r="Q624" i="4"/>
  <c r="P624" i="4"/>
  <c r="Q623" i="4"/>
  <c r="P623" i="4"/>
  <c r="Q622" i="4"/>
  <c r="P622" i="4"/>
  <c r="Q621" i="4"/>
  <c r="P621" i="4"/>
  <c r="Q620" i="4"/>
  <c r="P620" i="4"/>
  <c r="Q619" i="4"/>
  <c r="P619" i="4"/>
  <c r="Q618" i="4"/>
  <c r="P618" i="4"/>
  <c r="Q617" i="4"/>
  <c r="P617" i="4"/>
  <c r="Q616" i="4"/>
  <c r="P616" i="4"/>
  <c r="Q615" i="4"/>
  <c r="P615" i="4"/>
  <c r="Q614" i="4"/>
  <c r="P614" i="4"/>
  <c r="Q613" i="4"/>
  <c r="P613" i="4"/>
  <c r="Q612" i="4"/>
  <c r="P612" i="4"/>
  <c r="Q611" i="4"/>
  <c r="P611" i="4"/>
  <c r="Q610" i="4"/>
  <c r="P610" i="4"/>
  <c r="Q609" i="4"/>
  <c r="P609" i="4"/>
  <c r="Q608" i="4"/>
  <c r="P608" i="4"/>
  <c r="Q607" i="4"/>
  <c r="P607" i="4"/>
  <c r="Q606" i="4"/>
  <c r="P606" i="4"/>
  <c r="Q605" i="4"/>
  <c r="P605" i="4"/>
  <c r="Q604" i="4"/>
  <c r="P604" i="4"/>
  <c r="Q603" i="4"/>
  <c r="P603" i="4"/>
  <c r="Q602" i="4"/>
  <c r="P602" i="4"/>
  <c r="Q601" i="4"/>
  <c r="P601" i="4"/>
  <c r="Q600" i="4"/>
  <c r="P600" i="4"/>
  <c r="Q599" i="4"/>
  <c r="P599" i="4"/>
  <c r="Q598" i="4"/>
  <c r="P598" i="4"/>
  <c r="Q597" i="4"/>
  <c r="P597" i="4"/>
  <c r="Q596" i="4"/>
  <c r="P596" i="4"/>
  <c r="Q595" i="4"/>
  <c r="P595" i="4"/>
  <c r="Q594" i="4"/>
  <c r="P594" i="4"/>
  <c r="Q593" i="4"/>
  <c r="P593" i="4"/>
  <c r="Q592" i="4"/>
  <c r="P592" i="4"/>
  <c r="Q591" i="4"/>
  <c r="P591" i="4"/>
  <c r="Q590" i="4"/>
  <c r="P590" i="4"/>
  <c r="Q589" i="4"/>
  <c r="P589" i="4"/>
  <c r="Q588" i="4"/>
  <c r="P588" i="4"/>
  <c r="Q587" i="4"/>
  <c r="P587" i="4"/>
  <c r="Q586" i="4"/>
  <c r="P586" i="4"/>
  <c r="Q585" i="4"/>
  <c r="P585" i="4"/>
  <c r="Q584" i="4"/>
  <c r="P584" i="4"/>
  <c r="Q583" i="4"/>
  <c r="P583" i="4"/>
  <c r="Q582" i="4"/>
  <c r="P582" i="4"/>
  <c r="Q581" i="4"/>
  <c r="P581" i="4"/>
  <c r="Q580" i="4"/>
  <c r="P580" i="4"/>
  <c r="Q579" i="4"/>
  <c r="P579" i="4"/>
  <c r="Q578" i="4"/>
  <c r="P578" i="4"/>
  <c r="Q577" i="4"/>
  <c r="P577" i="4"/>
  <c r="Q576" i="4"/>
  <c r="P576" i="4"/>
  <c r="Q575" i="4"/>
  <c r="P575" i="4"/>
  <c r="Q574" i="4"/>
  <c r="P574" i="4"/>
  <c r="Q573" i="4"/>
  <c r="P573" i="4"/>
  <c r="Q572" i="4"/>
  <c r="P572" i="4"/>
  <c r="Q571" i="4"/>
  <c r="P571" i="4"/>
  <c r="Q570" i="4"/>
  <c r="P570" i="4"/>
  <c r="Q569" i="4"/>
  <c r="P569" i="4"/>
  <c r="Q568" i="4"/>
  <c r="P568" i="4"/>
  <c r="Q567" i="4"/>
  <c r="P567" i="4"/>
  <c r="Q566" i="4"/>
  <c r="P566" i="4"/>
  <c r="Q565" i="4"/>
  <c r="P565" i="4"/>
  <c r="Q564" i="4"/>
  <c r="P564" i="4"/>
  <c r="Q563" i="4"/>
  <c r="P563" i="4"/>
  <c r="Q562" i="4"/>
  <c r="P562" i="4"/>
  <c r="Q561" i="4"/>
  <c r="P561" i="4"/>
  <c r="Q560" i="4"/>
  <c r="P560" i="4"/>
  <c r="Q559" i="4"/>
  <c r="P559" i="4"/>
  <c r="Q558" i="4"/>
  <c r="P558" i="4"/>
  <c r="Q557" i="4"/>
  <c r="P557" i="4"/>
  <c r="Q556" i="4"/>
  <c r="P556" i="4"/>
  <c r="Q555" i="4"/>
  <c r="P555" i="4"/>
  <c r="Q554" i="4"/>
  <c r="P554" i="4"/>
  <c r="Q553" i="4"/>
  <c r="P553" i="4"/>
  <c r="Q552" i="4"/>
  <c r="P552" i="4"/>
  <c r="Q551" i="4"/>
  <c r="P551" i="4"/>
  <c r="Q550" i="4"/>
  <c r="P550" i="4"/>
  <c r="Q549" i="4"/>
  <c r="P549" i="4"/>
  <c r="Q548" i="4"/>
  <c r="P548" i="4"/>
  <c r="Q547" i="4"/>
  <c r="P547" i="4"/>
  <c r="Q546" i="4"/>
  <c r="P546" i="4"/>
  <c r="Q545" i="4"/>
  <c r="P545" i="4"/>
  <c r="Q544" i="4"/>
  <c r="P544" i="4"/>
  <c r="Q543" i="4"/>
  <c r="P543" i="4"/>
  <c r="Q542" i="4"/>
  <c r="P542" i="4"/>
  <c r="Q541" i="4"/>
  <c r="P541" i="4"/>
  <c r="Q540" i="4"/>
  <c r="P540" i="4"/>
  <c r="Q539" i="4"/>
  <c r="P539" i="4"/>
  <c r="Q538" i="4"/>
  <c r="P538" i="4"/>
  <c r="Q537" i="4"/>
  <c r="P537" i="4"/>
  <c r="Q536" i="4"/>
  <c r="P536" i="4"/>
  <c r="Q535" i="4"/>
  <c r="P535" i="4"/>
  <c r="Q534" i="4"/>
  <c r="P534" i="4"/>
  <c r="Q533" i="4"/>
  <c r="P533" i="4"/>
  <c r="Q532" i="4"/>
  <c r="P532" i="4"/>
  <c r="Q531" i="4"/>
  <c r="P531" i="4"/>
  <c r="Q530" i="4"/>
  <c r="P530" i="4"/>
  <c r="Q529" i="4"/>
  <c r="P529" i="4"/>
  <c r="Q528" i="4"/>
  <c r="P528" i="4"/>
  <c r="Q527" i="4"/>
  <c r="P527" i="4"/>
  <c r="Q526" i="4"/>
  <c r="P526" i="4"/>
  <c r="Q525" i="4"/>
  <c r="P525" i="4"/>
  <c r="Q524" i="4"/>
  <c r="P524" i="4"/>
  <c r="Q523" i="4"/>
  <c r="P523" i="4"/>
  <c r="Q522" i="4"/>
  <c r="P522" i="4"/>
  <c r="Q521" i="4"/>
  <c r="P521" i="4"/>
  <c r="Q520" i="4"/>
  <c r="P520" i="4"/>
  <c r="Q519" i="4"/>
  <c r="P519" i="4"/>
  <c r="Q518" i="4"/>
  <c r="P518" i="4"/>
  <c r="Q517" i="4"/>
  <c r="P517" i="4"/>
  <c r="S513" i="4"/>
  <c r="Q513" i="4"/>
  <c r="P513" i="4"/>
  <c r="J513" i="4"/>
  <c r="H513" i="4"/>
  <c r="S512" i="4"/>
  <c r="Q512" i="4"/>
  <c r="J512" i="4"/>
  <c r="P512" i="4" s="1"/>
  <c r="H512" i="4"/>
  <c r="Q511" i="4"/>
  <c r="J511" i="4"/>
  <c r="H511" i="4"/>
  <c r="P511" i="4" s="1"/>
  <c r="S510" i="4"/>
  <c r="Q510" i="4"/>
  <c r="J510" i="4"/>
  <c r="H510" i="4"/>
  <c r="S509" i="4"/>
  <c r="Q509" i="4"/>
  <c r="J509" i="4"/>
  <c r="H509" i="4"/>
  <c r="S508" i="4"/>
  <c r="Q508" i="4"/>
  <c r="J508" i="4"/>
  <c r="H508" i="4"/>
  <c r="P508" i="4" s="1"/>
  <c r="S507" i="4"/>
  <c r="Q507" i="4"/>
  <c r="J507" i="4"/>
  <c r="H507" i="4"/>
  <c r="P507" i="4" s="1"/>
  <c r="S506" i="4"/>
  <c r="Q506" i="4"/>
  <c r="J506" i="4"/>
  <c r="H506" i="4"/>
  <c r="P506" i="4" s="1"/>
  <c r="S505" i="4"/>
  <c r="Q505" i="4"/>
  <c r="J505" i="4"/>
  <c r="H505" i="4"/>
  <c r="P505" i="4" s="1"/>
  <c r="S504" i="4"/>
  <c r="Q504" i="4"/>
  <c r="J504" i="4"/>
  <c r="P504" i="4" s="1"/>
  <c r="H504" i="4"/>
  <c r="S503" i="4"/>
  <c r="Q503" i="4"/>
  <c r="P503" i="4"/>
  <c r="J503" i="4"/>
  <c r="H503" i="4"/>
  <c r="Q502" i="4"/>
  <c r="J502" i="4"/>
  <c r="P502" i="4" s="1"/>
  <c r="H502" i="4"/>
  <c r="S501" i="4"/>
  <c r="Q501" i="4"/>
  <c r="P501" i="4"/>
  <c r="J501" i="4"/>
  <c r="H501" i="4"/>
  <c r="S500" i="4"/>
  <c r="Q500" i="4"/>
  <c r="J500" i="4"/>
  <c r="H500" i="4"/>
  <c r="P500" i="4" s="1"/>
  <c r="S499" i="4"/>
  <c r="Q499" i="4"/>
  <c r="J499" i="4"/>
  <c r="H499" i="4"/>
  <c r="P499" i="4" s="1"/>
  <c r="Q498" i="4"/>
  <c r="J498" i="4"/>
  <c r="H498" i="4"/>
  <c r="P498" i="4" s="1"/>
  <c r="Q497" i="4"/>
  <c r="J497" i="4"/>
  <c r="P497" i="4" s="1"/>
  <c r="H497" i="4"/>
  <c r="Q496" i="4"/>
  <c r="J496" i="4"/>
  <c r="P496" i="4" s="1"/>
  <c r="H496" i="4"/>
  <c r="Q495" i="4"/>
  <c r="J495" i="4"/>
  <c r="H495" i="4"/>
  <c r="P495" i="4" s="1"/>
  <c r="Q494" i="4"/>
  <c r="J494" i="4"/>
  <c r="H494" i="4"/>
  <c r="P494" i="4" s="1"/>
  <c r="Q493" i="4"/>
  <c r="J493" i="4"/>
  <c r="P493" i="4" s="1"/>
  <c r="H493" i="4"/>
  <c r="Q492" i="4"/>
  <c r="J492" i="4"/>
  <c r="P492" i="4" s="1"/>
  <c r="H492" i="4"/>
  <c r="Q491" i="4"/>
  <c r="J491" i="4"/>
  <c r="H491" i="4"/>
  <c r="P491" i="4" s="1"/>
  <c r="Q490" i="4"/>
  <c r="J490" i="4"/>
  <c r="H490" i="4"/>
  <c r="P490" i="4" s="1"/>
  <c r="Q489" i="4"/>
  <c r="J489" i="4"/>
  <c r="P489" i="4" s="1"/>
  <c r="H489" i="4"/>
  <c r="Q488" i="4"/>
  <c r="P488" i="4"/>
  <c r="J488" i="4"/>
  <c r="H488" i="4"/>
  <c r="Q487" i="4"/>
  <c r="J487" i="4"/>
  <c r="H487" i="4"/>
  <c r="P487" i="4" s="1"/>
  <c r="Q486" i="4"/>
  <c r="J486" i="4"/>
  <c r="H486" i="4"/>
  <c r="P486" i="4" s="1"/>
  <c r="Q485" i="4"/>
  <c r="J485" i="4"/>
  <c r="H485" i="4"/>
  <c r="P485" i="4" s="1"/>
  <c r="Q484" i="4"/>
  <c r="P484" i="4"/>
  <c r="J484" i="4"/>
  <c r="H484" i="4"/>
  <c r="Q483" i="4"/>
  <c r="J483" i="4"/>
  <c r="P483" i="4" s="1"/>
  <c r="H483" i="4"/>
  <c r="Q482" i="4"/>
  <c r="J482" i="4"/>
  <c r="H482" i="4"/>
  <c r="P482" i="4" s="1"/>
  <c r="Q481" i="4"/>
  <c r="J481" i="4"/>
  <c r="H481" i="4"/>
  <c r="P481" i="4" s="1"/>
  <c r="Q480" i="4"/>
  <c r="J480" i="4"/>
  <c r="P480" i="4" s="1"/>
  <c r="H480" i="4"/>
  <c r="Q479" i="4"/>
  <c r="J479" i="4"/>
  <c r="H479" i="4"/>
  <c r="P479" i="4" s="1"/>
  <c r="Q478" i="4"/>
  <c r="J478" i="4"/>
  <c r="H478" i="4"/>
  <c r="P478" i="4" s="1"/>
  <c r="Q477" i="4"/>
  <c r="J477" i="4"/>
  <c r="H477" i="4"/>
  <c r="Q476" i="4"/>
  <c r="P476" i="4"/>
  <c r="J476" i="4"/>
  <c r="H476" i="4"/>
  <c r="Q475" i="4"/>
  <c r="J475" i="4"/>
  <c r="H475" i="4"/>
  <c r="P475" i="4" s="1"/>
  <c r="Q474" i="4"/>
  <c r="J474" i="4"/>
  <c r="H474" i="4"/>
  <c r="P474" i="4" s="1"/>
  <c r="Q473" i="4"/>
  <c r="J473" i="4"/>
  <c r="H473" i="4"/>
  <c r="P473" i="4" s="1"/>
  <c r="Q472" i="4"/>
  <c r="J472" i="4"/>
  <c r="H472" i="4"/>
  <c r="P472" i="4" s="1"/>
  <c r="Q471" i="4"/>
  <c r="J471" i="4"/>
  <c r="H471" i="4"/>
  <c r="P471" i="4" s="1"/>
  <c r="Q470" i="4"/>
  <c r="J470" i="4"/>
  <c r="H470" i="4"/>
  <c r="P470" i="4" s="1"/>
  <c r="Q469" i="4"/>
  <c r="J469" i="4"/>
  <c r="H469" i="4"/>
  <c r="Q468" i="4"/>
  <c r="J468" i="4"/>
  <c r="H468" i="4"/>
  <c r="P468" i="4" s="1"/>
  <c r="Q467" i="4"/>
  <c r="P467" i="4"/>
  <c r="J467" i="4"/>
  <c r="H467" i="4"/>
  <c r="Q466" i="4"/>
  <c r="J466" i="4"/>
  <c r="H466" i="4"/>
  <c r="P466" i="4" s="1"/>
  <c r="Q465" i="4"/>
  <c r="J465" i="4"/>
  <c r="H465" i="4"/>
  <c r="P465" i="4" s="1"/>
  <c r="Q464" i="4"/>
  <c r="J464" i="4"/>
  <c r="H464" i="4"/>
  <c r="P464" i="4" s="1"/>
  <c r="Q463" i="4"/>
  <c r="J463" i="4"/>
  <c r="H463" i="4"/>
  <c r="P463" i="4" s="1"/>
  <c r="Q462" i="4"/>
  <c r="J462" i="4"/>
  <c r="H462" i="4"/>
  <c r="P462" i="4" s="1"/>
  <c r="Q461" i="4"/>
  <c r="J461" i="4"/>
  <c r="H461" i="4"/>
  <c r="P461" i="4" s="1"/>
  <c r="Q460" i="4"/>
  <c r="J460" i="4"/>
  <c r="P460" i="4" s="1"/>
  <c r="H460" i="4"/>
  <c r="Q459" i="4"/>
  <c r="J459" i="4"/>
  <c r="H459" i="4"/>
  <c r="P459" i="4" s="1"/>
  <c r="Q458" i="4"/>
  <c r="J458" i="4"/>
  <c r="H458" i="4"/>
  <c r="P458" i="4" s="1"/>
  <c r="Q457" i="4"/>
  <c r="J457" i="4"/>
  <c r="H457" i="4"/>
  <c r="Q456" i="4"/>
  <c r="J456" i="4"/>
  <c r="H456" i="4"/>
  <c r="P456" i="4" s="1"/>
  <c r="Q455" i="4"/>
  <c r="J455" i="4"/>
  <c r="H455" i="4"/>
  <c r="P455" i="4" s="1"/>
  <c r="Q454" i="4"/>
  <c r="J454" i="4"/>
  <c r="H454" i="4"/>
  <c r="P454" i="4" s="1"/>
  <c r="Q453" i="4"/>
  <c r="J453" i="4"/>
  <c r="H453" i="4"/>
  <c r="P453" i="4" s="1"/>
  <c r="Q452" i="4"/>
  <c r="J452" i="4"/>
  <c r="H452" i="4"/>
  <c r="P452" i="4" s="1"/>
  <c r="Q451" i="4"/>
  <c r="J451" i="4"/>
  <c r="P451" i="4" s="1"/>
  <c r="H451" i="4"/>
  <c r="Q450" i="4"/>
  <c r="J450" i="4"/>
  <c r="H450" i="4"/>
  <c r="P450" i="4" s="1"/>
  <c r="Q449" i="4"/>
  <c r="J449" i="4"/>
  <c r="H449" i="4"/>
  <c r="P449" i="4" s="1"/>
  <c r="Q448" i="4"/>
  <c r="J448" i="4"/>
  <c r="H448" i="4"/>
  <c r="P448" i="4" s="1"/>
  <c r="Q447" i="4"/>
  <c r="J447" i="4"/>
  <c r="H447" i="4"/>
  <c r="P447" i="4" s="1"/>
  <c r="Q446" i="4"/>
  <c r="J446" i="4"/>
  <c r="H446" i="4"/>
  <c r="P446" i="4" s="1"/>
  <c r="Q445" i="4"/>
  <c r="J445" i="4"/>
  <c r="H445" i="4"/>
  <c r="Q444" i="4"/>
  <c r="P444" i="4"/>
  <c r="J444" i="4"/>
  <c r="H444" i="4"/>
  <c r="Q443" i="4"/>
  <c r="J443" i="4"/>
  <c r="H443" i="4"/>
  <c r="P443" i="4" s="1"/>
  <c r="Q442" i="4"/>
  <c r="J442" i="4"/>
  <c r="H442" i="4"/>
  <c r="P442" i="4" s="1"/>
  <c r="Q441" i="4"/>
  <c r="J441" i="4"/>
  <c r="H441" i="4"/>
  <c r="P441" i="4" s="1"/>
  <c r="Q440" i="4"/>
  <c r="J440" i="4"/>
  <c r="H440" i="4"/>
  <c r="P440" i="4" s="1"/>
  <c r="Q439" i="4"/>
  <c r="J439" i="4"/>
  <c r="H439" i="4"/>
  <c r="P439" i="4" s="1"/>
  <c r="Q438" i="4"/>
  <c r="J438" i="4"/>
  <c r="H438" i="4"/>
  <c r="Q437" i="4"/>
  <c r="J437" i="4"/>
  <c r="H437" i="4"/>
  <c r="Q436" i="4"/>
  <c r="J436" i="4"/>
  <c r="H436" i="4"/>
  <c r="P436" i="4" s="1"/>
  <c r="Q435" i="4"/>
  <c r="P435" i="4"/>
  <c r="J435" i="4"/>
  <c r="H435" i="4"/>
  <c r="Q434" i="4"/>
  <c r="J434" i="4"/>
  <c r="H434" i="4"/>
  <c r="Q433" i="4"/>
  <c r="J433" i="4"/>
  <c r="H433" i="4"/>
  <c r="P433" i="4" s="1"/>
  <c r="Q432" i="4"/>
  <c r="J432" i="4"/>
  <c r="H432" i="4"/>
  <c r="P432" i="4" s="1"/>
  <c r="Q431" i="4"/>
  <c r="J431" i="4"/>
  <c r="H431" i="4"/>
  <c r="P431" i="4" s="1"/>
  <c r="Q430" i="4"/>
  <c r="J430" i="4"/>
  <c r="H430" i="4"/>
  <c r="P430" i="4" s="1"/>
  <c r="Q429" i="4"/>
  <c r="J429" i="4"/>
  <c r="H429" i="4"/>
  <c r="P429" i="4" s="1"/>
  <c r="Q428" i="4"/>
  <c r="J428" i="4"/>
  <c r="P428" i="4" s="1"/>
  <c r="H428" i="4"/>
  <c r="Q427" i="4"/>
  <c r="J427" i="4"/>
  <c r="H427" i="4"/>
  <c r="P427" i="4" s="1"/>
  <c r="Q426" i="4"/>
  <c r="J426" i="4"/>
  <c r="H426" i="4"/>
  <c r="Q425" i="4"/>
  <c r="J425" i="4"/>
  <c r="H425" i="4"/>
  <c r="Q424" i="4"/>
  <c r="J424" i="4"/>
  <c r="H424" i="4"/>
  <c r="P424" i="4" s="1"/>
  <c r="Q423" i="4"/>
  <c r="J423" i="4"/>
  <c r="H423" i="4"/>
  <c r="P423" i="4" s="1"/>
  <c r="Q422" i="4"/>
  <c r="J422" i="4"/>
  <c r="H422" i="4"/>
  <c r="Q421" i="4"/>
  <c r="J421" i="4"/>
  <c r="H421" i="4"/>
  <c r="P421" i="4" s="1"/>
  <c r="Q420" i="4"/>
  <c r="J420" i="4"/>
  <c r="H420" i="4"/>
  <c r="P420" i="4" s="1"/>
  <c r="Q419" i="4"/>
  <c r="J419" i="4"/>
  <c r="P419" i="4" s="1"/>
  <c r="H419" i="4"/>
  <c r="Q418" i="4"/>
  <c r="J418" i="4"/>
  <c r="H418" i="4"/>
  <c r="P418" i="4" s="1"/>
  <c r="Q417" i="4"/>
  <c r="J417" i="4"/>
  <c r="H417" i="4"/>
  <c r="P417" i="4" s="1"/>
  <c r="Q416" i="4"/>
  <c r="J416" i="4"/>
  <c r="H416" i="4"/>
  <c r="P416" i="4" s="1"/>
  <c r="Q415" i="4"/>
  <c r="J415" i="4"/>
  <c r="H415" i="4"/>
  <c r="P415" i="4" s="1"/>
  <c r="Q414" i="4"/>
  <c r="J414" i="4"/>
  <c r="H414" i="4"/>
  <c r="P414" i="4" s="1"/>
  <c r="Q413" i="4"/>
  <c r="J413" i="4"/>
  <c r="H413" i="4"/>
  <c r="Q412" i="4"/>
  <c r="P412" i="4"/>
  <c r="J412" i="4"/>
  <c r="H412" i="4"/>
  <c r="Q411" i="4"/>
  <c r="J411" i="4"/>
  <c r="H411" i="4"/>
  <c r="P411" i="4" s="1"/>
  <c r="Q410" i="4"/>
  <c r="J410" i="4"/>
  <c r="H410" i="4"/>
  <c r="P410" i="4" s="1"/>
  <c r="Q409" i="4"/>
  <c r="J409" i="4"/>
  <c r="H409" i="4"/>
  <c r="P409" i="4" s="1"/>
  <c r="Q408" i="4"/>
  <c r="J408" i="4"/>
  <c r="H408" i="4"/>
  <c r="P408" i="4" s="1"/>
  <c r="Q407" i="4"/>
  <c r="J407" i="4"/>
  <c r="H407" i="4"/>
  <c r="P407" i="4" s="1"/>
  <c r="Q406" i="4"/>
  <c r="J406" i="4"/>
  <c r="H406" i="4"/>
  <c r="Q405" i="4"/>
  <c r="P405" i="4"/>
  <c r="J405" i="4"/>
  <c r="H405" i="4"/>
  <c r="Q404" i="4"/>
  <c r="P404" i="4"/>
  <c r="J404" i="4"/>
  <c r="H404" i="4"/>
  <c r="Q403" i="4"/>
  <c r="J403" i="4"/>
  <c r="H403" i="4"/>
  <c r="P403" i="4" s="1"/>
  <c r="Q402" i="4"/>
  <c r="J402" i="4"/>
  <c r="H402" i="4"/>
  <c r="P402" i="4" s="1"/>
  <c r="Q401" i="4"/>
  <c r="J401" i="4"/>
  <c r="P401" i="4" s="1"/>
  <c r="H401" i="4"/>
  <c r="Q400" i="4"/>
  <c r="J400" i="4"/>
  <c r="H400" i="4"/>
  <c r="P400" i="4" s="1"/>
  <c r="Q399" i="4"/>
  <c r="P399" i="4"/>
  <c r="J399" i="4"/>
  <c r="H399" i="4"/>
  <c r="Q398" i="4"/>
  <c r="J398" i="4"/>
  <c r="H398" i="4"/>
  <c r="Q397" i="4"/>
  <c r="J397" i="4"/>
  <c r="H397" i="4"/>
  <c r="P397" i="4" s="1"/>
  <c r="Q396" i="4"/>
  <c r="J396" i="4"/>
  <c r="H396" i="4"/>
  <c r="P396" i="4" s="1"/>
  <c r="Q395" i="4"/>
  <c r="J395" i="4"/>
  <c r="H395" i="4"/>
  <c r="P395" i="4" s="1"/>
  <c r="Q394" i="4"/>
  <c r="J394" i="4"/>
  <c r="H394" i="4"/>
  <c r="Q393" i="4"/>
  <c r="J393" i="4"/>
  <c r="H393" i="4"/>
  <c r="P393" i="4" s="1"/>
  <c r="Q392" i="4"/>
  <c r="J392" i="4"/>
  <c r="H392" i="4"/>
  <c r="P392" i="4" s="1"/>
  <c r="Q391" i="4"/>
  <c r="J391" i="4"/>
  <c r="H391" i="4"/>
  <c r="P391" i="4" s="1"/>
  <c r="Q390" i="4"/>
  <c r="J390" i="4"/>
  <c r="H390" i="4"/>
  <c r="P390" i="4" s="1"/>
  <c r="Q389" i="4"/>
  <c r="J389" i="4"/>
  <c r="H389" i="4"/>
  <c r="P389" i="4" s="1"/>
  <c r="Q388" i="4"/>
  <c r="P388" i="4"/>
  <c r="J388" i="4"/>
  <c r="H388" i="4"/>
  <c r="Q387" i="4"/>
  <c r="P387" i="4"/>
  <c r="J387" i="4"/>
  <c r="H387" i="4"/>
  <c r="Q386" i="4"/>
  <c r="J386" i="4"/>
  <c r="H386" i="4"/>
  <c r="P386" i="4" s="1"/>
  <c r="Q385" i="4"/>
  <c r="J385" i="4"/>
  <c r="H385" i="4"/>
  <c r="P385" i="4" s="1"/>
  <c r="Q384" i="4"/>
  <c r="J384" i="4"/>
  <c r="P384" i="4" s="1"/>
  <c r="H384" i="4"/>
  <c r="Q383" i="4"/>
  <c r="J383" i="4"/>
  <c r="H383" i="4"/>
  <c r="P383" i="4" s="1"/>
  <c r="Q382" i="4"/>
  <c r="J382" i="4"/>
  <c r="H382" i="4"/>
  <c r="Q381" i="4"/>
  <c r="P381" i="4"/>
  <c r="J381" i="4"/>
  <c r="H381" i="4"/>
  <c r="Q380" i="4"/>
  <c r="J380" i="4"/>
  <c r="H380" i="4"/>
  <c r="P380" i="4" s="1"/>
  <c r="Q379" i="4"/>
  <c r="J379" i="4"/>
  <c r="H379" i="4"/>
  <c r="P379" i="4" s="1"/>
  <c r="Q378" i="4"/>
  <c r="J378" i="4"/>
  <c r="H378" i="4"/>
  <c r="P378" i="4" s="1"/>
  <c r="Q377" i="4"/>
  <c r="J377" i="4"/>
  <c r="H377" i="4"/>
  <c r="P377" i="4" s="1"/>
  <c r="Q376" i="4"/>
  <c r="J376" i="4"/>
  <c r="H376" i="4"/>
  <c r="P376" i="4" s="1"/>
  <c r="Q375" i="4"/>
  <c r="J375" i="4"/>
  <c r="H375" i="4"/>
  <c r="P375" i="4" s="1"/>
  <c r="Q374" i="4"/>
  <c r="J374" i="4"/>
  <c r="H374" i="4"/>
  <c r="Q373" i="4"/>
  <c r="J373" i="4"/>
  <c r="H373" i="4"/>
  <c r="P373" i="4" s="1"/>
  <c r="Q372" i="4"/>
  <c r="J372" i="4"/>
  <c r="H372" i="4"/>
  <c r="P372" i="4" s="1"/>
  <c r="Q371" i="4"/>
  <c r="P371" i="4"/>
  <c r="J371" i="4"/>
  <c r="H371" i="4"/>
  <c r="Q370" i="4"/>
  <c r="J370" i="4"/>
  <c r="H370" i="4"/>
  <c r="Q369" i="4"/>
  <c r="P369" i="4"/>
  <c r="J369" i="4"/>
  <c r="H369" i="4"/>
  <c r="Q368" i="4"/>
  <c r="J368" i="4"/>
  <c r="H368" i="4"/>
  <c r="P368" i="4" s="1"/>
  <c r="Q367" i="4"/>
  <c r="J367" i="4"/>
  <c r="P367" i="4" s="1"/>
  <c r="H367" i="4"/>
  <c r="Q366" i="4"/>
  <c r="J366" i="4"/>
  <c r="H366" i="4"/>
  <c r="P366" i="4" s="1"/>
  <c r="Q365" i="4"/>
  <c r="J365" i="4"/>
  <c r="H365" i="4"/>
  <c r="P365" i="4" s="1"/>
  <c r="Q364" i="4"/>
  <c r="P364" i="4"/>
  <c r="J364" i="4"/>
  <c r="H364" i="4"/>
  <c r="Q363" i="4"/>
  <c r="J363" i="4"/>
  <c r="H363" i="4"/>
  <c r="P363" i="4" s="1"/>
  <c r="Q362" i="4"/>
  <c r="J362" i="4"/>
  <c r="H362" i="4"/>
  <c r="P362" i="4" s="1"/>
  <c r="Q361" i="4"/>
  <c r="J361" i="4"/>
  <c r="H361" i="4"/>
  <c r="P361" i="4" s="1"/>
  <c r="Q360" i="4"/>
  <c r="J360" i="4"/>
  <c r="H360" i="4"/>
  <c r="P360" i="4" s="1"/>
  <c r="Q359" i="4"/>
  <c r="J359" i="4"/>
  <c r="H359" i="4"/>
  <c r="P359" i="4" s="1"/>
  <c r="Q358" i="4"/>
  <c r="J358" i="4"/>
  <c r="H358" i="4"/>
  <c r="P358" i="4" s="1"/>
  <c r="Q357" i="4"/>
  <c r="P357" i="4"/>
  <c r="J357" i="4"/>
  <c r="H357" i="4"/>
  <c r="Q356" i="4"/>
  <c r="J356" i="4"/>
  <c r="H356" i="4"/>
  <c r="P356" i="4" s="1"/>
  <c r="Q355" i="4"/>
  <c r="J355" i="4"/>
  <c r="H355" i="4"/>
  <c r="P355" i="4" s="1"/>
  <c r="Q354" i="4"/>
  <c r="J354" i="4"/>
  <c r="H354" i="4"/>
  <c r="Q353" i="4"/>
  <c r="J353" i="4"/>
  <c r="H353" i="4"/>
  <c r="P353" i="4" s="1"/>
  <c r="Q352" i="4"/>
  <c r="P352" i="4"/>
  <c r="J352" i="4"/>
  <c r="H352" i="4"/>
  <c r="Q351" i="4"/>
  <c r="J351" i="4"/>
  <c r="H351" i="4"/>
  <c r="P351" i="4" s="1"/>
  <c r="Q350" i="4"/>
  <c r="J350" i="4"/>
  <c r="H350" i="4"/>
  <c r="P350" i="4" s="1"/>
  <c r="Q349" i="4"/>
  <c r="J349" i="4"/>
  <c r="H349" i="4"/>
  <c r="P349" i="4" s="1"/>
  <c r="Q348" i="4"/>
  <c r="J348" i="4"/>
  <c r="P348" i="4" s="1"/>
  <c r="H348" i="4"/>
  <c r="Q347" i="4"/>
  <c r="P347" i="4"/>
  <c r="J347" i="4"/>
  <c r="H347" i="4"/>
  <c r="Q346" i="4"/>
  <c r="J346" i="4"/>
  <c r="H346" i="4"/>
  <c r="P346" i="4" s="1"/>
  <c r="Q345" i="4"/>
  <c r="J345" i="4"/>
  <c r="H345" i="4"/>
  <c r="P345" i="4" s="1"/>
  <c r="Q344" i="4"/>
  <c r="J344" i="4"/>
  <c r="H344" i="4"/>
  <c r="P344" i="4" s="1"/>
  <c r="Q343" i="4"/>
  <c r="J343" i="4"/>
  <c r="H343" i="4"/>
  <c r="P343" i="4" s="1"/>
  <c r="Q342" i="4"/>
  <c r="J342" i="4"/>
  <c r="H342" i="4"/>
  <c r="Q341" i="4"/>
  <c r="P341" i="4"/>
  <c r="J341" i="4"/>
  <c r="H341" i="4"/>
  <c r="Q340" i="4"/>
  <c r="P340" i="4"/>
  <c r="J340" i="4"/>
  <c r="H340" i="4"/>
  <c r="Q339" i="4"/>
  <c r="J339" i="4"/>
  <c r="H339" i="4"/>
  <c r="P339" i="4" s="1"/>
  <c r="Q338" i="4"/>
  <c r="J338" i="4"/>
  <c r="H338" i="4"/>
  <c r="P338" i="4" s="1"/>
  <c r="Q337" i="4"/>
  <c r="J337" i="4"/>
  <c r="P337" i="4" s="1"/>
  <c r="H337" i="4"/>
  <c r="Q336" i="4"/>
  <c r="J336" i="4"/>
  <c r="H336" i="4"/>
  <c r="P336" i="4" s="1"/>
  <c r="Q335" i="4"/>
  <c r="P335" i="4"/>
  <c r="J335" i="4"/>
  <c r="H335" i="4"/>
  <c r="Q334" i="4"/>
  <c r="J334" i="4"/>
  <c r="H334" i="4"/>
  <c r="Q333" i="4"/>
  <c r="J333" i="4"/>
  <c r="H333" i="4"/>
  <c r="P333" i="4" s="1"/>
  <c r="Q332" i="4"/>
  <c r="J332" i="4"/>
  <c r="H332" i="4"/>
  <c r="P332" i="4" s="1"/>
  <c r="Q331" i="4"/>
  <c r="J331" i="4"/>
  <c r="P331" i="4" s="1"/>
  <c r="H331" i="4"/>
  <c r="Q330" i="4"/>
  <c r="J330" i="4"/>
  <c r="H330" i="4"/>
  <c r="Q329" i="4"/>
  <c r="J329" i="4"/>
  <c r="H329" i="4"/>
  <c r="P329" i="4" s="1"/>
  <c r="Q328" i="4"/>
  <c r="J328" i="4"/>
  <c r="H328" i="4"/>
  <c r="P328" i="4" s="1"/>
  <c r="Q327" i="4"/>
  <c r="J327" i="4"/>
  <c r="H327" i="4"/>
  <c r="P327" i="4" s="1"/>
  <c r="Q326" i="4"/>
  <c r="J326" i="4"/>
  <c r="H326" i="4"/>
  <c r="P326" i="4" s="1"/>
  <c r="Q325" i="4"/>
  <c r="J325" i="4"/>
  <c r="H325" i="4"/>
  <c r="P325" i="4" s="1"/>
  <c r="Q324" i="4"/>
  <c r="P324" i="4"/>
  <c r="J324" i="4"/>
  <c r="H324" i="4"/>
  <c r="Q323" i="4"/>
  <c r="P323" i="4"/>
  <c r="J323" i="4"/>
  <c r="H323" i="4"/>
  <c r="Q322" i="4"/>
  <c r="J322" i="4"/>
  <c r="H322" i="4"/>
  <c r="P322" i="4" s="1"/>
  <c r="Q321" i="4"/>
  <c r="J321" i="4"/>
  <c r="H321" i="4"/>
  <c r="P321" i="4" s="1"/>
  <c r="Q320" i="4"/>
  <c r="J320" i="4"/>
  <c r="P320" i="4" s="1"/>
  <c r="H320" i="4"/>
  <c r="Q319" i="4"/>
  <c r="J319" i="4"/>
  <c r="H319" i="4"/>
  <c r="P319" i="4" s="1"/>
  <c r="Q318" i="4"/>
  <c r="J318" i="4"/>
  <c r="H318" i="4"/>
  <c r="P318" i="4" s="1"/>
  <c r="Q317" i="4"/>
  <c r="P317" i="4"/>
  <c r="J317" i="4"/>
  <c r="H317" i="4"/>
  <c r="Q316" i="4"/>
  <c r="J316" i="4"/>
  <c r="H316" i="4"/>
  <c r="P316" i="4" s="1"/>
  <c r="Q315" i="4"/>
  <c r="J315" i="4"/>
  <c r="H315" i="4"/>
  <c r="P315" i="4" s="1"/>
  <c r="Q314" i="4"/>
  <c r="J314" i="4"/>
  <c r="H314" i="4"/>
  <c r="P314" i="4" s="1"/>
  <c r="Q313" i="4"/>
  <c r="P313" i="4"/>
  <c r="J313" i="4"/>
  <c r="H313" i="4"/>
  <c r="Q312" i="4"/>
  <c r="J312" i="4"/>
  <c r="H312" i="4"/>
  <c r="P312" i="4" s="1"/>
  <c r="Q311" i="4"/>
  <c r="J311" i="4"/>
  <c r="H311" i="4"/>
  <c r="P311" i="4" s="1"/>
  <c r="Q310" i="4"/>
  <c r="J310" i="4"/>
  <c r="H310" i="4"/>
  <c r="Q309" i="4"/>
  <c r="P309" i="4"/>
  <c r="J309" i="4"/>
  <c r="H309" i="4"/>
  <c r="Q308" i="4"/>
  <c r="J308" i="4"/>
  <c r="H308" i="4"/>
  <c r="P308" i="4" s="1"/>
  <c r="Q307" i="4"/>
  <c r="P307" i="4"/>
  <c r="J307" i="4"/>
  <c r="H307" i="4"/>
  <c r="Q306" i="4"/>
  <c r="J306" i="4"/>
  <c r="H306" i="4"/>
  <c r="Q305" i="4"/>
  <c r="J305" i="4"/>
  <c r="H305" i="4"/>
  <c r="P305" i="4" s="1"/>
  <c r="Q304" i="4"/>
  <c r="J304" i="4"/>
  <c r="H304" i="4"/>
  <c r="P304" i="4" s="1"/>
  <c r="Q303" i="4"/>
  <c r="J303" i="4"/>
  <c r="P303" i="4" s="1"/>
  <c r="H303" i="4"/>
  <c r="Q302" i="4"/>
  <c r="J302" i="4"/>
  <c r="H302" i="4"/>
  <c r="P302" i="4" s="1"/>
  <c r="Q301" i="4"/>
  <c r="J301" i="4"/>
  <c r="H301" i="4"/>
  <c r="P301" i="4" s="1"/>
  <c r="Q300" i="4"/>
  <c r="P300" i="4"/>
  <c r="J300" i="4"/>
  <c r="H300" i="4"/>
  <c r="Q299" i="4"/>
  <c r="J299" i="4"/>
  <c r="H299" i="4"/>
  <c r="P299" i="4" s="1"/>
  <c r="Q298" i="4"/>
  <c r="J298" i="4"/>
  <c r="H298" i="4"/>
  <c r="P298" i="4" s="1"/>
  <c r="Q297" i="4"/>
  <c r="J297" i="4"/>
  <c r="H297" i="4"/>
  <c r="P297" i="4" s="1"/>
  <c r="Q296" i="4"/>
  <c r="P296" i="4"/>
  <c r="J296" i="4"/>
  <c r="H296" i="4"/>
  <c r="Q295" i="4"/>
  <c r="J295" i="4"/>
  <c r="H295" i="4"/>
  <c r="P295" i="4" s="1"/>
  <c r="Q294" i="4"/>
  <c r="J294" i="4"/>
  <c r="H294" i="4"/>
  <c r="P294" i="4" s="1"/>
  <c r="Q293" i="4"/>
  <c r="P293" i="4"/>
  <c r="J293" i="4"/>
  <c r="H293" i="4"/>
  <c r="Q292" i="4"/>
  <c r="P292" i="4"/>
  <c r="J292" i="4"/>
  <c r="H292" i="4"/>
  <c r="Q291" i="4"/>
  <c r="J291" i="4"/>
  <c r="H291" i="4"/>
  <c r="P291" i="4" s="1"/>
  <c r="Q290" i="4"/>
  <c r="J290" i="4"/>
  <c r="H290" i="4"/>
  <c r="Q289" i="4"/>
  <c r="J289" i="4"/>
  <c r="H289" i="4"/>
  <c r="P289" i="4" s="1"/>
  <c r="Q288" i="4"/>
  <c r="J288" i="4"/>
  <c r="H288" i="4"/>
  <c r="P288" i="4" s="1"/>
  <c r="Q287" i="4"/>
  <c r="J287" i="4"/>
  <c r="H287" i="4"/>
  <c r="P287" i="4" s="1"/>
  <c r="Q286" i="4"/>
  <c r="J286" i="4"/>
  <c r="H286" i="4"/>
  <c r="P286" i="4" s="1"/>
  <c r="Q285" i="4"/>
  <c r="J285" i="4"/>
  <c r="H285" i="4"/>
  <c r="P285" i="4" s="1"/>
  <c r="Q284" i="4"/>
  <c r="J284" i="4"/>
  <c r="H284" i="4"/>
  <c r="P284" i="4" s="1"/>
  <c r="Q283" i="4"/>
  <c r="J283" i="4"/>
  <c r="H283" i="4"/>
  <c r="P283" i="4" s="1"/>
  <c r="Q282" i="4"/>
  <c r="J282" i="4"/>
  <c r="H282" i="4"/>
  <c r="P282" i="4" s="1"/>
  <c r="Q281" i="4"/>
  <c r="J281" i="4"/>
  <c r="H281" i="4"/>
  <c r="P281" i="4" s="1"/>
  <c r="Q280" i="4"/>
  <c r="J280" i="4"/>
  <c r="H280" i="4"/>
  <c r="P280" i="4" s="1"/>
  <c r="Q279" i="4"/>
  <c r="P279" i="4"/>
  <c r="J279" i="4"/>
  <c r="H279" i="4"/>
  <c r="Q278" i="4"/>
  <c r="J278" i="4"/>
  <c r="H278" i="4"/>
  <c r="Q277" i="4"/>
  <c r="P277" i="4"/>
  <c r="J277" i="4"/>
  <c r="H277" i="4"/>
  <c r="Q276" i="4"/>
  <c r="P276" i="4"/>
  <c r="J276" i="4"/>
  <c r="H276" i="4"/>
  <c r="Q275" i="4"/>
  <c r="P275" i="4"/>
  <c r="J275" i="4"/>
  <c r="H275" i="4"/>
  <c r="Q274" i="4"/>
  <c r="J274" i="4"/>
  <c r="H274" i="4"/>
  <c r="Q273" i="4"/>
  <c r="J273" i="4"/>
  <c r="P273" i="4" s="1"/>
  <c r="H273" i="4"/>
  <c r="Q272" i="4"/>
  <c r="J272" i="4"/>
  <c r="H272" i="4"/>
  <c r="P272" i="4" s="1"/>
  <c r="Q271" i="4"/>
  <c r="J271" i="4"/>
  <c r="H271" i="4"/>
  <c r="P271" i="4" s="1"/>
  <c r="Q270" i="4"/>
  <c r="J270" i="4"/>
  <c r="H270" i="4"/>
  <c r="P270" i="4" s="1"/>
  <c r="Q269" i="4"/>
  <c r="J269" i="4"/>
  <c r="H269" i="4"/>
  <c r="P269" i="4" s="1"/>
  <c r="Q268" i="4"/>
  <c r="J268" i="4"/>
  <c r="H268" i="4"/>
  <c r="P268" i="4" s="1"/>
  <c r="Q267" i="4"/>
  <c r="J267" i="4"/>
  <c r="H267" i="4"/>
  <c r="P267" i="4" s="1"/>
  <c r="Q266" i="4"/>
  <c r="J266" i="4"/>
  <c r="H266" i="4"/>
  <c r="Q265" i="4"/>
  <c r="J265" i="4"/>
  <c r="H265" i="4"/>
  <c r="P265" i="4" s="1"/>
  <c r="Q264" i="4"/>
  <c r="J264" i="4"/>
  <c r="H264" i="4"/>
  <c r="P264" i="4" s="1"/>
  <c r="Q263" i="4"/>
  <c r="J263" i="4"/>
  <c r="H263" i="4"/>
  <c r="P263" i="4" s="1"/>
  <c r="Q262" i="4"/>
  <c r="J262" i="4"/>
  <c r="H262" i="4"/>
  <c r="Q261" i="4"/>
  <c r="P261" i="4"/>
  <c r="J261" i="4"/>
  <c r="H261" i="4"/>
  <c r="Q260" i="4"/>
  <c r="P260" i="4"/>
  <c r="J260" i="4"/>
  <c r="H260" i="4"/>
  <c r="Q259" i="4"/>
  <c r="P259" i="4"/>
  <c r="J259" i="4"/>
  <c r="H259" i="4"/>
  <c r="Q258" i="4"/>
  <c r="J258" i="4"/>
  <c r="H258" i="4"/>
  <c r="P258" i="4" s="1"/>
  <c r="Q257" i="4"/>
  <c r="J257" i="4"/>
  <c r="H257" i="4"/>
  <c r="P257" i="4" s="1"/>
  <c r="Q256" i="4"/>
  <c r="J256" i="4"/>
  <c r="P256" i="4" s="1"/>
  <c r="H256" i="4"/>
  <c r="Q255" i="4"/>
  <c r="J255" i="4"/>
  <c r="H255" i="4"/>
  <c r="P255" i="4" s="1"/>
  <c r="Q254" i="4"/>
  <c r="J254" i="4"/>
  <c r="H254" i="4"/>
  <c r="P254" i="4" s="1"/>
  <c r="Q253" i="4"/>
  <c r="J253" i="4"/>
  <c r="H253" i="4"/>
  <c r="P253" i="4" s="1"/>
  <c r="Q252" i="4"/>
  <c r="J252" i="4"/>
  <c r="H252" i="4"/>
  <c r="P252" i="4" s="1"/>
  <c r="Q251" i="4"/>
  <c r="J251" i="4"/>
  <c r="H251" i="4"/>
  <c r="P251" i="4" s="1"/>
  <c r="Q250" i="4"/>
  <c r="J250" i="4"/>
  <c r="H250" i="4"/>
  <c r="P250" i="4" s="1"/>
  <c r="Q249" i="4"/>
  <c r="P249" i="4"/>
  <c r="J249" i="4"/>
  <c r="H249" i="4"/>
  <c r="Q248" i="4"/>
  <c r="J248" i="4"/>
  <c r="H248" i="4"/>
  <c r="P248" i="4" s="1"/>
  <c r="Q247" i="4"/>
  <c r="J247" i="4"/>
  <c r="H247" i="4"/>
  <c r="P247" i="4" s="1"/>
  <c r="Q246" i="4"/>
  <c r="J246" i="4"/>
  <c r="H246" i="4"/>
  <c r="Q245" i="4"/>
  <c r="J245" i="4"/>
  <c r="P245" i="4" s="1"/>
  <c r="H245" i="4"/>
  <c r="Q244" i="4"/>
  <c r="P244" i="4"/>
  <c r="J244" i="4"/>
  <c r="H244" i="4"/>
  <c r="Q243" i="4"/>
  <c r="P243" i="4"/>
  <c r="J243" i="4"/>
  <c r="H243" i="4"/>
  <c r="Q242" i="4"/>
  <c r="J242" i="4"/>
  <c r="H242" i="4"/>
  <c r="Q241" i="4"/>
  <c r="J241" i="4"/>
  <c r="H241" i="4"/>
  <c r="P241" i="4" s="1"/>
  <c r="Q240" i="4"/>
  <c r="J240" i="4"/>
  <c r="H240" i="4"/>
  <c r="P240" i="4" s="1"/>
  <c r="Q239" i="4"/>
  <c r="J239" i="4"/>
  <c r="H239" i="4"/>
  <c r="P239" i="4" s="1"/>
  <c r="Q238" i="4"/>
  <c r="J238" i="4"/>
  <c r="H238" i="4"/>
  <c r="P238" i="4" s="1"/>
  <c r="Q237" i="4"/>
  <c r="J237" i="4"/>
  <c r="H237" i="4"/>
  <c r="P237" i="4" s="1"/>
  <c r="Q236" i="4"/>
  <c r="J236" i="4"/>
  <c r="H236" i="4"/>
  <c r="P236" i="4" s="1"/>
  <c r="Q235" i="4"/>
  <c r="J235" i="4"/>
  <c r="H235" i="4"/>
  <c r="P235" i="4" s="1"/>
  <c r="Q234" i="4"/>
  <c r="J234" i="4"/>
  <c r="H234" i="4"/>
  <c r="P234" i="4" s="1"/>
  <c r="Q233" i="4"/>
  <c r="J233" i="4"/>
  <c r="H233" i="4"/>
  <c r="P233" i="4" s="1"/>
  <c r="Q232" i="4"/>
  <c r="P232" i="4"/>
  <c r="J232" i="4"/>
  <c r="H232" i="4"/>
  <c r="Q231" i="4"/>
  <c r="J231" i="4"/>
  <c r="H231" i="4"/>
  <c r="P231" i="4" s="1"/>
  <c r="Q230" i="4"/>
  <c r="J230" i="4"/>
  <c r="H230" i="4"/>
  <c r="Q229" i="4"/>
  <c r="P229" i="4"/>
  <c r="J229" i="4"/>
  <c r="H229" i="4"/>
  <c r="Q228" i="4"/>
  <c r="J228" i="4"/>
  <c r="P228" i="4" s="1"/>
  <c r="H228" i="4"/>
  <c r="Q227" i="4"/>
  <c r="P227" i="4"/>
  <c r="J227" i="4"/>
  <c r="H227" i="4"/>
  <c r="Q226" i="4"/>
  <c r="J226" i="4"/>
  <c r="H226" i="4"/>
  <c r="P226" i="4" s="1"/>
  <c r="Q225" i="4"/>
  <c r="J225" i="4"/>
  <c r="H225" i="4"/>
  <c r="P225" i="4" s="1"/>
  <c r="Q224" i="4"/>
  <c r="J224" i="4"/>
  <c r="H224" i="4"/>
  <c r="P224" i="4" s="1"/>
  <c r="Q223" i="4"/>
  <c r="J223" i="4"/>
  <c r="H223" i="4"/>
  <c r="P223" i="4" s="1"/>
  <c r="Q222" i="4"/>
  <c r="J222" i="4"/>
  <c r="H222" i="4"/>
  <c r="Q221" i="4"/>
  <c r="J221" i="4"/>
  <c r="H221" i="4"/>
  <c r="P221" i="4" s="1"/>
  <c r="Q220" i="4"/>
  <c r="J220" i="4"/>
  <c r="H220" i="4"/>
  <c r="P220" i="4" s="1"/>
  <c r="Q219" i="4"/>
  <c r="J219" i="4"/>
  <c r="H219" i="4"/>
  <c r="P219" i="4" s="1"/>
  <c r="Q218" i="4"/>
  <c r="J218" i="4"/>
  <c r="H218" i="4"/>
  <c r="P218" i="4" s="1"/>
  <c r="Q217" i="4"/>
  <c r="P217" i="4"/>
  <c r="J217" i="4"/>
  <c r="H217" i="4"/>
  <c r="Q216" i="4"/>
  <c r="J216" i="4"/>
  <c r="H216" i="4"/>
  <c r="P216" i="4" s="1"/>
  <c r="Q215" i="4"/>
  <c r="P215" i="4"/>
  <c r="J215" i="4"/>
  <c r="H215" i="4"/>
  <c r="Q214" i="4"/>
  <c r="J214" i="4"/>
  <c r="H214" i="4"/>
  <c r="Q213" i="4"/>
  <c r="J213" i="4"/>
  <c r="P213" i="4" s="1"/>
  <c r="H213" i="4"/>
  <c r="Q212" i="4"/>
  <c r="P212" i="4"/>
  <c r="J212" i="4"/>
  <c r="H212" i="4"/>
  <c r="Q211" i="4"/>
  <c r="J211" i="4"/>
  <c r="P211" i="4" s="1"/>
  <c r="H211" i="4"/>
  <c r="Q210" i="4"/>
  <c r="J210" i="4"/>
  <c r="H210" i="4"/>
  <c r="Q209" i="4"/>
  <c r="J209" i="4"/>
  <c r="H209" i="4"/>
  <c r="P209" i="4" s="1"/>
  <c r="Q208" i="4"/>
  <c r="J208" i="4"/>
  <c r="H208" i="4"/>
  <c r="P208" i="4" s="1"/>
  <c r="Q207" i="4"/>
  <c r="J207" i="4"/>
  <c r="H207" i="4"/>
  <c r="P207" i="4" s="1"/>
  <c r="Q206" i="4"/>
  <c r="J206" i="4"/>
  <c r="H206" i="4"/>
  <c r="P206" i="4" s="1"/>
  <c r="Q205" i="4"/>
  <c r="J205" i="4"/>
  <c r="H205" i="4"/>
  <c r="P205" i="4" s="1"/>
  <c r="Q204" i="4"/>
  <c r="J204" i="4"/>
  <c r="H204" i="4"/>
  <c r="P204" i="4" s="1"/>
  <c r="Q203" i="4"/>
  <c r="J203" i="4"/>
  <c r="H203" i="4"/>
  <c r="P203" i="4" s="1"/>
  <c r="Q202" i="4"/>
  <c r="J202" i="4"/>
  <c r="H202" i="4"/>
  <c r="Q201" i="4"/>
  <c r="J201" i="4"/>
  <c r="H201" i="4"/>
  <c r="P201" i="4" s="1"/>
  <c r="Q200" i="4"/>
  <c r="P200" i="4"/>
  <c r="J200" i="4"/>
  <c r="H200" i="4"/>
  <c r="Q199" i="4"/>
  <c r="J199" i="4"/>
  <c r="H199" i="4"/>
  <c r="P199" i="4" s="1"/>
  <c r="Q198" i="4"/>
  <c r="J198" i="4"/>
  <c r="H198" i="4"/>
  <c r="Q197" i="4"/>
  <c r="P197" i="4"/>
  <c r="J197" i="4"/>
  <c r="H197" i="4"/>
  <c r="Q196" i="4"/>
  <c r="J196" i="4"/>
  <c r="P196" i="4" s="1"/>
  <c r="H196" i="4"/>
  <c r="Q195" i="4"/>
  <c r="P195" i="4"/>
  <c r="J195" i="4"/>
  <c r="H195" i="4"/>
  <c r="Q194" i="4"/>
  <c r="J194" i="4"/>
  <c r="H194" i="4"/>
  <c r="P194" i="4" s="1"/>
  <c r="Q193" i="4"/>
  <c r="J193" i="4"/>
  <c r="H193" i="4"/>
  <c r="P193" i="4" s="1"/>
  <c r="Q192" i="4"/>
  <c r="J192" i="4"/>
  <c r="H192" i="4"/>
  <c r="P192" i="4" s="1"/>
  <c r="Q191" i="4"/>
  <c r="J191" i="4"/>
  <c r="H191" i="4"/>
  <c r="P191" i="4" s="1"/>
  <c r="Q190" i="4"/>
  <c r="J190" i="4"/>
  <c r="H190" i="4"/>
  <c r="P190" i="4" s="1"/>
  <c r="Q189" i="4"/>
  <c r="J189" i="4"/>
  <c r="H189" i="4"/>
  <c r="P189" i="4" s="1"/>
  <c r="Q188" i="4"/>
  <c r="J188" i="4"/>
  <c r="H188" i="4"/>
  <c r="P188" i="4" s="1"/>
  <c r="Q187" i="4"/>
  <c r="J187" i="4"/>
  <c r="H187" i="4"/>
  <c r="P187" i="4" s="1"/>
  <c r="Q186" i="4"/>
  <c r="J186" i="4"/>
  <c r="H186" i="4"/>
  <c r="P186" i="4" s="1"/>
  <c r="Q185" i="4"/>
  <c r="P185" i="4"/>
  <c r="J185" i="4"/>
  <c r="H185" i="4"/>
  <c r="Q184" i="4"/>
  <c r="P184" i="4"/>
  <c r="J184" i="4"/>
  <c r="H184" i="4"/>
  <c r="Q183" i="4"/>
  <c r="P183" i="4"/>
  <c r="J183" i="4"/>
  <c r="H183" i="4"/>
  <c r="Q182" i="4"/>
  <c r="J182" i="4"/>
  <c r="H182" i="4"/>
  <c r="Q181" i="4"/>
  <c r="J181" i="4"/>
  <c r="H181" i="4"/>
  <c r="P181" i="4" s="1"/>
  <c r="Q180" i="4"/>
  <c r="P180" i="4"/>
  <c r="J180" i="4"/>
  <c r="H180" i="4"/>
  <c r="Q179" i="4"/>
  <c r="J179" i="4"/>
  <c r="P179" i="4" s="1"/>
  <c r="H179" i="4"/>
  <c r="Q178" i="4"/>
  <c r="J178" i="4"/>
  <c r="H178" i="4"/>
  <c r="Q177" i="4"/>
  <c r="J177" i="4"/>
  <c r="H177" i="4"/>
  <c r="P177" i="4" s="1"/>
  <c r="Q176" i="4"/>
  <c r="J176" i="4"/>
  <c r="H176" i="4"/>
  <c r="P176" i="4" s="1"/>
  <c r="Q175" i="4"/>
  <c r="J175" i="4"/>
  <c r="H175" i="4"/>
  <c r="P175" i="4" s="1"/>
  <c r="Q174" i="4"/>
  <c r="J174" i="4"/>
  <c r="H174" i="4"/>
  <c r="P174" i="4" s="1"/>
  <c r="Q173" i="4"/>
  <c r="J173" i="4"/>
  <c r="H173" i="4"/>
  <c r="P173" i="4" s="1"/>
  <c r="Q172" i="4"/>
  <c r="J172" i="4"/>
  <c r="H172" i="4"/>
  <c r="P172" i="4" s="1"/>
  <c r="Q171" i="4"/>
  <c r="J171" i="4"/>
  <c r="H171" i="4"/>
  <c r="P171" i="4" s="1"/>
  <c r="Q170" i="4"/>
  <c r="J170" i="4"/>
  <c r="H170" i="4"/>
  <c r="P170" i="4" s="1"/>
  <c r="Q169" i="4"/>
  <c r="J169" i="4"/>
  <c r="H169" i="4"/>
  <c r="P169" i="4" s="1"/>
  <c r="Q168" i="4"/>
  <c r="J168" i="4"/>
  <c r="P168" i="4" s="1"/>
  <c r="H168" i="4"/>
  <c r="Q167" i="4"/>
  <c r="P167" i="4"/>
  <c r="J167" i="4"/>
  <c r="H167" i="4"/>
  <c r="Q166" i="4"/>
  <c r="J166" i="4"/>
  <c r="H166" i="4"/>
  <c r="Q165" i="4"/>
  <c r="P165" i="4"/>
  <c r="J165" i="4"/>
  <c r="H165" i="4"/>
  <c r="Q164" i="4"/>
  <c r="J164" i="4"/>
  <c r="H164" i="4"/>
  <c r="P164" i="4" s="1"/>
  <c r="Q163" i="4"/>
  <c r="P163" i="4"/>
  <c r="J163" i="4"/>
  <c r="H163" i="4"/>
  <c r="Q162" i="4"/>
  <c r="J162" i="4"/>
  <c r="P162" i="4" s="1"/>
  <c r="H162" i="4"/>
  <c r="Q161" i="4"/>
  <c r="P161" i="4"/>
  <c r="J161" i="4"/>
  <c r="H161" i="4"/>
  <c r="Q160" i="4"/>
  <c r="J160" i="4"/>
  <c r="H160" i="4"/>
  <c r="P160" i="4" s="1"/>
  <c r="Q159" i="4"/>
  <c r="P159" i="4"/>
  <c r="J159" i="4"/>
  <c r="H159" i="4"/>
  <c r="Q158" i="4"/>
  <c r="J158" i="4"/>
  <c r="P158" i="4" s="1"/>
  <c r="H158" i="4"/>
  <c r="Q157" i="4"/>
  <c r="P157" i="4"/>
  <c r="J157" i="4"/>
  <c r="H157" i="4"/>
  <c r="Q156" i="4"/>
  <c r="J156" i="4"/>
  <c r="H156" i="4"/>
  <c r="P156" i="4" s="1"/>
  <c r="Q155" i="4"/>
  <c r="J155" i="4"/>
  <c r="H155" i="4"/>
  <c r="P155" i="4" s="1"/>
  <c r="Q154" i="4"/>
  <c r="J154" i="4"/>
  <c r="P154" i="4" s="1"/>
  <c r="H154" i="4"/>
  <c r="Q153" i="4"/>
  <c r="P153" i="4"/>
  <c r="J153" i="4"/>
  <c r="H153" i="4"/>
  <c r="Q152" i="4"/>
  <c r="J152" i="4"/>
  <c r="H152" i="4"/>
  <c r="P152" i="4" s="1"/>
  <c r="Q151" i="4"/>
  <c r="J151" i="4"/>
  <c r="H151" i="4"/>
  <c r="P151" i="4" s="1"/>
  <c r="Q150" i="4"/>
  <c r="J150" i="4"/>
  <c r="P150" i="4" s="1"/>
  <c r="H150" i="4"/>
  <c r="Q149" i="4"/>
  <c r="P149" i="4"/>
  <c r="J149" i="4"/>
  <c r="H149" i="4"/>
  <c r="Q148" i="4"/>
  <c r="J148" i="4"/>
  <c r="H148" i="4"/>
  <c r="P148" i="4" s="1"/>
  <c r="Q147" i="4"/>
  <c r="J147" i="4"/>
  <c r="H147" i="4"/>
  <c r="P147" i="4" s="1"/>
  <c r="Q146" i="4"/>
  <c r="J146" i="4"/>
  <c r="P146" i="4" s="1"/>
  <c r="H146" i="4"/>
  <c r="Q145" i="4"/>
  <c r="P145" i="4"/>
  <c r="J145" i="4"/>
  <c r="H145" i="4"/>
  <c r="Q144" i="4"/>
  <c r="J144" i="4"/>
  <c r="H144" i="4"/>
  <c r="P144" i="4" s="1"/>
  <c r="Q143" i="4"/>
  <c r="J143" i="4"/>
  <c r="H143" i="4"/>
  <c r="P143" i="4" s="1"/>
  <c r="Q142" i="4"/>
  <c r="J142" i="4"/>
  <c r="P142" i="4" s="1"/>
  <c r="H142" i="4"/>
  <c r="Q141" i="4"/>
  <c r="P141" i="4"/>
  <c r="J141" i="4"/>
  <c r="H141" i="4"/>
  <c r="Q140" i="4"/>
  <c r="J140" i="4"/>
  <c r="H140" i="4"/>
  <c r="P140" i="4" s="1"/>
  <c r="Q139" i="4"/>
  <c r="J139" i="4"/>
  <c r="H139" i="4"/>
  <c r="P139" i="4" s="1"/>
  <c r="Q138" i="4"/>
  <c r="J138" i="4"/>
  <c r="P138" i="4" s="1"/>
  <c r="H138" i="4"/>
  <c r="Q137" i="4"/>
  <c r="P137" i="4"/>
  <c r="J137" i="4"/>
  <c r="H137" i="4"/>
  <c r="Q136" i="4"/>
  <c r="J136" i="4"/>
  <c r="H136" i="4"/>
  <c r="P136" i="4" s="1"/>
  <c r="Q135" i="4"/>
  <c r="J135" i="4"/>
  <c r="H135" i="4"/>
  <c r="P135" i="4" s="1"/>
  <c r="Q134" i="4"/>
  <c r="J134" i="4"/>
  <c r="P134" i="4" s="1"/>
  <c r="H134" i="4"/>
  <c r="Q133" i="4"/>
  <c r="P133" i="4"/>
  <c r="J133" i="4"/>
  <c r="H133" i="4"/>
  <c r="Q132" i="4"/>
  <c r="J132" i="4"/>
  <c r="H132" i="4"/>
  <c r="P132" i="4" s="1"/>
  <c r="Q131" i="4"/>
  <c r="J131" i="4"/>
  <c r="H131" i="4"/>
  <c r="P131" i="4" s="1"/>
  <c r="Q130" i="4"/>
  <c r="J130" i="4"/>
  <c r="P130" i="4" s="1"/>
  <c r="H130" i="4"/>
  <c r="Q129" i="4"/>
  <c r="P129" i="4"/>
  <c r="J129" i="4"/>
  <c r="H129" i="4"/>
  <c r="Q128" i="4"/>
  <c r="J128" i="4"/>
  <c r="H128" i="4"/>
  <c r="P128" i="4" s="1"/>
  <c r="Q127" i="4"/>
  <c r="J127" i="4"/>
  <c r="H127" i="4"/>
  <c r="P127" i="4" s="1"/>
  <c r="Q126" i="4"/>
  <c r="J126" i="4"/>
  <c r="P126" i="4" s="1"/>
  <c r="H126" i="4"/>
  <c r="Q125" i="4"/>
  <c r="P125" i="4"/>
  <c r="J125" i="4"/>
  <c r="H125" i="4"/>
  <c r="Q124" i="4"/>
  <c r="J124" i="4"/>
  <c r="H124" i="4"/>
  <c r="P124" i="4" s="1"/>
  <c r="Q123" i="4"/>
  <c r="J123" i="4"/>
  <c r="H123" i="4"/>
  <c r="P123" i="4" s="1"/>
  <c r="Q122" i="4"/>
  <c r="J122" i="4"/>
  <c r="P122" i="4" s="1"/>
  <c r="H122" i="4"/>
  <c r="Q121" i="4"/>
  <c r="P121" i="4"/>
  <c r="J121" i="4"/>
  <c r="H121" i="4"/>
  <c r="Q120" i="4"/>
  <c r="J120" i="4"/>
  <c r="H120" i="4"/>
  <c r="P120" i="4" s="1"/>
  <c r="Q119" i="4"/>
  <c r="J119" i="4"/>
  <c r="H119" i="4"/>
  <c r="P119" i="4" s="1"/>
  <c r="Q118" i="4"/>
  <c r="J118" i="4"/>
  <c r="P118" i="4" s="1"/>
  <c r="H118" i="4"/>
  <c r="Q117" i="4"/>
  <c r="J117" i="4"/>
  <c r="H117" i="4"/>
  <c r="P117" i="4" s="1"/>
  <c r="Q116" i="4"/>
  <c r="J116" i="4"/>
  <c r="H116" i="4"/>
  <c r="P116" i="4" s="1"/>
  <c r="Q115" i="4"/>
  <c r="J115" i="4"/>
  <c r="H115" i="4"/>
  <c r="P115" i="4" s="1"/>
  <c r="Q114" i="4"/>
  <c r="J114" i="4"/>
  <c r="P114" i="4" s="1"/>
  <c r="H114" i="4"/>
  <c r="Q113" i="4"/>
  <c r="P113" i="4"/>
  <c r="J113" i="4"/>
  <c r="H113" i="4"/>
  <c r="Q112" i="4"/>
  <c r="J112" i="4"/>
  <c r="H112" i="4"/>
  <c r="P112" i="4" s="1"/>
  <c r="Q111" i="4"/>
  <c r="J111" i="4"/>
  <c r="H111" i="4"/>
  <c r="P111" i="4" s="1"/>
  <c r="Q110" i="4"/>
  <c r="J110" i="4"/>
  <c r="P110" i="4" s="1"/>
  <c r="H110" i="4"/>
  <c r="Q109" i="4"/>
  <c r="P109" i="4"/>
  <c r="J109" i="4"/>
  <c r="H109" i="4"/>
  <c r="Q108" i="4"/>
  <c r="J108" i="4"/>
  <c r="H108" i="4"/>
  <c r="P108" i="4" s="1"/>
  <c r="Q107" i="4"/>
  <c r="J107" i="4"/>
  <c r="H107" i="4"/>
  <c r="P107" i="4" s="1"/>
  <c r="Q106" i="4"/>
  <c r="J106" i="4"/>
  <c r="P106" i="4" s="1"/>
  <c r="H106" i="4"/>
  <c r="Q105" i="4"/>
  <c r="P105" i="4"/>
  <c r="J105" i="4"/>
  <c r="H105" i="4"/>
  <c r="Q104" i="4"/>
  <c r="J104" i="4"/>
  <c r="H104" i="4"/>
  <c r="P104" i="4" s="1"/>
  <c r="Q103" i="4"/>
  <c r="J103" i="4"/>
  <c r="H103" i="4"/>
  <c r="P103" i="4" s="1"/>
  <c r="Q102" i="4"/>
  <c r="J102" i="4"/>
  <c r="P102" i="4" s="1"/>
  <c r="H102" i="4"/>
  <c r="Q101" i="4"/>
  <c r="J101" i="4"/>
  <c r="H101" i="4"/>
  <c r="P101" i="4" s="1"/>
  <c r="Q100" i="4"/>
  <c r="J100" i="4"/>
  <c r="H100" i="4"/>
  <c r="P100" i="4" s="1"/>
  <c r="Q99" i="4"/>
  <c r="J99" i="4"/>
  <c r="H99" i="4"/>
  <c r="P99" i="4" s="1"/>
  <c r="Q98" i="4"/>
  <c r="J98" i="4"/>
  <c r="P98" i="4" s="1"/>
  <c r="H98" i="4"/>
  <c r="Q97" i="4"/>
  <c r="J97" i="4"/>
  <c r="H97" i="4"/>
  <c r="P97" i="4" s="1"/>
  <c r="Q96" i="4"/>
  <c r="J96" i="4"/>
  <c r="H96" i="4"/>
  <c r="P96" i="4" s="1"/>
  <c r="Q95" i="4"/>
  <c r="J95" i="4"/>
  <c r="H95" i="4"/>
  <c r="P95" i="4" s="1"/>
  <c r="Q94" i="4"/>
  <c r="J94" i="4"/>
  <c r="P94" i="4" s="1"/>
  <c r="H94" i="4"/>
  <c r="Q93" i="4"/>
  <c r="J93" i="4"/>
  <c r="H93" i="4"/>
  <c r="P93" i="4" s="1"/>
  <c r="Q92" i="4"/>
  <c r="J92" i="4"/>
  <c r="H92" i="4"/>
  <c r="P92" i="4" s="1"/>
  <c r="Q91" i="4"/>
  <c r="J91" i="4"/>
  <c r="H91" i="4"/>
  <c r="P91" i="4" s="1"/>
  <c r="Q90" i="4"/>
  <c r="J90" i="4"/>
  <c r="P90" i="4" s="1"/>
  <c r="H90" i="4"/>
  <c r="Q89" i="4"/>
  <c r="J89" i="4"/>
  <c r="H89" i="4"/>
  <c r="P89" i="4" s="1"/>
  <c r="Q88" i="4"/>
  <c r="J88" i="4"/>
  <c r="H88" i="4"/>
  <c r="P88" i="4" s="1"/>
  <c r="Q87" i="4"/>
  <c r="J87" i="4"/>
  <c r="H87" i="4"/>
  <c r="P87" i="4" s="1"/>
  <c r="Q86" i="4"/>
  <c r="J86" i="4"/>
  <c r="P86" i="4" s="1"/>
  <c r="H86" i="4"/>
  <c r="Q85" i="4"/>
  <c r="J85" i="4"/>
  <c r="H85" i="4"/>
  <c r="P85" i="4" s="1"/>
  <c r="Q84" i="4"/>
  <c r="J84" i="4"/>
  <c r="H84" i="4"/>
  <c r="P84" i="4" s="1"/>
  <c r="Q83" i="4"/>
  <c r="J83" i="4"/>
  <c r="H83" i="4"/>
  <c r="P83" i="4" s="1"/>
  <c r="Q82" i="4"/>
  <c r="J82" i="4"/>
  <c r="H82" i="4"/>
  <c r="P82" i="4" s="1"/>
  <c r="Q81" i="4"/>
  <c r="J81" i="4"/>
  <c r="H81" i="4"/>
  <c r="P81" i="4" s="1"/>
  <c r="Q80" i="4"/>
  <c r="J80" i="4"/>
  <c r="H80" i="4"/>
  <c r="P80" i="4" s="1"/>
  <c r="Q79" i="4"/>
  <c r="J79" i="4"/>
  <c r="H79" i="4"/>
  <c r="P79" i="4" s="1"/>
  <c r="Q78" i="4"/>
  <c r="J78" i="4"/>
  <c r="H78" i="4"/>
  <c r="P78" i="4" s="1"/>
  <c r="Q77" i="4"/>
  <c r="J77" i="4"/>
  <c r="H77" i="4"/>
  <c r="P77" i="4" s="1"/>
  <c r="Q76" i="4"/>
  <c r="J76" i="4"/>
  <c r="H76" i="4"/>
  <c r="P76" i="4" s="1"/>
  <c r="Q75" i="4"/>
  <c r="J75" i="4"/>
  <c r="H75" i="4"/>
  <c r="P75" i="4" s="1"/>
  <c r="Q74" i="4"/>
  <c r="J74" i="4"/>
  <c r="H74" i="4"/>
  <c r="P74" i="4" s="1"/>
  <c r="Q73" i="4"/>
  <c r="J73" i="4"/>
  <c r="H73" i="4"/>
  <c r="P73" i="4" s="1"/>
  <c r="Q72" i="4"/>
  <c r="J72" i="4"/>
  <c r="H72" i="4"/>
  <c r="P72" i="4" s="1"/>
  <c r="Q71" i="4"/>
  <c r="J71" i="4"/>
  <c r="H71" i="4"/>
  <c r="P71" i="4" s="1"/>
  <c r="Q70" i="4"/>
  <c r="J70" i="4"/>
  <c r="H70" i="4"/>
  <c r="P70" i="4" s="1"/>
  <c r="Q69" i="4"/>
  <c r="J69" i="4"/>
  <c r="H69" i="4"/>
  <c r="P69" i="4" s="1"/>
  <c r="Q68" i="4"/>
  <c r="J68" i="4"/>
  <c r="H68" i="4"/>
  <c r="P68" i="4" s="1"/>
  <c r="Q67" i="4"/>
  <c r="J67" i="4"/>
  <c r="H67" i="4"/>
  <c r="P67" i="4" s="1"/>
  <c r="Q66" i="4"/>
  <c r="J66" i="4"/>
  <c r="H66" i="4"/>
  <c r="P66" i="4" s="1"/>
  <c r="Q65" i="4"/>
  <c r="J65" i="4"/>
  <c r="H65" i="4"/>
  <c r="P65" i="4" s="1"/>
  <c r="Q64" i="4"/>
  <c r="J64" i="4"/>
  <c r="H64" i="4"/>
  <c r="P64" i="4" s="1"/>
  <c r="Q63" i="4"/>
  <c r="J63" i="4"/>
  <c r="H63" i="4"/>
  <c r="P63" i="4" s="1"/>
  <c r="Q62" i="4"/>
  <c r="J62" i="4"/>
  <c r="H62" i="4"/>
  <c r="P62" i="4" s="1"/>
  <c r="Q61" i="4"/>
  <c r="J61" i="4"/>
  <c r="H61" i="4"/>
  <c r="P61" i="4" s="1"/>
  <c r="Q60" i="4"/>
  <c r="J60" i="4"/>
  <c r="H60" i="4"/>
  <c r="P60" i="4" s="1"/>
  <c r="Q59" i="4"/>
  <c r="J59" i="4"/>
  <c r="H59" i="4"/>
  <c r="P59" i="4" s="1"/>
  <c r="Q58" i="4"/>
  <c r="J58" i="4"/>
  <c r="H58" i="4"/>
  <c r="P58" i="4" s="1"/>
  <c r="Q57" i="4"/>
  <c r="J57" i="4"/>
  <c r="H57" i="4"/>
  <c r="P57" i="4" s="1"/>
  <c r="Q56" i="4"/>
  <c r="J56" i="4"/>
  <c r="H56" i="4"/>
  <c r="P56" i="4" s="1"/>
  <c r="Q55" i="4"/>
  <c r="J55" i="4"/>
  <c r="H55" i="4"/>
  <c r="P55" i="4" s="1"/>
  <c r="Q54" i="4"/>
  <c r="J54" i="4"/>
  <c r="H54" i="4"/>
  <c r="P54" i="4" s="1"/>
  <c r="Q53" i="4"/>
  <c r="J53" i="4"/>
  <c r="H53" i="4"/>
  <c r="P53" i="4" s="1"/>
  <c r="Q52" i="4"/>
  <c r="J52" i="4"/>
  <c r="H52" i="4"/>
  <c r="P52" i="4" s="1"/>
  <c r="Q51" i="4"/>
  <c r="J51" i="4"/>
  <c r="H51" i="4"/>
  <c r="P51" i="4" s="1"/>
  <c r="Q50" i="4"/>
  <c r="J50" i="4"/>
  <c r="H50" i="4"/>
  <c r="P50" i="4" s="1"/>
  <c r="Q49" i="4"/>
  <c r="J49" i="4"/>
  <c r="H49" i="4"/>
  <c r="P49" i="4" s="1"/>
  <c r="Q48" i="4"/>
  <c r="J48" i="4"/>
  <c r="H48" i="4"/>
  <c r="P48" i="4" s="1"/>
  <c r="Q47" i="4"/>
  <c r="J47" i="4"/>
  <c r="H47" i="4"/>
  <c r="P47" i="4" s="1"/>
  <c r="Q46" i="4"/>
  <c r="J46" i="4"/>
  <c r="H46" i="4"/>
  <c r="P46" i="4" s="1"/>
  <c r="Q45" i="4"/>
  <c r="J45" i="4"/>
  <c r="H45" i="4"/>
  <c r="P45" i="4" s="1"/>
  <c r="Q44" i="4"/>
  <c r="J44" i="4"/>
  <c r="H44" i="4"/>
  <c r="P44" i="4" s="1"/>
  <c r="Q43" i="4"/>
  <c r="J43" i="4"/>
  <c r="H43" i="4"/>
  <c r="P43" i="4" s="1"/>
  <c r="Q42" i="4"/>
  <c r="J42" i="4"/>
  <c r="H42" i="4"/>
  <c r="P42" i="4" s="1"/>
  <c r="Q41" i="4"/>
  <c r="J41" i="4"/>
  <c r="H41" i="4"/>
  <c r="P41" i="4" s="1"/>
  <c r="Q40" i="4"/>
  <c r="J40" i="4"/>
  <c r="H40" i="4"/>
  <c r="P40" i="4" s="1"/>
  <c r="Q39" i="4"/>
  <c r="J39" i="4"/>
  <c r="H39" i="4"/>
  <c r="P39" i="4" s="1"/>
  <c r="Q38" i="4"/>
  <c r="J38" i="4"/>
  <c r="H38" i="4"/>
  <c r="P38" i="4" s="1"/>
  <c r="Q37" i="4"/>
  <c r="J37" i="4"/>
  <c r="H37" i="4"/>
  <c r="P37" i="4" s="1"/>
  <c r="Q36" i="4"/>
  <c r="J36" i="4"/>
  <c r="H36" i="4"/>
  <c r="P36" i="4" s="1"/>
  <c r="Q35" i="4"/>
  <c r="J35" i="4"/>
  <c r="H35" i="4"/>
  <c r="P35" i="4" s="1"/>
  <c r="Q34" i="4"/>
  <c r="J34" i="4"/>
  <c r="H34" i="4"/>
  <c r="P34" i="4" s="1"/>
  <c r="Q33" i="4"/>
  <c r="J33" i="4"/>
  <c r="H33" i="4"/>
  <c r="P33" i="4" s="1"/>
  <c r="Q32" i="4"/>
  <c r="J32" i="4"/>
  <c r="H32" i="4"/>
  <c r="P32" i="4" s="1"/>
  <c r="Q31" i="4"/>
  <c r="J31" i="4"/>
  <c r="H31" i="4"/>
  <c r="P31" i="4" s="1"/>
  <c r="Q30" i="4"/>
  <c r="J30" i="4"/>
  <c r="H30" i="4"/>
  <c r="P30" i="4" s="1"/>
  <c r="Q29" i="4"/>
  <c r="J29" i="4"/>
  <c r="H29" i="4"/>
  <c r="P29" i="4" s="1"/>
  <c r="Q28" i="4"/>
  <c r="J28" i="4"/>
  <c r="H28" i="4"/>
  <c r="P28" i="4" s="1"/>
  <c r="Q27" i="4"/>
  <c r="J27" i="4"/>
  <c r="H27" i="4"/>
  <c r="P27" i="4" s="1"/>
  <c r="Q26" i="4"/>
  <c r="J26" i="4"/>
  <c r="H26" i="4"/>
  <c r="P26" i="4" s="1"/>
  <c r="Q25" i="4"/>
  <c r="J25" i="4"/>
  <c r="H25" i="4"/>
  <c r="P25" i="4" s="1"/>
  <c r="Q24" i="4"/>
  <c r="J24" i="4"/>
  <c r="H24" i="4"/>
  <c r="P24" i="4" s="1"/>
  <c r="Q23" i="4"/>
  <c r="J23" i="4"/>
  <c r="H23" i="4"/>
  <c r="P23" i="4" s="1"/>
  <c r="Q22" i="4"/>
  <c r="J22" i="4"/>
  <c r="H22" i="4"/>
  <c r="P22" i="4" s="1"/>
  <c r="Q21" i="4"/>
  <c r="J21" i="4"/>
  <c r="H21" i="4"/>
  <c r="P21" i="4" s="1"/>
  <c r="Q20" i="4"/>
  <c r="J20" i="4"/>
  <c r="H20" i="4"/>
  <c r="P20" i="4" s="1"/>
  <c r="Q19" i="4"/>
  <c r="J19" i="4"/>
  <c r="H19" i="4"/>
  <c r="P19" i="4" s="1"/>
  <c r="Q18" i="4"/>
  <c r="J18" i="4"/>
  <c r="H18" i="4"/>
  <c r="P18" i="4" s="1"/>
  <c r="Q17" i="4"/>
  <c r="J17" i="4"/>
  <c r="H17" i="4"/>
  <c r="P17" i="4" s="1"/>
  <c r="Q16" i="4"/>
  <c r="J16" i="4"/>
  <c r="H16" i="4"/>
  <c r="P16" i="4" s="1"/>
  <c r="Q15" i="4"/>
  <c r="J15" i="4"/>
  <c r="H15" i="4"/>
  <c r="P15" i="4" s="1"/>
  <c r="Q14" i="4"/>
  <c r="J14" i="4"/>
  <c r="H14" i="4"/>
  <c r="P14" i="4" s="1"/>
  <c r="Q13" i="4"/>
  <c r="J13" i="4"/>
  <c r="H13" i="4"/>
  <c r="P13" i="4" s="1"/>
  <c r="Q12" i="4"/>
  <c r="J12" i="4"/>
  <c r="H12" i="4"/>
  <c r="P12" i="4" s="1"/>
  <c r="Q11" i="4"/>
  <c r="J11" i="4"/>
  <c r="H11" i="4"/>
  <c r="P11" i="4" s="1"/>
  <c r="Q10" i="4"/>
  <c r="J10" i="4"/>
  <c r="H10" i="4"/>
  <c r="P10" i="4" s="1"/>
  <c r="Q9" i="4"/>
  <c r="J9" i="4"/>
  <c r="H9" i="4"/>
  <c r="P9" i="4" s="1"/>
  <c r="Q8" i="4"/>
  <c r="J8" i="4"/>
  <c r="H8" i="4"/>
  <c r="P8" i="4" s="1"/>
  <c r="Q7" i="4"/>
  <c r="J7" i="4"/>
  <c r="H7" i="4"/>
  <c r="P7" i="4" s="1"/>
  <c r="Q6" i="4"/>
  <c r="J6" i="4"/>
  <c r="H6" i="4"/>
  <c r="P6" i="4" s="1"/>
  <c r="Q5" i="4"/>
  <c r="J5" i="4"/>
  <c r="H5" i="4"/>
  <c r="P5" i="4" s="1"/>
  <c r="Q4" i="4"/>
  <c r="J4" i="4"/>
  <c r="H4" i="4"/>
  <c r="P4" i="4" s="1"/>
  <c r="Q3" i="4"/>
  <c r="J3" i="4"/>
  <c r="H3" i="4"/>
  <c r="P3" i="4" s="1"/>
  <c r="Q2" i="4"/>
  <c r="J2" i="4"/>
  <c r="H2" i="4"/>
  <c r="P2" i="4" s="1"/>
  <c r="P647" i="2"/>
  <c r="P646" i="2"/>
  <c r="P645" i="2"/>
  <c r="P644" i="2"/>
  <c r="P643" i="2"/>
  <c r="P642" i="2"/>
  <c r="P641" i="2"/>
  <c r="P640" i="2"/>
  <c r="P639" i="2"/>
  <c r="P638" i="2"/>
  <c r="P637" i="2"/>
  <c r="P636" i="2"/>
  <c r="P635" i="2"/>
  <c r="P634" i="2"/>
  <c r="P633" i="2"/>
  <c r="P632" i="2"/>
  <c r="P631" i="2"/>
  <c r="P630" i="2"/>
  <c r="P629" i="2"/>
  <c r="P628" i="2"/>
  <c r="P627" i="2"/>
  <c r="P626" i="2"/>
  <c r="P625" i="2"/>
  <c r="P624" i="2"/>
  <c r="P623" i="2"/>
  <c r="P622" i="2"/>
  <c r="P621" i="2"/>
  <c r="P620" i="2"/>
  <c r="P619" i="2"/>
  <c r="P618" i="2"/>
  <c r="P617" i="2"/>
  <c r="P616" i="2"/>
  <c r="P615" i="2"/>
  <c r="P614" i="2"/>
  <c r="P613" i="2"/>
  <c r="P612" i="2"/>
  <c r="P611" i="2"/>
  <c r="P610" i="2"/>
  <c r="P609" i="2"/>
  <c r="P608" i="2"/>
  <c r="P607" i="2"/>
  <c r="P606" i="2"/>
  <c r="P605" i="2"/>
  <c r="P604" i="2"/>
  <c r="P603" i="2"/>
  <c r="P602" i="2"/>
  <c r="P601" i="2"/>
  <c r="P600" i="2"/>
  <c r="P599" i="2"/>
  <c r="P598" i="2"/>
  <c r="P597" i="2"/>
  <c r="P596" i="2"/>
  <c r="P595" i="2"/>
  <c r="P594" i="2"/>
  <c r="P593" i="2"/>
  <c r="P592" i="2"/>
  <c r="P591" i="2"/>
  <c r="P590" i="2"/>
  <c r="P589" i="2"/>
  <c r="P588" i="2"/>
  <c r="P587" i="2"/>
  <c r="P586" i="2"/>
  <c r="P585" i="2"/>
  <c r="P584" i="2"/>
  <c r="P583" i="2"/>
  <c r="P582" i="2"/>
  <c r="P581" i="2"/>
  <c r="P580" i="2"/>
  <c r="P579" i="2"/>
  <c r="P578" i="2"/>
  <c r="P577" i="2"/>
  <c r="P576" i="2"/>
  <c r="P575" i="2"/>
  <c r="P574" i="2"/>
  <c r="P573" i="2"/>
  <c r="P572" i="2"/>
  <c r="P571" i="2"/>
  <c r="P570" i="2"/>
  <c r="P569" i="2"/>
  <c r="P568" i="2"/>
  <c r="P567" i="2"/>
  <c r="P566" i="2"/>
  <c r="P565" i="2"/>
  <c r="P564" i="2"/>
  <c r="P563" i="2"/>
  <c r="P562" i="2"/>
  <c r="P561" i="2"/>
  <c r="P560" i="2"/>
  <c r="P559" i="2"/>
  <c r="P558" i="2"/>
  <c r="P557" i="2"/>
  <c r="P556" i="2"/>
  <c r="P555" i="2"/>
  <c r="P554" i="2"/>
  <c r="P553" i="2"/>
  <c r="P552" i="2"/>
  <c r="P551" i="2"/>
  <c r="P550" i="2"/>
  <c r="P549" i="2"/>
  <c r="P548" i="2"/>
  <c r="P547" i="2"/>
  <c r="P546" i="2"/>
  <c r="P545" i="2"/>
  <c r="P544" i="2"/>
  <c r="P543" i="2"/>
  <c r="P542" i="2"/>
  <c r="P541" i="2"/>
  <c r="P540" i="2"/>
  <c r="P539" i="2"/>
  <c r="P538" i="2"/>
  <c r="P537" i="2"/>
  <c r="P536" i="2"/>
  <c r="P535" i="2"/>
  <c r="P534" i="2"/>
  <c r="P533" i="2"/>
  <c r="P532" i="2"/>
  <c r="P531" i="2"/>
  <c r="P530" i="2"/>
  <c r="P529" i="2"/>
  <c r="P528" i="2"/>
  <c r="P527" i="2"/>
  <c r="P526" i="2"/>
  <c r="P525" i="2"/>
  <c r="P524" i="2"/>
  <c r="P523" i="2"/>
  <c r="P522" i="2"/>
  <c r="P521" i="2"/>
  <c r="P520" i="2"/>
  <c r="P519" i="2"/>
  <c r="P518" i="2"/>
  <c r="P517" i="2"/>
  <c r="P516" i="2"/>
  <c r="P515" i="2"/>
  <c r="P514" i="2"/>
  <c r="P513" i="2"/>
  <c r="P512" i="2"/>
  <c r="P511" i="2"/>
  <c r="P510" i="2"/>
  <c r="P509" i="2"/>
  <c r="P508" i="2"/>
  <c r="P507" i="2"/>
  <c r="P506" i="2"/>
  <c r="P505" i="2"/>
  <c r="P504" i="2"/>
  <c r="P503" i="2"/>
  <c r="P502" i="2"/>
  <c r="P501" i="2"/>
  <c r="P500" i="2"/>
  <c r="P499" i="2"/>
  <c r="P498" i="2"/>
  <c r="P497" i="2"/>
  <c r="P496" i="2"/>
  <c r="P495" i="2"/>
  <c r="P494" i="2"/>
  <c r="P493" i="2"/>
  <c r="P492" i="2"/>
  <c r="P491" i="2"/>
  <c r="P490" i="2"/>
  <c r="P489" i="2"/>
  <c r="P488" i="2"/>
  <c r="P487" i="2"/>
  <c r="P486" i="2"/>
  <c r="P485" i="2"/>
  <c r="P484" i="2"/>
  <c r="P483" i="2"/>
  <c r="P482" i="2"/>
  <c r="P481" i="2"/>
  <c r="P480" i="2"/>
  <c r="P479" i="2"/>
  <c r="P478" i="2"/>
  <c r="P477" i="2"/>
  <c r="P476" i="2"/>
  <c r="P475" i="2"/>
  <c r="P474" i="2"/>
  <c r="P473" i="2"/>
  <c r="P472" i="2"/>
  <c r="P471" i="2"/>
  <c r="P470" i="2"/>
  <c r="P469" i="2"/>
  <c r="P468" i="2"/>
  <c r="P467" i="2"/>
  <c r="P466" i="2"/>
  <c r="P465" i="2"/>
  <c r="P464" i="2"/>
  <c r="P463" i="2"/>
  <c r="P462" i="2"/>
  <c r="P461" i="2"/>
  <c r="P460" i="2"/>
  <c r="P459" i="2"/>
  <c r="P458" i="2"/>
  <c r="P457" i="2"/>
  <c r="P456" i="2"/>
  <c r="P455" i="2"/>
  <c r="P454" i="2"/>
  <c r="P453" i="2"/>
  <c r="P452" i="2"/>
  <c r="P451" i="2"/>
  <c r="P450" i="2"/>
  <c r="P449" i="2"/>
  <c r="P448" i="2"/>
  <c r="P447" i="2"/>
  <c r="P446" i="2"/>
  <c r="P445" i="2"/>
  <c r="P444" i="2"/>
  <c r="P443" i="2"/>
  <c r="P442" i="2"/>
  <c r="P441" i="2"/>
  <c r="P440" i="2"/>
  <c r="P439" i="2"/>
  <c r="P438" i="2"/>
  <c r="P437" i="2"/>
  <c r="P436" i="2"/>
  <c r="P435" i="2"/>
  <c r="P434" i="2"/>
  <c r="P433" i="2"/>
  <c r="P432" i="2"/>
  <c r="P431" i="2"/>
  <c r="P430" i="2"/>
  <c r="P429" i="2"/>
  <c r="P428" i="2"/>
  <c r="P427" i="2"/>
  <c r="P426" i="2"/>
  <c r="P425" i="2"/>
  <c r="P424" i="2"/>
  <c r="P423" i="2"/>
  <c r="P422" i="2"/>
  <c r="P421" i="2"/>
  <c r="P420" i="2"/>
  <c r="P419" i="2"/>
  <c r="P418" i="2"/>
  <c r="P417" i="2"/>
  <c r="P416" i="2"/>
  <c r="P415" i="2"/>
  <c r="P414" i="2"/>
  <c r="P413" i="2"/>
  <c r="P412" i="2"/>
  <c r="P411" i="2"/>
  <c r="P410" i="2"/>
  <c r="P409" i="2"/>
  <c r="P408" i="2"/>
  <c r="P407" i="2"/>
  <c r="P406" i="2"/>
  <c r="P405" i="2"/>
  <c r="P404" i="2"/>
  <c r="P403" i="2"/>
  <c r="P402" i="2"/>
  <c r="P401" i="2"/>
  <c r="P400" i="2"/>
  <c r="P399" i="2"/>
  <c r="P398" i="2"/>
  <c r="P397" i="2"/>
  <c r="P396" i="2"/>
  <c r="P395" i="2"/>
  <c r="P394" i="2"/>
  <c r="P393" i="2"/>
  <c r="P392" i="2"/>
  <c r="P391" i="2"/>
  <c r="P390" i="2"/>
  <c r="P389" i="2"/>
  <c r="P388" i="2"/>
  <c r="P387" i="2"/>
  <c r="P386" i="2"/>
  <c r="P385" i="2"/>
  <c r="P384" i="2"/>
  <c r="P383" i="2"/>
  <c r="P382" i="2"/>
  <c r="P381" i="2"/>
  <c r="P380" i="2"/>
  <c r="P379" i="2"/>
  <c r="P378" i="2"/>
  <c r="P377" i="2"/>
  <c r="P376" i="2"/>
  <c r="P375" i="2"/>
  <c r="P374" i="2"/>
  <c r="P373" i="2"/>
  <c r="P372" i="2"/>
  <c r="P371" i="2"/>
  <c r="P222" i="4" l="1"/>
  <c r="P214" i="4"/>
  <c r="P278" i="4"/>
  <c r="P342" i="4"/>
  <c r="P406" i="4"/>
  <c r="P438" i="4"/>
  <c r="P210" i="4"/>
  <c r="P274" i="4"/>
  <c r="P334" i="4"/>
  <c r="P398" i="4"/>
  <c r="P434" i="4"/>
  <c r="P509" i="4"/>
  <c r="P202" i="4"/>
  <c r="P266" i="4"/>
  <c r="P330" i="4"/>
  <c r="P394" i="4"/>
  <c r="P425" i="4"/>
  <c r="P457" i="4"/>
  <c r="P198" i="4"/>
  <c r="P262" i="4"/>
  <c r="P382" i="4"/>
  <c r="P426" i="4"/>
  <c r="P510" i="4"/>
  <c r="P182" i="4"/>
  <c r="P246" i="4"/>
  <c r="P310" i="4"/>
  <c r="P374" i="4"/>
  <c r="P422" i="4"/>
  <c r="P178" i="4"/>
  <c r="P242" i="4"/>
  <c r="P306" i="4"/>
  <c r="P370" i="4"/>
  <c r="P413" i="4"/>
  <c r="P445" i="4"/>
  <c r="P477" i="4"/>
  <c r="P166" i="4"/>
  <c r="P230" i="4"/>
  <c r="P290" i="4"/>
  <c r="P354" i="4"/>
  <c r="P437" i="4"/>
  <c r="P469" i="4"/>
</calcChain>
</file>

<file path=xl/sharedStrings.xml><?xml version="1.0" encoding="utf-8"?>
<sst xmlns="http://schemas.openxmlformats.org/spreadsheetml/2006/main" count="7394" uniqueCount="899">
  <si>
    <t>Data</t>
  </si>
  <si>
    <t>Quem foi ?</t>
  </si>
  <si>
    <t>Nome do Cliente</t>
  </si>
  <si>
    <t>Novo cliente?</t>
  </si>
  <si>
    <t>Telefone</t>
  </si>
  <si>
    <t>Lista de Serviço</t>
  </si>
  <si>
    <t>Valor</t>
  </si>
  <si>
    <t>Lista de Serviço Extra</t>
  </si>
  <si>
    <t>ValorExtra</t>
  </si>
  <si>
    <t>Status do Pagamento</t>
  </si>
  <si>
    <t>Forma de Pagamento</t>
  </si>
  <si>
    <t>Coluna1</t>
  </si>
  <si>
    <t>Pézinho</t>
  </si>
  <si>
    <t>R$ 20,00</t>
  </si>
  <si>
    <t>Cássio</t>
  </si>
  <si>
    <t>Sim</t>
  </si>
  <si>
    <t>Corte de cabelo</t>
  </si>
  <si>
    <t>R$ 45,00</t>
  </si>
  <si>
    <t>Pago</t>
  </si>
  <si>
    <t>Dinheiro</t>
  </si>
  <si>
    <t>Janeiro</t>
  </si>
  <si>
    <t>Sombrancelha</t>
  </si>
  <si>
    <t>R$ 10,00</t>
  </si>
  <si>
    <t>Jheyson</t>
  </si>
  <si>
    <t>Não</t>
  </si>
  <si>
    <t>Corte e barba</t>
  </si>
  <si>
    <t>R$ 80,00</t>
  </si>
  <si>
    <t>Mensal</t>
  </si>
  <si>
    <t>Cartão de Crédito</t>
  </si>
  <si>
    <t>Fevereiro</t>
  </si>
  <si>
    <t>Alisante</t>
  </si>
  <si>
    <t>R$ 40,00</t>
  </si>
  <si>
    <t>Barba</t>
  </si>
  <si>
    <t>R$ 35,00</t>
  </si>
  <si>
    <t>Pix</t>
  </si>
  <si>
    <t>Março</t>
  </si>
  <si>
    <t>Luzes</t>
  </si>
  <si>
    <t>R$ 70,00</t>
  </si>
  <si>
    <t>Corte e Cavanhaque</t>
  </si>
  <si>
    <t>Cartão de Débito</t>
  </si>
  <si>
    <t>Abril</t>
  </si>
  <si>
    <t>Hidratação</t>
  </si>
  <si>
    <t>R$ 25,00</t>
  </si>
  <si>
    <t>Cavanhaque</t>
  </si>
  <si>
    <t>Maio</t>
  </si>
  <si>
    <t>Limpeza de Pele</t>
  </si>
  <si>
    <t>Corte Geral</t>
  </si>
  <si>
    <t>R$ 30,00</t>
  </si>
  <si>
    <t>R$ 50,00</t>
  </si>
  <si>
    <t>Junho</t>
  </si>
  <si>
    <t>Depilação</t>
  </si>
  <si>
    <t>Julho</t>
  </si>
  <si>
    <t>vazio</t>
  </si>
  <si>
    <t>Agosto</t>
  </si>
  <si>
    <t>Botox</t>
  </si>
  <si>
    <t>Setembro</t>
  </si>
  <si>
    <t>Selagem</t>
  </si>
  <si>
    <t>Outubro</t>
  </si>
  <si>
    <t xml:space="preserve">Progressiva </t>
  </si>
  <si>
    <t>R$ 60,00</t>
  </si>
  <si>
    <t>Novembro</t>
  </si>
  <si>
    <t>Dezembro</t>
  </si>
  <si>
    <t>Dia Serviço</t>
  </si>
  <si>
    <t>Aniversário</t>
  </si>
  <si>
    <t xml:space="preserve"> Novo Cliente</t>
  </si>
  <si>
    <t>Lista de Serviços</t>
  </si>
  <si>
    <t>Valor Avulso</t>
  </si>
  <si>
    <t>Cliente Mensal</t>
  </si>
  <si>
    <t>Mes Cliente Mensal</t>
  </si>
  <si>
    <t>Valor Mensalista</t>
  </si>
  <si>
    <t>Valor Serviços</t>
  </si>
  <si>
    <t>Data Geral</t>
  </si>
  <si>
    <t>Serviço extra 3</t>
  </si>
  <si>
    <t>Valor serviço extra 3</t>
  </si>
  <si>
    <t>Lista de Serviço Extra 2</t>
  </si>
  <si>
    <t>ValorExtra2</t>
  </si>
  <si>
    <t>Lista de Serviço Extra 3</t>
  </si>
  <si>
    <t>ValorExtra3</t>
  </si>
  <si>
    <t>Produtos</t>
  </si>
  <si>
    <t>ValorProdutos</t>
  </si>
  <si>
    <t>submissionId</t>
  </si>
  <si>
    <t>jonatha</t>
  </si>
  <si>
    <t>Anderson Vasconcelos</t>
  </si>
  <si>
    <t>caio Ruggi</t>
  </si>
  <si>
    <t>Lucas Lopes</t>
  </si>
  <si>
    <t>heitor</t>
  </si>
  <si>
    <t>Danilo Azevedo</t>
  </si>
  <si>
    <t>Extra</t>
  </si>
  <si>
    <t>Hugo Alves</t>
  </si>
  <si>
    <t>Cleber</t>
  </si>
  <si>
    <t>José dos Santos Brito</t>
  </si>
  <si>
    <t>Davi Jesus Brito</t>
  </si>
  <si>
    <t>Gustavo victorio</t>
  </si>
  <si>
    <t>Edson Santos</t>
  </si>
  <si>
    <t>Thiago Camilo</t>
  </si>
  <si>
    <t>anderson delmondes</t>
  </si>
  <si>
    <t>Igor madureira</t>
  </si>
  <si>
    <t>tito borneghi</t>
  </si>
  <si>
    <t>Josue</t>
  </si>
  <si>
    <t>pablo</t>
  </si>
  <si>
    <t>bruno</t>
  </si>
  <si>
    <t>vladmir souza</t>
  </si>
  <si>
    <t>Thiago Andrade</t>
  </si>
  <si>
    <t>Gustavo Marinho</t>
  </si>
  <si>
    <t>glausquimarco</t>
  </si>
  <si>
    <t>china</t>
  </si>
  <si>
    <t>Armando Amaral</t>
  </si>
  <si>
    <t>lucas Aguiar</t>
  </si>
  <si>
    <t>Anderson Marcelino</t>
  </si>
  <si>
    <t>kiko</t>
  </si>
  <si>
    <t>riquelme lopes</t>
  </si>
  <si>
    <t>Luiz Orosco</t>
  </si>
  <si>
    <t>Jhonny José</t>
  </si>
  <si>
    <t>rodrigo</t>
  </si>
  <si>
    <t>danilo</t>
  </si>
  <si>
    <t>rodrigo silva</t>
  </si>
  <si>
    <t>gustavo araujo</t>
  </si>
  <si>
    <t>willian tomas</t>
  </si>
  <si>
    <t>rarael</t>
  </si>
  <si>
    <t>firmino</t>
  </si>
  <si>
    <t>luiz</t>
  </si>
  <si>
    <t>vinicius camilo</t>
  </si>
  <si>
    <t>Felipe Oliveira</t>
  </si>
  <si>
    <t>Rogers De Lacerda</t>
  </si>
  <si>
    <t>osmar</t>
  </si>
  <si>
    <t>eduardo braga</t>
  </si>
  <si>
    <t>Alex De Quintella</t>
  </si>
  <si>
    <t>maxuel</t>
  </si>
  <si>
    <t>Cezar Eduardo</t>
  </si>
  <si>
    <t>João Texeira</t>
  </si>
  <si>
    <t>Cauã Vieira</t>
  </si>
  <si>
    <t>caio fernando</t>
  </si>
  <si>
    <t>lucas cavalcante</t>
  </si>
  <si>
    <t>ruan lima</t>
  </si>
  <si>
    <t>Atair hubler</t>
  </si>
  <si>
    <t>Gabriel Brás</t>
  </si>
  <si>
    <t>Euller Matheus</t>
  </si>
  <si>
    <t>antonio carlos</t>
  </si>
  <si>
    <t>luiz henrique</t>
  </si>
  <si>
    <t>otavio ribeiro</t>
  </si>
  <si>
    <t>leandro magalhaes</t>
  </si>
  <si>
    <t>Progressiva</t>
  </si>
  <si>
    <t>mateus nunes</t>
  </si>
  <si>
    <t>Gabriel Bimbo</t>
  </si>
  <si>
    <t>Lucas Bimbo</t>
  </si>
  <si>
    <t>alexselvane felipe</t>
  </si>
  <si>
    <t>helio</t>
  </si>
  <si>
    <t>caio mascarenhas</t>
  </si>
  <si>
    <t>geovanni schwartzhaupt</t>
  </si>
  <si>
    <t>odair</t>
  </si>
  <si>
    <t>willian castro</t>
  </si>
  <si>
    <t>rafael camilo</t>
  </si>
  <si>
    <t>enzi</t>
  </si>
  <si>
    <t>henrique santiago</t>
  </si>
  <si>
    <t>leonardo wichrowski</t>
  </si>
  <si>
    <t>diogo rodrigues</t>
  </si>
  <si>
    <t>matheus  nunes</t>
  </si>
  <si>
    <t>vicente</t>
  </si>
  <si>
    <t>gustavo magalhaes</t>
  </si>
  <si>
    <t>cayo</t>
  </si>
  <si>
    <t>thiago oliveira</t>
  </si>
  <si>
    <t>denis luca</t>
  </si>
  <si>
    <t>tiago andrade</t>
  </si>
  <si>
    <t>fabio jose</t>
  </si>
  <si>
    <t>Felipe Queiroz</t>
  </si>
  <si>
    <t>kennedy lima</t>
  </si>
  <si>
    <t>bruno alexandre da silva</t>
  </si>
  <si>
    <t>Fabiano Bimbo</t>
  </si>
  <si>
    <t>luan brito</t>
  </si>
  <si>
    <t>rafael  da silva carmo</t>
  </si>
  <si>
    <t>henrique mendes</t>
  </si>
  <si>
    <t>Matheus Sariva</t>
  </si>
  <si>
    <t>levi santiago</t>
  </si>
  <si>
    <t>alex sandro</t>
  </si>
  <si>
    <t>bruno cavalvante</t>
  </si>
  <si>
    <t>felipe oliveira</t>
  </si>
  <si>
    <t>arthur  de andrade</t>
  </si>
  <si>
    <t>jociel</t>
  </si>
  <si>
    <t>danilo azevedo</t>
  </si>
  <si>
    <t>josé</t>
  </si>
  <si>
    <t>Cristiano Marques</t>
  </si>
  <si>
    <t>fernando kenzo</t>
  </si>
  <si>
    <t>ueliton rosa</t>
  </si>
  <si>
    <t>eduardo adelino de barros</t>
  </si>
  <si>
    <t>rosival</t>
  </si>
  <si>
    <t>heny jardim</t>
  </si>
  <si>
    <t>vinicius</t>
  </si>
  <si>
    <t>matheus massola</t>
  </si>
  <si>
    <t>marcelo tanaka</t>
  </si>
  <si>
    <t>Matheus Gama</t>
  </si>
  <si>
    <t>felipe pinho</t>
  </si>
  <si>
    <t>felipe montero</t>
  </si>
  <si>
    <t>rizonildo firmino</t>
  </si>
  <si>
    <t>Ricardo Mota</t>
  </si>
  <si>
    <t>cassio jonas</t>
  </si>
  <si>
    <t>marcio alves</t>
  </si>
  <si>
    <t>ana flávia</t>
  </si>
  <si>
    <t>hotinael sousa</t>
  </si>
  <si>
    <t>Gabriel Silva</t>
  </si>
  <si>
    <t>Lucas Oliveira</t>
  </si>
  <si>
    <t>thales</t>
  </si>
  <si>
    <t>luan marinho cruz</t>
  </si>
  <si>
    <t>fernando santiago</t>
  </si>
  <si>
    <t>vinicius castro</t>
  </si>
  <si>
    <t>douglas galoro</t>
  </si>
  <si>
    <t>caio luan</t>
  </si>
  <si>
    <t>henry sanatana cardoso</t>
  </si>
  <si>
    <t>Leonardo Bozzi</t>
  </si>
  <si>
    <t>Andre Luis Silva</t>
  </si>
  <si>
    <t>Bernardo de Paiva</t>
  </si>
  <si>
    <t>felipe bezerra</t>
  </si>
  <si>
    <t>Andre shimomoto</t>
  </si>
  <si>
    <t>Anderson demondes</t>
  </si>
  <si>
    <t>renan daniel</t>
  </si>
  <si>
    <t>giovani</t>
  </si>
  <si>
    <t>daniel arco</t>
  </si>
  <si>
    <t>eduardo estevão da silva</t>
  </si>
  <si>
    <t>flávio</t>
  </si>
  <si>
    <t>bruno cavalcante</t>
  </si>
  <si>
    <t>rafael luis</t>
  </si>
  <si>
    <t>luciano de jesus</t>
  </si>
  <si>
    <t>gustavo  belizario</t>
  </si>
  <si>
    <t>cassio</t>
  </si>
  <si>
    <t>victor garcia</t>
  </si>
  <si>
    <t>luciano simioni</t>
  </si>
  <si>
    <t>wendson</t>
  </si>
  <si>
    <t>Will Moreira</t>
  </si>
  <si>
    <t>reginaldo santos</t>
  </si>
  <si>
    <t>jose naldo</t>
  </si>
  <si>
    <t>Promo Limpeza</t>
  </si>
  <si>
    <t>sub_1789569275669_ze88bt74</t>
  </si>
  <si>
    <t>gabriel baeta</t>
  </si>
  <si>
    <t>sub_1789582619574_kpeh6t4j</t>
  </si>
  <si>
    <t>ueley cardoso</t>
  </si>
  <si>
    <t>R$0,01</t>
  </si>
  <si>
    <t>sub_1789584960721_v5zzt18n</t>
  </si>
  <si>
    <t>sub_1789587647176_kzut7qzu</t>
  </si>
  <si>
    <t>odair fernandes</t>
  </si>
  <si>
    <t>sub_1789590072574_kbjvky3d</t>
  </si>
  <si>
    <t>sub_1789590539436_g6q94az3</t>
  </si>
  <si>
    <t>sub_1789594661553_2k8gyjrb</t>
  </si>
  <si>
    <t>sub_1789596137715_2mpdmcag</t>
  </si>
  <si>
    <t>gustavo praxedes</t>
  </si>
  <si>
    <t>sub_1789603056023_xvidptvt</t>
  </si>
  <si>
    <t>anthony valentin vieira nunes</t>
  </si>
  <si>
    <t>sub_1789603840019_syczotz3</t>
  </si>
  <si>
    <t>sub_1789653605878_xd0u2j8b</t>
  </si>
  <si>
    <t>danilo rocha</t>
  </si>
  <si>
    <t>sub_1789655481251_lmwx0ojs</t>
  </si>
  <si>
    <t>sub_1789657173977_6oe4m19r</t>
  </si>
  <si>
    <t>felipe monteiro</t>
  </si>
  <si>
    <t>sub_1789660449351_wl9bssgu</t>
  </si>
  <si>
    <t>lucas barbosa</t>
  </si>
  <si>
    <t>sub_1789664390759_zjkc7pd1</t>
  </si>
  <si>
    <t>sub_1789673575278_7asja9nz</t>
  </si>
  <si>
    <t>sub_1789675342371_ehxf8ode</t>
  </si>
  <si>
    <t>sub_1789678761011_zs5y7cca</t>
  </si>
  <si>
    <t>sub_1789683486427_vi7lbqx1</t>
  </si>
  <si>
    <t>João Vitor</t>
  </si>
  <si>
    <t>sub_1789687337962_zk41z433</t>
  </si>
  <si>
    <t>wendel marques</t>
  </si>
  <si>
    <t>sub_1789688187951_0k4z14hw</t>
  </si>
  <si>
    <t>Douglas galoro</t>
  </si>
  <si>
    <t>sub_1789742507676_0g0f452s</t>
  </si>
  <si>
    <t>sub_1789742771849_8qlo1w3l</t>
  </si>
  <si>
    <t>rodrigo tangerino</t>
  </si>
  <si>
    <t>sub_1789742828101_vpv86z41</t>
  </si>
  <si>
    <t>weligton nenem</t>
  </si>
  <si>
    <t>sub_1789742938026_njxjwkq9</t>
  </si>
  <si>
    <t>sub_1789744336250_8pwtoa6u</t>
  </si>
  <si>
    <t>Jhonny tiago</t>
  </si>
  <si>
    <t>sub_1789748585048_b6tb7vmj</t>
  </si>
  <si>
    <t>ricardo amaril dias</t>
  </si>
  <si>
    <t>sub_1789750602999_md20zqtc</t>
  </si>
  <si>
    <t>sub_1789751152433_dxibrfsp</t>
  </si>
  <si>
    <t>sub_1789753302764_f2l9sq4s</t>
  </si>
  <si>
    <t>sub_1789755686831_kjibmmuy</t>
  </si>
  <si>
    <t>lucas</t>
  </si>
  <si>
    <t>sub_1789757175785_sys0cxmo</t>
  </si>
  <si>
    <t>marcio josé</t>
  </si>
  <si>
    <t>sub_1789759711507_dppiua72</t>
  </si>
  <si>
    <t>sub_1789762029914_2aenzyxz</t>
  </si>
  <si>
    <t>sub_1789764972384_kjopvqpk</t>
  </si>
  <si>
    <t>sub_1789770107711_ron26dt9</t>
  </si>
  <si>
    <t>emerson canesso</t>
  </si>
  <si>
    <t>sub_1789823003884_nj0c4z8f</t>
  </si>
  <si>
    <t>sub_1789824132967_m5de4m9r</t>
  </si>
  <si>
    <t>alisson silva</t>
  </si>
  <si>
    <t>sub_1789826487963_39z7nkba</t>
  </si>
  <si>
    <t>jonathan barros</t>
  </si>
  <si>
    <t>sub_1789826707931_aq5ln7df</t>
  </si>
  <si>
    <t>gabriel  queiroz</t>
  </si>
  <si>
    <t>sub_1789830713607_7u4r5rpp</t>
  </si>
  <si>
    <t>miguel marques</t>
  </si>
  <si>
    <t>sub_1789834671081_ywthf5ov</t>
  </si>
  <si>
    <t>eduardo marques</t>
  </si>
  <si>
    <t>sub_1789837873547_vwixwshp</t>
  </si>
  <si>
    <t>riquelme lopes  delmondes</t>
  </si>
  <si>
    <t>sub_1789839849083_7n24pjkh</t>
  </si>
  <si>
    <t>sub_1789840443883_sm6qxpxc</t>
  </si>
  <si>
    <t>guilerme rodrigues</t>
  </si>
  <si>
    <t>sub_1789842842721_r5hb0ykw</t>
  </si>
  <si>
    <t>sub_1789845116642_1f2ki2l8</t>
  </si>
  <si>
    <t>sub_1789847748908_d4t275k0</t>
  </si>
  <si>
    <t>marianne ferreira machado</t>
  </si>
  <si>
    <t>sub_1789848639130_2zccjtrx</t>
  </si>
  <si>
    <t>sub_1789849401723_1vf3nhdo</t>
  </si>
  <si>
    <t>sub_1790022274645_06xtffh0</t>
  </si>
  <si>
    <t>sub_1790026045703_1kbodyr2</t>
  </si>
  <si>
    <t>Davi de souza tavares</t>
  </si>
  <si>
    <t>sub_1790031161714_0ekinze8</t>
  </si>
  <si>
    <t>Wesley luis</t>
  </si>
  <si>
    <t>sub_1790091252037_f4k246hr</t>
  </si>
  <si>
    <t>Alberto Lopes</t>
  </si>
  <si>
    <t>sub_1790096099461_8q2s7nac</t>
  </si>
  <si>
    <t>marcelo macedo</t>
  </si>
  <si>
    <t>sub_1790103316826_ubegp48n</t>
  </si>
  <si>
    <t>bruno macedo</t>
  </si>
  <si>
    <t>sub_1790103364958_i0lgtob5</t>
  </si>
  <si>
    <t>sub_1790107796331_u2p6kdz2</t>
  </si>
  <si>
    <t>sub_1790114633926_70dlidyb</t>
  </si>
  <si>
    <t>sub_1790115215150_2kx4fxrv</t>
  </si>
  <si>
    <t>filipe amaral</t>
  </si>
  <si>
    <t>sub_1790119011051_rlcmbx8f</t>
  </si>
  <si>
    <t>vitor walker</t>
  </si>
  <si>
    <t>sub_1790119257245_se08hsdh</t>
  </si>
  <si>
    <t>wiil</t>
  </si>
  <si>
    <t>sub_1790165496917_hjvnx25y</t>
  </si>
  <si>
    <t>jonathan souza da silva</t>
  </si>
  <si>
    <t>sub_1790171879347_pfvttn49</t>
  </si>
  <si>
    <t>sub_1790173314853_9y3f3sjy</t>
  </si>
  <si>
    <t>icaro passos</t>
  </si>
  <si>
    <t>(sem serviço)</t>
  </si>
  <si>
    <t>sub_1790181143047_49iiemzo</t>
  </si>
  <si>
    <t>luiz  cruz</t>
  </si>
  <si>
    <t>sub_1790182497556_00eue424</t>
  </si>
  <si>
    <t>marcos vinicius</t>
  </si>
  <si>
    <t>sub_1790184602602_tubv6l7t</t>
  </si>
  <si>
    <t>matheus</t>
  </si>
  <si>
    <t>sub_1790191496023_scg04hu7</t>
  </si>
  <si>
    <t>luiz fernando</t>
  </si>
  <si>
    <t>sub_1790196925083_yykw804y</t>
  </si>
  <si>
    <t>gerson roberto siqueoira</t>
  </si>
  <si>
    <t>sub_1790197311958_makbrtla</t>
  </si>
  <si>
    <t>roberio  castro</t>
  </si>
  <si>
    <t>sub_1790200461628_qu593x4d</t>
  </si>
  <si>
    <t>franklin feitosa</t>
  </si>
  <si>
    <t>sub_1790200762802_gh8zqgsh</t>
  </si>
  <si>
    <t>sub_1790202085238_jikq4l0x</t>
  </si>
  <si>
    <t>willian guedes</t>
  </si>
  <si>
    <t>sub_1790256732817_8ilrjevb</t>
  </si>
  <si>
    <t>gustavo mendes</t>
  </si>
  <si>
    <t>sub_1790259024813_79cykfog</t>
  </si>
  <si>
    <t>Gustavo Victorio</t>
  </si>
  <si>
    <t>sub_1790265112260_9ux5w518</t>
  </si>
  <si>
    <t>alex</t>
  </si>
  <si>
    <t>sub_1790268435452_9mc24xun</t>
  </si>
  <si>
    <t>Josué</t>
  </si>
  <si>
    <t>sub_1790270439835_h6mg5gb2</t>
  </si>
  <si>
    <t>eduardo madureira</t>
  </si>
  <si>
    <t>sub_1790280065812_ptwp0v56</t>
  </si>
  <si>
    <t>sub_1790280204646_typwxoe3</t>
  </si>
  <si>
    <t>sub_1790283071982_hjjt2qrt</t>
  </si>
  <si>
    <t>ali dayoub</t>
  </si>
  <si>
    <t>sub_1790284562171_0bb3lw09</t>
  </si>
  <si>
    <t>sub_1790287657870_l7tbc4s4</t>
  </si>
  <si>
    <t>luiz henrique moraes marques</t>
  </si>
  <si>
    <t>sub_1790287744511_amv37z3p</t>
  </si>
  <si>
    <t>sub_1790337738058_m5obcq2o</t>
  </si>
  <si>
    <t>sub_1790340944629_zkpva706</t>
  </si>
  <si>
    <t>sub_1790347718203_8ojag7zf</t>
  </si>
  <si>
    <t>sub_1790353599350_vhstdt9u</t>
  </si>
  <si>
    <t>sub_1790356556673_hy5rlvii</t>
  </si>
  <si>
    <t>sub_1790358402322_jsv02op4</t>
  </si>
  <si>
    <t>giovani schwartzhupt</t>
  </si>
  <si>
    <t>sub_1790362908541_jb6exdfx</t>
  </si>
  <si>
    <t>welligton</t>
  </si>
  <si>
    <t>sub_1790366060951_q0p80y8b</t>
  </si>
  <si>
    <t>caio solano</t>
  </si>
  <si>
    <t>sub_1790367711011_1opu9ab5</t>
  </si>
  <si>
    <t>sub_1790370581056_u0qbwmin</t>
  </si>
  <si>
    <t>luiz feitosa</t>
  </si>
  <si>
    <t>sub_1790370884725_13nsdhu9</t>
  </si>
  <si>
    <t>sub_1790377917834_ynj9azw3</t>
  </si>
  <si>
    <t>sub_1790417726553_l8f5xwky</t>
  </si>
  <si>
    <t>sub_1790417767776_tz5578lk</t>
  </si>
  <si>
    <t>sub_1790425840233_8205slqd</t>
  </si>
  <si>
    <t>sub_1790426744334_3q7fo1j7</t>
  </si>
  <si>
    <t>sub_1790428795682_6sij81iz</t>
  </si>
  <si>
    <t>danilo ambrosio</t>
  </si>
  <si>
    <t>sub_1790431464620_l5vcwedx</t>
  </si>
  <si>
    <t>sub_1790433730928_0atn64bf</t>
  </si>
  <si>
    <t>sub_1790435727240_640ve68v</t>
  </si>
  <si>
    <t>sub_1790435807315_bxtoksk6</t>
  </si>
  <si>
    <t>sub_1790439067912_1vk8t8m0</t>
  </si>
  <si>
    <t>sub_1790445935241_wwnpri7q</t>
  </si>
  <si>
    <t>egilson santana</t>
  </si>
  <si>
    <t>sub_1790449178504_etlvvc1a</t>
  </si>
  <si>
    <t>sub_1790450139928_fnhrpom6</t>
  </si>
  <si>
    <t>sub_1790452805481_2076d1xm</t>
  </si>
  <si>
    <t>sub_1790455542151_z3zh4ckj</t>
  </si>
  <si>
    <t>sub_1790462088910_1h3tpr9m</t>
  </si>
  <si>
    <t>maxsuel</t>
  </si>
  <si>
    <t>sub_1790462415333_k8izzwp5</t>
  </si>
  <si>
    <t>andré luiz monteiro da silva</t>
  </si>
  <si>
    <t>sub_1790613363337_8t4r3szm</t>
  </si>
  <si>
    <t>sub_1790617852681_qull3ncm</t>
  </si>
  <si>
    <t>sub_1790624201829_s97w3qrx</t>
  </si>
  <si>
    <t>marcio alexandre</t>
  </si>
  <si>
    <t>Pomada grande</t>
  </si>
  <si>
    <t>sub_1790628595676_hzqh13dy</t>
  </si>
  <si>
    <t>sub_1790632677871_oozqan13</t>
  </si>
  <si>
    <t>Davi Guedes Mota</t>
  </si>
  <si>
    <t>sub_1790688194866_67b5wx9b</t>
  </si>
  <si>
    <t>Rafael Medeiros</t>
  </si>
  <si>
    <t>sub_1790690144267_yegoxj92</t>
  </si>
  <si>
    <t>adriano</t>
  </si>
  <si>
    <t>sub_1790701508724_9otk7c97</t>
  </si>
  <si>
    <t>Alex Silva</t>
  </si>
  <si>
    <t>sub_1790703951671_m1lxztbh</t>
  </si>
  <si>
    <t>sub_1790719140257_yb8mn8b7</t>
  </si>
  <si>
    <t>sub_1790721292315_ltc1w69m</t>
  </si>
  <si>
    <t>sub_1790723736976_r5tv0xt8</t>
  </si>
  <si>
    <t>Bernardo Melo de Amaral</t>
  </si>
  <si>
    <t>sub_1790723849566_s2zstd4d</t>
  </si>
  <si>
    <t>cayo  ruggi</t>
  </si>
  <si>
    <t>sub_1790778894588_kdeeta4l</t>
  </si>
  <si>
    <t>alexandre de carvalho aquino</t>
  </si>
  <si>
    <t>sub_1790787363161_tvjrgil1</t>
  </si>
  <si>
    <t>itamar batista</t>
  </si>
  <si>
    <t>sub_1790800181576_cvc6zwoo</t>
  </si>
  <si>
    <t>wesley sousa</t>
  </si>
  <si>
    <t>sub_1790803266590_4mtjngvj</t>
  </si>
  <si>
    <t>wellington</t>
  </si>
  <si>
    <t>sub_1790803760086_fwwo3yky</t>
  </si>
  <si>
    <t>sub_1790805153222_nbcp0ipa</t>
  </si>
  <si>
    <t>rizonildo</t>
  </si>
  <si>
    <t>sub_1790805670274_fmpac1y6</t>
  </si>
  <si>
    <t>sub_1790807578040_ylr5i4zt</t>
  </si>
  <si>
    <t>João Vitor Souza</t>
  </si>
  <si>
    <t>sub_1790812792668_472bals9</t>
  </si>
  <si>
    <t>josue</t>
  </si>
  <si>
    <t>sub_1790859477658_3596i4v1</t>
  </si>
  <si>
    <t>reginaldo</t>
  </si>
  <si>
    <t>sub_1790859511977_u9e8bzy9</t>
  </si>
  <si>
    <t>willian Lira</t>
  </si>
  <si>
    <t>sub_1790884979520_nmrnt4uv</t>
  </si>
  <si>
    <t>sub_1790885029340_an7hdr3z</t>
  </si>
  <si>
    <t>pedro henrique</t>
  </si>
  <si>
    <t>sub_1790887340370_9k2xz0m9</t>
  </si>
  <si>
    <t>edelson</t>
  </si>
  <si>
    <t>sub_1790887661309_ew4zqbd9</t>
  </si>
  <si>
    <t>sub_1790887703183_6h562qjm</t>
  </si>
  <si>
    <t>sub_1790887731101_wxshf8zt</t>
  </si>
  <si>
    <t>Guilherme Rodrigues Santos</t>
  </si>
  <si>
    <t>sub_1790889831191_5r070lnm</t>
  </si>
  <si>
    <t>demilton</t>
  </si>
  <si>
    <t>sub_1790894167772_u73w2lv6</t>
  </si>
  <si>
    <t>sub_1790896011230_ymw99l7c</t>
  </si>
  <si>
    <t>evandro</t>
  </si>
  <si>
    <t>sub_1790896933222_y8qg896r</t>
  </si>
  <si>
    <t>sub_1790946207246_i4kaxuhw</t>
  </si>
  <si>
    <t>sub_1790950641315_bfjlegyh</t>
  </si>
  <si>
    <t>douglas mergulhão</t>
  </si>
  <si>
    <t>sub_1790952082780_eo2528xv</t>
  </si>
  <si>
    <t>andre luis shimomoto</t>
  </si>
  <si>
    <t>sub_1790954180722_yybkrwg6</t>
  </si>
  <si>
    <t>sub_1790959828856_a05pf559</t>
  </si>
  <si>
    <t>sub_1790960203846_3yxlon28</t>
  </si>
  <si>
    <t>wendson da silva ferreira</t>
  </si>
  <si>
    <t>sub_1790963994908_ogywz4yl</t>
  </si>
  <si>
    <t>sub_1790968250267_qtbk0ks4</t>
  </si>
  <si>
    <t>arthur miguel</t>
  </si>
  <si>
    <t>sub_1790968555487_ot47s5tr</t>
  </si>
  <si>
    <t>sub_1790971957440_wfk2jf0f</t>
  </si>
  <si>
    <t>sub_1790972441689_ugpcuv7y</t>
  </si>
  <si>
    <t>sub_1790974986732_x85tanfo</t>
  </si>
  <si>
    <t>josé matheus</t>
  </si>
  <si>
    <t>sub_1790978557962_yis5zpun</t>
  </si>
  <si>
    <t>sub_1790978911128_3mnnjpbq</t>
  </si>
  <si>
    <t>fernando vieira</t>
  </si>
  <si>
    <t>sub_1790982266635_rrfex7cr</t>
  </si>
  <si>
    <t>sub_1790982668003_81a5cyzb</t>
  </si>
  <si>
    <t>sub_1790986723818_6rgdijq0</t>
  </si>
  <si>
    <t>Lucas Vinicios</t>
  </si>
  <si>
    <t>Pomada pequena</t>
  </si>
  <si>
    <t>sub_1790991957208_wxhi40q5</t>
  </si>
  <si>
    <t>sub_1791028242803_1ixmhspm</t>
  </si>
  <si>
    <t>sub_1791030343721_dipw9fss</t>
  </si>
  <si>
    <t>sub_1791031840008_crbok5uq</t>
  </si>
  <si>
    <t>sub_1791035020213_o8achlny</t>
  </si>
  <si>
    <t>sub_1791035070732_55liiacf</t>
  </si>
  <si>
    <t>sub_1791039442954_odxfx6l1</t>
  </si>
  <si>
    <t>sub_1791039677106_72ynsv8g</t>
  </si>
  <si>
    <t>sub_1791043566418_hneqszpn</t>
  </si>
  <si>
    <t>Kaick Araujo</t>
  </si>
  <si>
    <t>sub_1791045387329_pmmmvv8m</t>
  </si>
  <si>
    <t>sub_1791050904356_qikkrilu</t>
  </si>
  <si>
    <t>sub_1791054278184_a9tpqiv8</t>
  </si>
  <si>
    <t>sub_1791056442538_psod5wxt</t>
  </si>
  <si>
    <t>sub_1791056674117_4baq865i</t>
  </si>
  <si>
    <t>pedro henrique santana</t>
  </si>
  <si>
    <t>sub_1791056953139_etu57dfi</t>
  </si>
  <si>
    <t>sub_1791062271659_s2eougzm</t>
  </si>
  <si>
    <t>sub_1791064204317_p33dnp8j</t>
  </si>
  <si>
    <t>maycon jhonatas</t>
  </si>
  <si>
    <t>sub_1791067615891_sbriizbd</t>
  </si>
  <si>
    <t>Shampoo, Pomada pequena</t>
  </si>
  <si>
    <t>sub_1791069486200_66lfz0mk</t>
  </si>
  <si>
    <t>sub_1791227848464_rzw22drr</t>
  </si>
  <si>
    <t>sub_1791231912331_li1plzmo</t>
  </si>
  <si>
    <t>michel rocha</t>
  </si>
  <si>
    <t>sub_1791293060806_ephny701</t>
  </si>
  <si>
    <t>sem nome</t>
  </si>
  <si>
    <t>sub_1791295204210_6rwtf8ox</t>
  </si>
  <si>
    <t>sub_1791295253542_51bix3jm</t>
  </si>
  <si>
    <t>tigrão</t>
  </si>
  <si>
    <t>sub_1791295291354_iz6ivxec</t>
  </si>
  <si>
    <t>sub_1791295334487_03bb5dbs</t>
  </si>
  <si>
    <t>kauan  tagliatti</t>
  </si>
  <si>
    <t>sub_1791318442409_ye95ff15</t>
  </si>
  <si>
    <t>sub_1791323754964_0ufbw3rj</t>
  </si>
  <si>
    <t>andre luis</t>
  </si>
  <si>
    <t>sub_1791325268985_5npmtnzw</t>
  </si>
  <si>
    <t>sub_1791326828823_yzakb4vu</t>
  </si>
  <si>
    <t>geovani alencar</t>
  </si>
  <si>
    <t>sub_1791334400161_lv28jcub</t>
  </si>
  <si>
    <t>sub_1791382094923_ilu183gh</t>
  </si>
  <si>
    <t>anderson</t>
  </si>
  <si>
    <t>sub_1791382791546_gogkjjvz</t>
  </si>
  <si>
    <t>sub_1791382830912_eecigmln</t>
  </si>
  <si>
    <t>sub_1791382888582_4tyusajr</t>
  </si>
  <si>
    <t>Alef Nunes</t>
  </si>
  <si>
    <t>sub_1791387927627_2bd5rcs1</t>
  </si>
  <si>
    <t>Flavio Castro</t>
  </si>
  <si>
    <t>sub_1791398698784_bj4nbc8g</t>
  </si>
  <si>
    <t>sub_1791399006521_pezoufj8</t>
  </si>
  <si>
    <t>Lucas Santos</t>
  </si>
  <si>
    <t>sub_1791402670236_kbmw3hsh</t>
  </si>
  <si>
    <t>enzo scançani</t>
  </si>
  <si>
    <t>sub_1791404872114_09k9jj2f</t>
  </si>
  <si>
    <t>sub_1791405982177_7fkufexk</t>
  </si>
  <si>
    <t>jorge pereira</t>
  </si>
  <si>
    <t>sub_1791409543805_xaqmw58w</t>
  </si>
  <si>
    <t>gustavo artur</t>
  </si>
  <si>
    <t>sub_1791416652399_oh6hr8bg</t>
  </si>
  <si>
    <t>sub_1791416757259_smikomza</t>
  </si>
  <si>
    <t>Eduardo Pereira</t>
  </si>
  <si>
    <t>Guilherme Martins</t>
  </si>
  <si>
    <t>Marcos Dias</t>
  </si>
  <si>
    <t>Felipe Barbosa</t>
  </si>
  <si>
    <t>Renan Castro</t>
  </si>
  <si>
    <t>Rodrigo Lima</t>
  </si>
  <si>
    <t>Vinicius Carvalho</t>
  </si>
  <si>
    <t>Diego Mendes</t>
  </si>
  <si>
    <t>Gabriel Santos</t>
  </si>
  <si>
    <t>Thiago Oliveira</t>
  </si>
  <si>
    <t>Samuel Monteiro</t>
  </si>
  <si>
    <t>Rafael Souza</t>
  </si>
  <si>
    <t>Igor Cavalcanti</t>
  </si>
  <si>
    <t>Bruno Costa</t>
  </si>
  <si>
    <t>Caio Rocha</t>
  </si>
  <si>
    <t>Matheus Silva</t>
  </si>
  <si>
    <t xml:space="preserve">Felipe prédio </t>
  </si>
  <si>
    <t xml:space="preserve">Brunão </t>
  </si>
  <si>
    <t xml:space="preserve">Anderson bar </t>
  </si>
  <si>
    <t xml:space="preserve">Vini </t>
  </si>
  <si>
    <t xml:space="preserve">                    fev.</t>
  </si>
  <si>
    <t xml:space="preserve">Marcelinho </t>
  </si>
  <si>
    <t xml:space="preserve">Gordão </t>
  </si>
  <si>
    <t xml:space="preserve">Rodrigo </t>
  </si>
  <si>
    <t>Jociel</t>
  </si>
  <si>
    <t>Luiz</t>
  </si>
  <si>
    <t>Enzo</t>
  </si>
  <si>
    <t xml:space="preserve">Rafa </t>
  </si>
  <si>
    <t xml:space="preserve">Nenem </t>
  </si>
  <si>
    <t xml:space="preserve">Lukinhas </t>
  </si>
  <si>
    <t>Artur</t>
  </si>
  <si>
    <t xml:space="preserve">Vicente </t>
  </si>
  <si>
    <t>Vladimir</t>
  </si>
  <si>
    <t>Tiago (Jheyson )</t>
  </si>
  <si>
    <t xml:space="preserve">Sérgio </t>
  </si>
  <si>
    <t>Matheus (Jheyson )</t>
  </si>
  <si>
    <t>Henrique buxexa</t>
  </si>
  <si>
    <t xml:space="preserve">                   Mar</t>
  </si>
  <si>
    <t xml:space="preserve">Felipe Bezerra </t>
  </si>
  <si>
    <t xml:space="preserve">Lucas Cavalcante </t>
  </si>
  <si>
    <t xml:space="preserve">                   Mar </t>
  </si>
  <si>
    <t xml:space="preserve">Cristiano </t>
  </si>
  <si>
    <t xml:space="preserve">Diego </t>
  </si>
  <si>
    <t xml:space="preserve">Henrique Buxexa </t>
  </si>
  <si>
    <t xml:space="preserve">André Arak </t>
  </si>
  <si>
    <t>R7</t>
  </si>
  <si>
    <t xml:space="preserve">Lucas </t>
  </si>
  <si>
    <t>Tiago (Jheyson)</t>
  </si>
  <si>
    <t xml:space="preserve">Diogo </t>
  </si>
  <si>
    <t xml:space="preserve">China </t>
  </si>
  <si>
    <t xml:space="preserve">Luiz </t>
  </si>
  <si>
    <t xml:space="preserve">Rodrigo mecânico </t>
  </si>
  <si>
    <t xml:space="preserve">Deninho </t>
  </si>
  <si>
    <t xml:space="preserve">Bruno bunda </t>
  </si>
  <si>
    <t xml:space="preserve">Willian Helipa </t>
  </si>
  <si>
    <t xml:space="preserve">Demoro </t>
  </si>
  <si>
    <t>Cayo</t>
  </si>
  <si>
    <t xml:space="preserve">Gabriel </t>
  </si>
  <si>
    <t xml:space="preserve">Lukinhas Helipa </t>
  </si>
  <si>
    <t xml:space="preserve">Felipe </t>
  </si>
  <si>
    <t>Du boy</t>
  </si>
  <si>
    <t xml:space="preserve">Márcio </t>
  </si>
  <si>
    <t xml:space="preserve">Jefinho </t>
  </si>
  <si>
    <t xml:space="preserve">Alex </t>
  </si>
  <si>
    <t xml:space="preserve">Wendson </t>
  </si>
  <si>
    <t xml:space="preserve">Fabrício </t>
  </si>
  <si>
    <t xml:space="preserve">Leandro Laleska </t>
  </si>
  <si>
    <t xml:space="preserve">Ruan </t>
  </si>
  <si>
    <t xml:space="preserve">Riquelme </t>
  </si>
  <si>
    <t xml:space="preserve">Ricardo </t>
  </si>
  <si>
    <t>Gabriel mercedes</t>
  </si>
  <si>
    <t xml:space="preserve">Willian baldo </t>
  </si>
  <si>
    <t xml:space="preserve">Pedro </t>
  </si>
  <si>
    <t xml:space="preserve">Flávia </t>
  </si>
  <si>
    <t xml:space="preserve">Caio móveis </t>
  </si>
  <si>
    <t xml:space="preserve">Alison </t>
  </si>
  <si>
    <t xml:space="preserve">Davi </t>
  </si>
  <si>
    <t xml:space="preserve">Luan prédio </t>
  </si>
  <si>
    <t xml:space="preserve">Renan adega </t>
  </si>
  <si>
    <t xml:space="preserve">Ceará </t>
  </si>
  <si>
    <t xml:space="preserve">Luan Jessica </t>
  </si>
  <si>
    <t xml:space="preserve">Gustavo Mooca </t>
  </si>
  <si>
    <t xml:space="preserve">Emerson prédio </t>
  </si>
  <si>
    <t xml:space="preserve">Léo Boss </t>
  </si>
  <si>
    <t xml:space="preserve">Tainá </t>
  </si>
  <si>
    <t xml:space="preserve">João </t>
  </si>
  <si>
    <t xml:space="preserve">Felipinho </t>
  </si>
  <si>
    <t xml:space="preserve">Matheus vídeo </t>
  </si>
  <si>
    <t xml:space="preserve">Demilton </t>
  </si>
  <si>
    <t xml:space="preserve">Raul criança </t>
  </si>
  <si>
    <t xml:space="preserve">Evandro </t>
  </si>
  <si>
    <t xml:space="preserve">Caio </t>
  </si>
  <si>
    <t xml:space="preserve">Valmir </t>
  </si>
  <si>
    <t xml:space="preserve">Juninho </t>
  </si>
  <si>
    <t>Ícaro passos</t>
  </si>
  <si>
    <t xml:space="preserve">Flávio </t>
  </si>
  <si>
    <t xml:space="preserve">Du funileiro </t>
  </si>
  <si>
    <t xml:space="preserve">Danilo Kelly </t>
  </si>
  <si>
    <t xml:space="preserve">Carlos </t>
  </si>
  <si>
    <t xml:space="preserve">Brunão prédio </t>
  </si>
  <si>
    <t xml:space="preserve">Marcelo vizinho </t>
  </si>
  <si>
    <t xml:space="preserve">Adriano vizinho </t>
  </si>
  <si>
    <t xml:space="preserve">Daniel japa </t>
  </si>
  <si>
    <t>Dodo Grafica</t>
  </si>
  <si>
    <t xml:space="preserve">Welly </t>
  </si>
  <si>
    <t xml:space="preserve">Josué </t>
  </si>
  <si>
    <t xml:space="preserve">Luan </t>
  </si>
  <si>
    <t xml:space="preserve">Cauã </t>
  </si>
  <si>
    <t xml:space="preserve">Dilson </t>
  </si>
  <si>
    <t>Arak</t>
  </si>
  <si>
    <t>Anderson Alisson</t>
  </si>
  <si>
    <t>Pedrinho</t>
  </si>
  <si>
    <t xml:space="preserve">Dan Cohab </t>
  </si>
  <si>
    <t>Fabinho</t>
  </si>
  <si>
    <t xml:space="preserve">Willian Hélipa </t>
  </si>
  <si>
    <t xml:space="preserve">Ceará Cohab </t>
  </si>
  <si>
    <t xml:space="preserve">Franklin </t>
  </si>
  <si>
    <t xml:space="preserve">Felipe Queiroz </t>
  </si>
  <si>
    <t xml:space="preserve">Anderson </t>
  </si>
  <si>
    <t>Duvan</t>
  </si>
  <si>
    <t xml:space="preserve">João do bar </t>
  </si>
  <si>
    <t xml:space="preserve">Irmão do ali </t>
  </si>
  <si>
    <t xml:space="preserve">Matheus mensal </t>
  </si>
  <si>
    <t xml:space="preserve">Matheus do corsa </t>
  </si>
  <si>
    <t xml:space="preserve">Jhony Cohab </t>
  </si>
  <si>
    <t xml:space="preserve">Osmar </t>
  </si>
  <si>
    <t xml:space="preserve">Du boy </t>
  </si>
  <si>
    <t xml:space="preserve">Magrão </t>
  </si>
  <si>
    <t>Anderson zelina</t>
  </si>
  <si>
    <t xml:space="preserve">Dudu </t>
  </si>
  <si>
    <t>Byel</t>
  </si>
  <si>
    <t xml:space="preserve">Vinicius </t>
  </si>
  <si>
    <t xml:space="preserve">Kennedy </t>
  </si>
  <si>
    <t xml:space="preserve">Filho do Nico </t>
  </si>
  <si>
    <t xml:space="preserve">Pirata </t>
  </si>
  <si>
    <t>Gleidson</t>
  </si>
  <si>
    <t xml:space="preserve">Miguel </t>
  </si>
  <si>
    <t>Miguel Dudu</t>
  </si>
  <si>
    <t xml:space="preserve">Naldo </t>
  </si>
  <si>
    <t xml:space="preserve">Cleber </t>
  </si>
  <si>
    <t xml:space="preserve">Bernardo Cleber </t>
  </si>
  <si>
    <t xml:space="preserve">Filho do Kennedy </t>
  </si>
  <si>
    <t xml:space="preserve">Nico </t>
  </si>
  <si>
    <t xml:space="preserve">Velinho vizinho </t>
  </si>
  <si>
    <t xml:space="preserve">Bernardo André </t>
  </si>
  <si>
    <t xml:space="preserve">Picunha </t>
  </si>
  <si>
    <t xml:space="preserve">Thales Picunha </t>
  </si>
  <si>
    <t xml:space="preserve">Tavinho G </t>
  </si>
  <si>
    <t xml:space="preserve">Gael Tavinho </t>
  </si>
  <si>
    <t xml:space="preserve">Lê </t>
  </si>
  <si>
    <t xml:space="preserve">Gu </t>
  </si>
  <si>
    <t xml:space="preserve">Airton </t>
  </si>
  <si>
    <t xml:space="preserve">Felipe pizza </t>
  </si>
  <si>
    <t xml:space="preserve">Wesley </t>
  </si>
  <si>
    <t xml:space="preserve">Nenê </t>
  </si>
  <si>
    <t xml:space="preserve">Gerson </t>
  </si>
  <si>
    <t>Felipe lanche</t>
  </si>
  <si>
    <t xml:space="preserve">Rosivaldo </t>
  </si>
  <si>
    <t xml:space="preserve">Wil </t>
  </si>
  <si>
    <t xml:space="preserve">Gustavo vizinho </t>
  </si>
  <si>
    <t xml:space="preserve">Alex bar </t>
  </si>
  <si>
    <t xml:space="preserve">Matheus corretor </t>
  </si>
  <si>
    <t>Lucas (Marcelo)</t>
  </si>
  <si>
    <t>Henrique loja</t>
  </si>
  <si>
    <t>Marcelo Macedo</t>
  </si>
  <si>
    <t xml:space="preserve">Giovani </t>
  </si>
  <si>
    <t>Vlad</t>
  </si>
  <si>
    <t xml:space="preserve">Wendson Cohab </t>
  </si>
  <si>
    <t xml:space="preserve">Mancha </t>
  </si>
  <si>
    <t xml:space="preserve">Fernando </t>
  </si>
  <si>
    <t xml:space="preserve">Carolyne </t>
  </si>
  <si>
    <t xml:space="preserve">Erivelton </t>
  </si>
  <si>
    <t xml:space="preserve">Rafa mensal </t>
  </si>
  <si>
    <t xml:space="preserve">Danilo Rocha </t>
  </si>
  <si>
    <t xml:space="preserve">Luiz mensal </t>
  </si>
  <si>
    <t xml:space="preserve">Vini mensal </t>
  </si>
  <si>
    <t xml:space="preserve">Felipe Monteiro </t>
  </si>
  <si>
    <t xml:space="preserve">Jessica </t>
  </si>
  <si>
    <t xml:space="preserve">Jociel </t>
  </si>
  <si>
    <t>Matheus bigode</t>
  </si>
  <si>
    <t xml:space="preserve">Martins </t>
  </si>
  <si>
    <t xml:space="preserve">Vitor </t>
  </si>
  <si>
    <t xml:space="preserve">Talita </t>
  </si>
  <si>
    <t>Edelson</t>
  </si>
  <si>
    <t xml:space="preserve">Fabio pastor </t>
  </si>
  <si>
    <t xml:space="preserve">Ceará Max </t>
  </si>
  <si>
    <t>Caio madu</t>
  </si>
  <si>
    <t>Lucie</t>
  </si>
  <si>
    <t>Asqueixa</t>
  </si>
  <si>
    <t xml:space="preserve">R7 </t>
  </si>
  <si>
    <t xml:space="preserve">Hugo </t>
  </si>
  <si>
    <t xml:space="preserve">João advogado </t>
  </si>
  <si>
    <t xml:space="preserve">Caio Cohab </t>
  </si>
  <si>
    <t xml:space="preserve">Alemão crochê </t>
  </si>
  <si>
    <t>Rizo</t>
  </si>
  <si>
    <t xml:space="preserve">Henrique barbeiro </t>
  </si>
  <si>
    <t xml:space="preserve">Wellington </t>
  </si>
  <si>
    <t xml:space="preserve">Tigrao </t>
  </si>
  <si>
    <t xml:space="preserve">Tiago  mensal </t>
  </si>
  <si>
    <t xml:space="preserve">Roberta </t>
  </si>
  <si>
    <t xml:space="preserve">Vitor r7 </t>
  </si>
  <si>
    <t xml:space="preserve">Rafael </t>
  </si>
  <si>
    <t xml:space="preserve">Dudu Madureira </t>
  </si>
  <si>
    <t xml:space="preserve">Odair </t>
  </si>
  <si>
    <t xml:space="preserve">Marcelo </t>
  </si>
  <si>
    <t xml:space="preserve">Pedrinho </t>
  </si>
  <si>
    <t xml:space="preserve">Jorge </t>
  </si>
  <si>
    <t xml:space="preserve">Gleidson </t>
  </si>
  <si>
    <t xml:space="preserve">Douglas </t>
  </si>
  <si>
    <t xml:space="preserve">Mario </t>
  </si>
  <si>
    <t xml:space="preserve">Marcos filho </t>
  </si>
  <si>
    <t xml:space="preserve">Ricardo vizinho </t>
  </si>
  <si>
    <t xml:space="preserve">Firmino </t>
  </si>
  <si>
    <t xml:space="preserve">Emerson </t>
  </si>
  <si>
    <t xml:space="preserve">Alberto </t>
  </si>
  <si>
    <t xml:space="preserve">Duvan </t>
  </si>
  <si>
    <t xml:space="preserve">Jailson </t>
  </si>
  <si>
    <t xml:space="preserve">Daniele </t>
  </si>
  <si>
    <t xml:space="preserve">Gordo </t>
  </si>
  <si>
    <t xml:space="preserve">Willian </t>
  </si>
  <si>
    <t xml:space="preserve">Rodrigo prédio </t>
  </si>
  <si>
    <t xml:space="preserve">Rafa Cohab </t>
  </si>
  <si>
    <t xml:space="preserve">Arthur dj </t>
  </si>
  <si>
    <t xml:space="preserve">Arak </t>
  </si>
  <si>
    <t xml:space="preserve">Matheus nutri </t>
  </si>
  <si>
    <t xml:space="preserve">Du </t>
  </si>
  <si>
    <t xml:space="preserve">Fabi </t>
  </si>
  <si>
    <t xml:space="preserve">Dan prédio </t>
  </si>
  <si>
    <t xml:space="preserve">Roger </t>
  </si>
  <si>
    <t xml:space="preserve">Marcelo vila bela </t>
  </si>
  <si>
    <t xml:space="preserve">Evilasio </t>
  </si>
  <si>
    <t xml:space="preserve">Alejandro </t>
  </si>
  <si>
    <t xml:space="preserve">Franciso </t>
  </si>
  <si>
    <t xml:space="preserve">Tiago mensal </t>
  </si>
  <si>
    <t xml:space="preserve">Alecio </t>
  </si>
  <si>
    <t xml:space="preserve">Darlan </t>
  </si>
  <si>
    <t xml:space="preserve">Ícaro </t>
  </si>
  <si>
    <t xml:space="preserve">Alan </t>
  </si>
  <si>
    <t xml:space="preserve">Hellyo </t>
  </si>
  <si>
    <t xml:space="preserve">Odair hospital </t>
  </si>
  <si>
    <t xml:space="preserve">Wendson morro </t>
  </si>
  <si>
    <t>Bruno Marcelinho</t>
  </si>
  <si>
    <t xml:space="preserve">Léo </t>
  </si>
  <si>
    <t xml:space="preserve">Filho do Léo </t>
  </si>
  <si>
    <t xml:space="preserve">Vitor japa </t>
  </si>
  <si>
    <t>Antôni filho Laysa</t>
  </si>
  <si>
    <t xml:space="preserve">Caio vizinho </t>
  </si>
  <si>
    <t xml:space="preserve">Max Ceará </t>
  </si>
  <si>
    <t>Giovani shwartzhaupt</t>
  </si>
  <si>
    <t xml:space="preserve">Maykon </t>
  </si>
  <si>
    <t xml:space="preserve">Lucas bimbos </t>
  </si>
  <si>
    <t xml:space="preserve">Alex prédio </t>
  </si>
  <si>
    <t xml:space="preserve">Felipe hambúrguer </t>
  </si>
  <si>
    <t xml:space="preserve">Felipe mazzola </t>
  </si>
  <si>
    <t xml:space="preserve">Gabriel bimbos </t>
  </si>
  <si>
    <t>Naldo</t>
  </si>
  <si>
    <t xml:space="preserve">Xavier </t>
  </si>
  <si>
    <t xml:space="preserve">Matheus massola </t>
  </si>
  <si>
    <t xml:space="preserve">Kaique Wagner </t>
  </si>
  <si>
    <t xml:space="preserve">Edvaldo vó do Matheus </t>
  </si>
  <si>
    <t xml:space="preserve">Vitor Flávia </t>
  </si>
  <si>
    <t xml:space="preserve">Kauan morro </t>
  </si>
  <si>
    <t xml:space="preserve">Júnior Helipa </t>
  </si>
  <si>
    <t xml:space="preserve">Enzo Sérgio </t>
  </si>
  <si>
    <t xml:space="preserve">Mc Kennedy </t>
  </si>
  <si>
    <t xml:space="preserve">Cássio </t>
  </si>
  <si>
    <t xml:space="preserve">Cayo Uber </t>
  </si>
  <si>
    <t xml:space="preserve">Jheyson </t>
  </si>
  <si>
    <t xml:space="preserve">Atair hubler </t>
  </si>
  <si>
    <t xml:space="preserve">Sapao </t>
  </si>
  <si>
    <t xml:space="preserve">Caio moveis </t>
  </si>
  <si>
    <t xml:space="preserve">Wesley Cohab </t>
  </si>
  <si>
    <t>Bernardo (martim)</t>
  </si>
  <si>
    <t>Heitor (carol)</t>
  </si>
  <si>
    <t xml:space="preserve">Jeferson predio  </t>
  </si>
  <si>
    <t xml:space="preserve">Anderson vila ema </t>
  </si>
  <si>
    <t xml:space="preserve">Marcos prédio </t>
  </si>
  <si>
    <t xml:space="preserve">Leo boss </t>
  </si>
  <si>
    <t xml:space="preserve">Jhony </t>
  </si>
  <si>
    <t xml:space="preserve">Marcos </t>
  </si>
  <si>
    <t xml:space="preserve">Ali </t>
  </si>
  <si>
    <t xml:space="preserve">Willian helipa </t>
  </si>
  <si>
    <t xml:space="preserve">Rafael Cohab </t>
  </si>
  <si>
    <t xml:space="preserve"> Cássio </t>
  </si>
  <si>
    <t xml:space="preserve">Cleber prédio </t>
  </si>
  <si>
    <t xml:space="preserve">Carlos prédio </t>
  </si>
  <si>
    <t xml:space="preserve">Daniel </t>
  </si>
  <si>
    <t xml:space="preserve">Cauê </t>
  </si>
  <si>
    <t>Luquinhas</t>
  </si>
  <si>
    <t xml:space="preserve">Léo prédio </t>
  </si>
  <si>
    <t xml:space="preserve">Miguel Dudu </t>
  </si>
  <si>
    <t xml:space="preserve">Louis rogeria </t>
  </si>
  <si>
    <t xml:space="preserve">Tiago vizinho </t>
  </si>
  <si>
    <t xml:space="preserve">Rizo </t>
  </si>
  <si>
    <t xml:space="preserve">Tavinho </t>
  </si>
  <si>
    <t xml:space="preserve">Tavinho filho </t>
  </si>
  <si>
    <t>Lukinhas</t>
  </si>
  <si>
    <t>Henrique barber</t>
  </si>
  <si>
    <t xml:space="preserve">Vicente João </t>
  </si>
  <si>
    <t xml:space="preserve">Lucas João </t>
  </si>
  <si>
    <t xml:space="preserve">Boas </t>
  </si>
  <si>
    <t>Giovani</t>
  </si>
  <si>
    <t xml:space="preserve">Rosival </t>
  </si>
  <si>
    <t xml:space="preserve">Fabinho </t>
  </si>
  <si>
    <t xml:space="preserve">Adriano </t>
  </si>
  <si>
    <t xml:space="preserve">Atair </t>
  </si>
  <si>
    <t xml:space="preserve">Guilherme </t>
  </si>
  <si>
    <t xml:space="preserve">Matheus </t>
  </si>
  <si>
    <t xml:space="preserve">Alisson </t>
  </si>
  <si>
    <t xml:space="preserve">Alef </t>
  </si>
  <si>
    <t xml:space="preserve">Irmao do Ali </t>
  </si>
  <si>
    <t xml:space="preserve">Bruno Fábio </t>
  </si>
  <si>
    <t xml:space="preserve">Kiko </t>
  </si>
  <si>
    <t xml:space="preserve">Eduardo prédio </t>
  </si>
  <si>
    <t>Wendison</t>
  </si>
  <si>
    <t xml:space="preserve">Lucas morro </t>
  </si>
  <si>
    <t xml:space="preserve">Marcelo morro </t>
  </si>
  <si>
    <t xml:space="preserve">Brunao predio </t>
  </si>
  <si>
    <t xml:space="preserve">Gustavo </t>
  </si>
  <si>
    <t xml:space="preserve">Edelson </t>
  </si>
  <si>
    <t xml:space="preserve">Leandro Magalhães </t>
  </si>
  <si>
    <t xml:space="preserve">Dan </t>
  </si>
  <si>
    <t xml:space="preserve">Matheus alemão </t>
  </si>
  <si>
    <t>Lucas</t>
  </si>
  <si>
    <t xml:space="preserve">Willian Guedes </t>
  </si>
  <si>
    <t xml:space="preserve">Andre </t>
  </si>
  <si>
    <t xml:space="preserve">Henrique </t>
  </si>
  <si>
    <t xml:space="preserve">Júnior floripa </t>
  </si>
  <si>
    <t xml:space="preserve">Luca </t>
  </si>
  <si>
    <t xml:space="preserve">Byel </t>
  </si>
  <si>
    <t xml:space="preserve">Cézar </t>
  </si>
  <si>
    <t xml:space="preserve">Ze da manga </t>
  </si>
  <si>
    <t xml:space="preserve">Broca </t>
  </si>
  <si>
    <t xml:space="preserve">Enzo Kennedy </t>
  </si>
  <si>
    <t>Hugo</t>
  </si>
  <si>
    <t xml:space="preserve">Marcelo Tanaka </t>
  </si>
  <si>
    <t xml:space="preserve">Arthur Renan </t>
  </si>
  <si>
    <t xml:space="preserve">Enzo Renan </t>
  </si>
  <si>
    <t xml:space="preserve">Eduardo </t>
  </si>
  <si>
    <t xml:space="preserve">Victor </t>
  </si>
  <si>
    <t xml:space="preserve">Carioca </t>
  </si>
  <si>
    <t xml:space="preserve">Guilherme prédio </t>
  </si>
  <si>
    <t xml:space="preserve">Cauan </t>
  </si>
  <si>
    <t xml:space="preserve">Asqueixa </t>
  </si>
  <si>
    <t>Danilinho</t>
  </si>
  <si>
    <t xml:space="preserve">Pai do Madureira </t>
  </si>
  <si>
    <t xml:space="preserve">Will </t>
  </si>
  <si>
    <t xml:space="preserve">Vlad </t>
  </si>
  <si>
    <t xml:space="preserve">Marco </t>
  </si>
  <si>
    <t xml:space="preserve">Luiz Tony </t>
  </si>
  <si>
    <t>Rafa</t>
  </si>
  <si>
    <t>Leandro Magalhães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</si>
</sst>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&quot;/&quot;mmm"/>
    <numFmt numFmtId="165" formatCode="[$R$]#,##0.00"/>
    <numFmt numFmtId="166" formatCode="[$R$ -416]#,##0.00"/>
    <numFmt numFmtId="167" formatCode="mmm"/>
    <numFmt numFmtId="168" formatCode="yyyy\-mm\-dd\ h:mm:ss"/>
  </numFmts>
  <fonts count="9">
    <font>
      <sz val="10"/>
      <color rgb="FF000000"/>
      <name val="Arial"/>
      <scheme val="minor"/>
    </font>
    <font>
      <sz val="11"/>
      <color rgb="FFFFFFFF"/>
      <name val="Arial"/>
    </font>
    <font>
      <sz val="11"/>
      <color rgb="FFFFFFFF"/>
      <name val="Bahnschrift"/>
    </font>
    <font>
      <b/>
      <sz val="11"/>
      <color rgb="FF000000"/>
      <name val="Arial"/>
    </font>
    <font>
      <sz val="10"/>
      <color rgb="FF000000"/>
      <name val="&quot;Avenir Next LT Pro&quot;"/>
    </font>
    <font>
      <sz val="10"/>
      <color rgb="FF000000"/>
      <name val="Arial"/>
    </font>
    <font>
      <b/>
      <sz val="11"/>
      <color rgb="FF000000"/>
      <name val="Bahnschrift"/>
    </font>
    <font>
      <b/>
      <sz val="10"/>
      <color rgb="FF000000"/>
      <name val="Arial"/>
      <scheme val="minor"/>
    </font>
    <font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75B5"/>
        <bgColor rgb="FF2F75B5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 applyAlignme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164" fontId="5" fillId="0" borderId="0" xfId="0" applyNumberFormat="1" applyFont="1" applyAlignment="1">
      <alignment horizontal="center"/>
    </xf>
    <xf numFmtId="0" fontId="6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4" fontId="3" fillId="2" borderId="0" xfId="0" applyNumberFormat="1" applyFont="1" applyFill="1" applyAlignment="1">
      <alignment horizontal="center"/>
    </xf>
    <xf numFmtId="165" fontId="3" fillId="2" borderId="0" xfId="0" applyNumberFormat="1" applyFont="1" applyFill="1" applyAlignment="1">
      <alignment horizontal="center"/>
    </xf>
    <xf numFmtId="165" fontId="6" fillId="2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7" fillId="3" borderId="0" xfId="0" applyFont="1" applyFill="1"/>
    <xf numFmtId="166" fontId="7" fillId="0" borderId="0" xfId="0" applyNumberFormat="1" applyFont="1"/>
    <xf numFmtId="0" fontId="7" fillId="0" borderId="0" xfId="0" applyFont="1"/>
    <xf numFmtId="166" fontId="5" fillId="0" borderId="0" xfId="0" applyNumberFormat="1" applyFont="1" applyAlignment="1">
      <alignment horizontal="center"/>
    </xf>
    <xf numFmtId="167" fontId="8" fillId="0" borderId="0" xfId="0" applyNumberFormat="1" applyFont="1"/>
    <xf numFmtId="166" fontId="8" fillId="0" borderId="0" xfId="0" applyNumberFormat="1" applyFont="1"/>
    <xf numFmtId="165" fontId="8" fillId="0" borderId="0" xfId="0" applyNumberFormat="1" applyFont="1"/>
    <xf numFmtId="14" fontId="8" fillId="0" borderId="0" xfId="0" applyNumberFormat="1" applyFont="1"/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horizontal="center"/>
    </xf>
    <xf numFmtId="164" fontId="8" fillId="0" borderId="0" xfId="0" applyNumberFormat="1" applyFont="1"/>
    <xf numFmtId="0" fontId="8" fillId="0" borderId="0" xfId="0" applyFont="1"/>
    <xf numFmtId="14" fontId="8" fillId="0" borderId="0" xfId="0" applyNumberFormat="1" applyFont="1"/>
    <xf numFmtId="0" fontId="0" fillId="0" borderId="0" xfId="0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1000"/>
  <sheetViews>
    <sheetView workbookViewId="0"/>
  </sheetViews>
  <sheetFormatPr defaultColWidth="12.5703125" defaultRowHeight="15.75" customHeight="1"/>
  <cols>
    <col min="1" max="1" width="30.5703125" style="25" customWidth="1"/>
  </cols>
  <sheetData>
    <row r="1" spans="1:15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2" t="s">
        <v>10</v>
      </c>
      <c r="L1" s="2" t="s">
        <v>11</v>
      </c>
      <c r="N1" s="6" t="s">
        <v>12</v>
      </c>
      <c r="O1" s="6" t="s">
        <v>13</v>
      </c>
    </row>
    <row r="2" spans="1:15">
      <c r="A2" s="4">
        <v>46047</v>
      </c>
      <c r="B2" s="6" t="s">
        <v>14</v>
      </c>
      <c r="C2" s="6"/>
      <c r="D2" s="7" t="s">
        <v>15</v>
      </c>
      <c r="E2" s="6"/>
      <c r="F2" s="6" t="s">
        <v>16</v>
      </c>
      <c r="G2" s="6" t="s">
        <v>17</v>
      </c>
      <c r="H2" s="6" t="s">
        <v>12</v>
      </c>
      <c r="I2" s="6" t="s">
        <v>13</v>
      </c>
      <c r="J2" s="6" t="s">
        <v>18</v>
      </c>
      <c r="K2" s="6" t="s">
        <v>19</v>
      </c>
      <c r="L2" s="6" t="s">
        <v>20</v>
      </c>
      <c r="N2" s="6" t="s">
        <v>21</v>
      </c>
      <c r="O2" s="6" t="s">
        <v>22</v>
      </c>
    </row>
    <row r="3" spans="1:15">
      <c r="A3" s="4">
        <v>46048</v>
      </c>
      <c r="B3" s="6" t="s">
        <v>23</v>
      </c>
      <c r="C3" s="6"/>
      <c r="D3" s="7" t="s">
        <v>24</v>
      </c>
      <c r="E3" s="6"/>
      <c r="F3" s="6" t="s">
        <v>25</v>
      </c>
      <c r="G3" s="6" t="s">
        <v>26</v>
      </c>
      <c r="H3" s="6" t="s">
        <v>21</v>
      </c>
      <c r="I3" s="6" t="s">
        <v>22</v>
      </c>
      <c r="J3" s="6" t="s">
        <v>27</v>
      </c>
      <c r="K3" s="6" t="s">
        <v>28</v>
      </c>
      <c r="L3" s="6" t="s">
        <v>29</v>
      </c>
      <c r="N3" s="6" t="s">
        <v>30</v>
      </c>
      <c r="O3" s="6" t="s">
        <v>31</v>
      </c>
    </row>
    <row r="4" spans="1:15">
      <c r="A4" s="4">
        <v>46049</v>
      </c>
      <c r="B4" s="6"/>
      <c r="C4" s="6"/>
      <c r="D4" s="6"/>
      <c r="E4" s="6"/>
      <c r="F4" s="6" t="s">
        <v>32</v>
      </c>
      <c r="G4" s="6" t="s">
        <v>33</v>
      </c>
      <c r="H4" s="6" t="s">
        <v>30</v>
      </c>
      <c r="I4" s="6" t="s">
        <v>31</v>
      </c>
      <c r="J4" s="6"/>
      <c r="K4" s="6" t="s">
        <v>34</v>
      </c>
      <c r="L4" s="6" t="s">
        <v>35</v>
      </c>
      <c r="N4" s="6" t="s">
        <v>36</v>
      </c>
      <c r="O4" s="6" t="s">
        <v>37</v>
      </c>
    </row>
    <row r="5" spans="1:15">
      <c r="A5" s="4">
        <v>46050</v>
      </c>
      <c r="B5" s="6"/>
      <c r="C5" s="6"/>
      <c r="D5" s="6"/>
      <c r="E5" s="6"/>
      <c r="F5" s="6" t="s">
        <v>38</v>
      </c>
      <c r="G5" s="6" t="s">
        <v>37</v>
      </c>
      <c r="H5" s="6" t="s">
        <v>36</v>
      </c>
      <c r="I5" s="6" t="s">
        <v>37</v>
      </c>
      <c r="J5" s="6"/>
      <c r="K5" s="6" t="s">
        <v>39</v>
      </c>
      <c r="L5" s="6" t="s">
        <v>40</v>
      </c>
      <c r="N5" s="6" t="s">
        <v>41</v>
      </c>
      <c r="O5" s="6" t="s">
        <v>42</v>
      </c>
    </row>
    <row r="6" spans="1:15">
      <c r="A6" s="4">
        <v>46051</v>
      </c>
      <c r="B6" s="6"/>
      <c r="C6" s="6"/>
      <c r="D6" s="6"/>
      <c r="E6" s="6"/>
      <c r="F6" s="6" t="s">
        <v>43</v>
      </c>
      <c r="G6" s="6" t="s">
        <v>42</v>
      </c>
      <c r="H6" s="6" t="s">
        <v>41</v>
      </c>
      <c r="I6" s="6" t="s">
        <v>42</v>
      </c>
      <c r="J6" s="6"/>
      <c r="K6" s="7" t="s">
        <v>27</v>
      </c>
      <c r="L6" s="6" t="s">
        <v>44</v>
      </c>
      <c r="N6" s="6" t="s">
        <v>45</v>
      </c>
      <c r="O6" s="6" t="s">
        <v>31</v>
      </c>
    </row>
    <row r="7" spans="1:15">
      <c r="A7" s="4">
        <v>46052</v>
      </c>
      <c r="B7" s="6"/>
      <c r="C7" s="6"/>
      <c r="D7" s="6"/>
      <c r="E7" s="6"/>
      <c r="F7" s="6" t="s">
        <v>46</v>
      </c>
      <c r="G7" s="6" t="s">
        <v>47</v>
      </c>
      <c r="H7" s="6" t="s">
        <v>45</v>
      </c>
      <c r="I7" s="6" t="s">
        <v>48</v>
      </c>
      <c r="J7" s="6"/>
      <c r="K7" s="6"/>
      <c r="L7" s="6" t="s">
        <v>49</v>
      </c>
      <c r="N7" s="6" t="s">
        <v>50</v>
      </c>
      <c r="O7" s="6" t="s">
        <v>13</v>
      </c>
    </row>
    <row r="8" spans="1:15">
      <c r="A8" s="4">
        <v>46053</v>
      </c>
      <c r="B8" s="6"/>
      <c r="C8" s="6"/>
      <c r="D8" s="6"/>
      <c r="E8" s="6"/>
      <c r="F8" s="7" t="s">
        <v>27</v>
      </c>
      <c r="G8" s="15">
        <v>0</v>
      </c>
      <c r="H8" s="6" t="s">
        <v>50</v>
      </c>
      <c r="I8" s="6" t="s">
        <v>13</v>
      </c>
      <c r="J8" s="6"/>
      <c r="K8" s="6"/>
      <c r="L8" s="6" t="s">
        <v>51</v>
      </c>
    </row>
    <row r="9" spans="1:15">
      <c r="A9" s="4">
        <v>46054</v>
      </c>
      <c r="B9" s="6"/>
      <c r="C9" s="6"/>
      <c r="D9" s="6"/>
      <c r="E9" s="6"/>
      <c r="F9" s="7" t="s">
        <v>52</v>
      </c>
      <c r="G9" s="15">
        <v>0</v>
      </c>
      <c r="H9" s="7" t="s">
        <v>52</v>
      </c>
      <c r="I9" s="15">
        <v>0</v>
      </c>
      <c r="J9" s="6"/>
      <c r="K9" s="6"/>
      <c r="L9" s="6" t="s">
        <v>53</v>
      </c>
    </row>
    <row r="10" spans="1:15">
      <c r="A10" s="4">
        <v>46055</v>
      </c>
      <c r="B10" s="6"/>
      <c r="C10" s="6"/>
      <c r="D10" s="6"/>
      <c r="E10" s="6"/>
      <c r="H10" s="6" t="s">
        <v>54</v>
      </c>
      <c r="I10" s="6" t="s">
        <v>48</v>
      </c>
      <c r="J10" s="6"/>
      <c r="K10" s="6"/>
      <c r="L10" s="6" t="s">
        <v>55</v>
      </c>
    </row>
    <row r="11" spans="1:15">
      <c r="A11" s="4">
        <v>46056</v>
      </c>
      <c r="B11" s="6"/>
      <c r="C11" s="6"/>
      <c r="D11" s="6"/>
      <c r="E11" s="6"/>
      <c r="H11" s="6" t="s">
        <v>56</v>
      </c>
      <c r="I11" s="6" t="s">
        <v>48</v>
      </c>
      <c r="J11" s="6"/>
      <c r="K11" s="6"/>
      <c r="L11" s="6" t="s">
        <v>57</v>
      </c>
    </row>
    <row r="12" spans="1:15">
      <c r="A12" s="4">
        <v>46057</v>
      </c>
      <c r="B12" s="6"/>
      <c r="C12" s="6"/>
      <c r="D12" s="6"/>
      <c r="E12" s="6"/>
      <c r="H12" s="6" t="s">
        <v>58</v>
      </c>
      <c r="I12" s="6" t="s">
        <v>59</v>
      </c>
      <c r="J12" s="6"/>
      <c r="K12" s="6"/>
      <c r="L12" s="6" t="s">
        <v>60</v>
      </c>
    </row>
    <row r="13" spans="1:15">
      <c r="A13" s="4">
        <v>46058</v>
      </c>
      <c r="B13" s="6"/>
      <c r="C13" s="6"/>
      <c r="D13" s="6"/>
      <c r="E13" s="6"/>
      <c r="H13" s="6"/>
      <c r="I13" s="6"/>
      <c r="J13" s="6"/>
      <c r="K13" s="6"/>
      <c r="L13" s="6" t="s">
        <v>61</v>
      </c>
    </row>
    <row r="14" spans="1:15">
      <c r="A14" s="4">
        <v>46059</v>
      </c>
      <c r="B14" s="6"/>
      <c r="C14" s="6"/>
      <c r="D14" s="6"/>
      <c r="E14" s="6"/>
      <c r="H14" s="6"/>
      <c r="I14" s="6"/>
      <c r="J14" s="6"/>
      <c r="K14" s="6"/>
      <c r="L14" s="6"/>
    </row>
    <row r="15" spans="1:15">
      <c r="A15" s="4">
        <v>46060</v>
      </c>
      <c r="B15" s="6"/>
      <c r="C15" s="6"/>
      <c r="D15" s="6"/>
      <c r="E15" s="6"/>
      <c r="H15" s="6"/>
      <c r="I15" s="6"/>
      <c r="J15" s="6"/>
      <c r="K15" s="6"/>
      <c r="L15" s="6"/>
    </row>
    <row r="16" spans="1:15">
      <c r="A16" s="4">
        <v>46061</v>
      </c>
      <c r="B16" s="6"/>
      <c r="C16" s="6"/>
      <c r="D16" s="6"/>
      <c r="E16" s="6"/>
      <c r="H16" s="6"/>
      <c r="I16" s="6"/>
      <c r="J16" s="6"/>
      <c r="K16" s="6"/>
      <c r="L16" s="6"/>
    </row>
    <row r="17" spans="1:12">
      <c r="A17" s="4">
        <v>46062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>
      <c r="A18" s="4">
        <v>46063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spans="1:12">
      <c r="A19" s="4">
        <v>46064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spans="1:12">
      <c r="A20" s="4">
        <v>46065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12">
      <c r="A21" s="4">
        <v>46066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spans="1:12">
      <c r="A22" s="4">
        <v>46067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>
      <c r="A23" s="4">
        <v>46068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spans="1:12">
      <c r="A24" s="4">
        <v>46069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>
      <c r="A25" s="4">
        <v>46070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spans="1:12">
      <c r="A26" s="4">
        <v>46071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spans="1:12">
      <c r="A27" s="4">
        <v>46072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>
      <c r="A28" s="4">
        <v>46073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spans="1:12">
      <c r="A29" s="4">
        <v>46074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spans="1:12">
      <c r="A30" s="4">
        <v>46075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spans="1:12">
      <c r="A31" s="4">
        <v>46076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spans="1:12">
      <c r="A32" s="4">
        <v>46077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spans="1:12">
      <c r="A33" s="4">
        <v>46078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spans="1:12">
      <c r="A34" s="4">
        <v>46079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spans="1:12">
      <c r="A35" s="4">
        <v>46080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spans="1:12">
      <c r="A36" s="4">
        <v>46081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spans="1:12">
      <c r="A37" s="4">
        <v>46082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spans="1:12">
      <c r="A38" s="4">
        <v>46083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>
      <c r="A39" s="4">
        <v>46084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spans="1:12">
      <c r="A40" s="4">
        <v>46085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spans="1:12">
      <c r="A41" s="4">
        <v>46086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spans="1:12">
      <c r="A42" s="4">
        <v>46087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spans="1:12">
      <c r="A43" s="4">
        <v>46088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>
      <c r="A44" s="4">
        <v>46089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spans="1:12">
      <c r="A45" s="4">
        <v>46090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>
      <c r="A46" s="4">
        <v>46091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spans="1:12">
      <c r="A47" s="4">
        <v>46092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>
      <c r="A48" s="4">
        <v>46093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spans="1:12">
      <c r="A49" s="4">
        <v>46094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spans="1:12">
      <c r="A50" s="4">
        <v>46095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>
      <c r="A51" s="4">
        <v>46096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>
      <c r="A52" s="4">
        <v>46097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>
      <c r="A53" s="4">
        <v>46098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spans="1:12">
      <c r="A54" s="4">
        <v>46099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</row>
    <row r="55" spans="1:12">
      <c r="A55" s="4">
        <v>46100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spans="1:12">
      <c r="A56" s="4">
        <v>46101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 spans="1:12">
      <c r="A57" s="4">
        <v>46102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spans="1:12">
      <c r="A58" s="4">
        <v>46103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spans="1:12">
      <c r="A59" s="4">
        <v>46104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spans="1:12">
      <c r="A60" s="4">
        <v>46105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spans="1:12">
      <c r="A61" s="4">
        <v>46106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spans="1:12">
      <c r="A62" s="4">
        <v>46107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spans="1:12">
      <c r="A63" s="4">
        <v>46108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spans="1:12">
      <c r="A64" s="4">
        <v>46109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spans="1:12">
      <c r="A65" s="4">
        <v>46110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>
      <c r="A66" s="4">
        <v>46111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spans="1:12">
      <c r="A67" s="4">
        <v>46112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spans="1:12">
      <c r="A68" s="4">
        <v>46113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spans="1:12">
      <c r="A69" s="4">
        <v>46114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spans="1:12">
      <c r="A70" s="4">
        <v>46115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>
      <c r="A71" s="4">
        <v>46116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spans="1:12">
      <c r="A72" s="4">
        <v>46117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>
      <c r="A73" s="4">
        <v>46118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spans="1:12">
      <c r="A74" s="4">
        <v>46119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spans="1:12">
      <c r="A75" s="4">
        <v>46120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spans="1:12">
      <c r="A76" s="4">
        <v>46121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spans="1:12">
      <c r="A77" s="4">
        <v>46122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spans="1:12">
      <c r="A78" s="4">
        <v>46123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spans="1:12">
      <c r="A79" s="4">
        <v>46124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spans="1:12">
      <c r="A80" s="4">
        <v>46125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spans="1:12">
      <c r="A81" s="4">
        <v>46126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spans="1:12">
      <c r="A82" s="4">
        <v>46127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spans="1:12">
      <c r="A83" s="4">
        <v>46128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spans="1:12">
      <c r="A84" s="4">
        <v>46129</v>
      </c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spans="1:12">
      <c r="A85" s="4">
        <v>46130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spans="1:12">
      <c r="A86" s="4">
        <v>46131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spans="1:12">
      <c r="A87" s="4">
        <v>46132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>
      <c r="A88" s="4">
        <v>46133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spans="1:12">
      <c r="A89" s="4">
        <v>46134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spans="1:12">
      <c r="A90" s="4">
        <v>46135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>
      <c r="A91" s="4">
        <v>46136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spans="1:12">
      <c r="A92" s="4">
        <v>46137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spans="1:12">
      <c r="A93" s="4">
        <v>46138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spans="1:12">
      <c r="A94" s="4">
        <v>46139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spans="1:12">
      <c r="A95" s="4">
        <v>46140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spans="1:12">
      <c r="A96" s="4">
        <v>46141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spans="1:12">
      <c r="A97" s="4">
        <v>46142</v>
      </c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spans="1:12">
      <c r="A98" s="4">
        <v>46143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spans="1:12">
      <c r="A99" s="4">
        <v>46144</v>
      </c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>
      <c r="A100" s="4">
        <v>46145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spans="1:12">
      <c r="A101" s="4">
        <v>46146</v>
      </c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spans="1:12">
      <c r="A102" s="4">
        <v>46147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>
      <c r="A103" s="4">
        <v>46148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spans="1:12">
      <c r="A104" s="4">
        <v>46149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spans="1:12">
      <c r="A105" s="4">
        <v>46150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spans="1:12">
      <c r="A106" s="4">
        <v>46151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spans="1:12">
      <c r="A107" s="4">
        <v>46152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spans="1:12">
      <c r="A108" s="4">
        <v>46153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spans="1:12">
      <c r="A109" s="4">
        <v>46154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>
      <c r="A110" s="4">
        <v>46155</v>
      </c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spans="1:12">
      <c r="A111" s="4">
        <v>46156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spans="1:12">
      <c r="A112" s="4">
        <v>46157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spans="1:12">
      <c r="A113" s="4">
        <v>46158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spans="1:12">
      <c r="A114" s="4">
        <v>46159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spans="1:12">
      <c r="A115" s="4">
        <v>46160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spans="1:12">
      <c r="A116" s="4">
        <v>46161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spans="1:12">
      <c r="A117" s="4">
        <v>46162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spans="1:12">
      <c r="A118" s="4">
        <v>46163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spans="1:12">
      <c r="A119" s="4">
        <v>46164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spans="1:12">
      <c r="A120" s="4">
        <v>46165</v>
      </c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>
      <c r="A121" s="4">
        <v>46166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spans="1:12">
      <c r="A122" s="4">
        <v>46167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spans="1:12">
      <c r="A123" s="4">
        <v>46168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spans="1:12">
      <c r="A124" s="4">
        <v>46169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spans="1:12">
      <c r="A125" s="4">
        <v>46170</v>
      </c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spans="1:12">
      <c r="A126" s="4">
        <v>46171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>
      <c r="A127" s="4">
        <v>46172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>
      <c r="A128" s="4">
        <v>46173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>
      <c r="A129" s="4">
        <v>46174</v>
      </c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spans="1:12">
      <c r="A130" s="4">
        <v>46175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>
      <c r="A131" s="4">
        <v>46176</v>
      </c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spans="1:12">
      <c r="A132" s="4">
        <v>46177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spans="1:12">
      <c r="A133" s="4">
        <v>46178</v>
      </c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spans="1:12">
      <c r="A134" s="4">
        <v>46179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spans="1:12">
      <c r="A135" s="4">
        <v>46180</v>
      </c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spans="1:12">
      <c r="A136" s="4">
        <v>46181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spans="1:12">
      <c r="A137" s="4">
        <v>46182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spans="1:12">
      <c r="A138" s="4">
        <v>46183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spans="1:12">
      <c r="A139" s="4">
        <v>46184</v>
      </c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spans="1:12">
      <c r="A140" s="4">
        <v>46185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spans="1:12">
      <c r="A141" s="4">
        <v>46186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spans="1:12">
      <c r="A142" s="4">
        <v>46187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spans="1:12">
      <c r="A143" s="4">
        <v>46188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spans="1:12">
      <c r="A144" s="4">
        <v>46189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spans="1:12">
      <c r="A145" s="4">
        <v>46190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spans="1:12">
      <c r="A146" s="4">
        <v>46191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spans="1:12">
      <c r="A147" s="4">
        <v>46192</v>
      </c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spans="1:12">
      <c r="A148" s="4">
        <v>46193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spans="1:12">
      <c r="A149" s="4">
        <v>46194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spans="1:12">
      <c r="A150" s="4">
        <v>46195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spans="1:12">
      <c r="A151" s="4">
        <v>46196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spans="1:12">
      <c r="A152" s="4">
        <v>46197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spans="1:12">
      <c r="A153" s="4">
        <v>46198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spans="1:12">
      <c r="A154" s="4">
        <v>46199</v>
      </c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spans="1:12">
      <c r="A155" s="4">
        <v>46200</v>
      </c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spans="1:12">
      <c r="A156" s="4">
        <v>46201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spans="1:12">
      <c r="A157" s="4">
        <v>46202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spans="1:12">
      <c r="A158" s="4">
        <v>46203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spans="1:12">
      <c r="A159" s="4">
        <v>46204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spans="1:12">
      <c r="A160" s="4">
        <v>46205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spans="1:12">
      <c r="A161" s="4">
        <v>46206</v>
      </c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>
      <c r="A162" s="4">
        <v>46207</v>
      </c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>
      <c r="A163" s="4">
        <v>46208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spans="1:12">
      <c r="A164" s="4">
        <v>46209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spans="1:12">
      <c r="A165" s="4">
        <v>46210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spans="1:12">
      <c r="A166" s="4">
        <v>46211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spans="1:12">
      <c r="A167" s="4">
        <v>46212</v>
      </c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spans="1:12">
      <c r="A168" s="4">
        <v>46213</v>
      </c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>
      <c r="A169" s="4">
        <v>46214</v>
      </c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spans="1:12">
      <c r="A170" s="4">
        <v>46215</v>
      </c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spans="1:12">
      <c r="A171" s="4">
        <v>46216</v>
      </c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spans="1:12">
      <c r="A172" s="4">
        <v>46217</v>
      </c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spans="1:12">
      <c r="A173" s="4">
        <v>46218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spans="1:12">
      <c r="A174" s="4">
        <v>46219</v>
      </c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>
      <c r="A175" s="4">
        <v>46220</v>
      </c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>
      <c r="A176" s="4">
        <v>46221</v>
      </c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spans="1:12">
      <c r="A177" s="4">
        <v>46222</v>
      </c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spans="1:12">
      <c r="A178" s="4">
        <v>46223</v>
      </c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spans="1:12">
      <c r="A179" s="4">
        <v>46224</v>
      </c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spans="1:12">
      <c r="A180" s="4">
        <v>46225</v>
      </c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spans="1:12">
      <c r="A181" s="4">
        <v>46226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spans="1:12">
      <c r="A182" s="4">
        <v>46227</v>
      </c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>
      <c r="A183" s="4">
        <v>46228</v>
      </c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>
      <c r="A184" s="4">
        <v>46229</v>
      </c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>
      <c r="A185" s="4">
        <v>46230</v>
      </c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>
      <c r="A186" s="4">
        <v>46231</v>
      </c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>
      <c r="A187" s="4">
        <v>46232</v>
      </c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>
      <c r="A188" s="4">
        <v>46233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spans="1:12">
      <c r="A189" s="4">
        <v>46234</v>
      </c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spans="1:12">
      <c r="A190" s="4">
        <v>46235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spans="1:12">
      <c r="A191" s="4">
        <v>46236</v>
      </c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spans="1:12">
      <c r="A192" s="4">
        <v>46237</v>
      </c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>
      <c r="A193" s="4">
        <v>46238</v>
      </c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spans="1:12">
      <c r="A194" s="4">
        <v>46239</v>
      </c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spans="1:12">
      <c r="A195" s="4">
        <v>46240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spans="1:12">
      <c r="A196" s="4">
        <v>46241</v>
      </c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spans="1:12">
      <c r="A197" s="4">
        <v>46242</v>
      </c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>
      <c r="A198" s="4">
        <v>46243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spans="1:12">
      <c r="A199" s="4">
        <v>46244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spans="1:12">
      <c r="A200" s="4">
        <v>46245</v>
      </c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 spans="1:12">
      <c r="A201" s="4">
        <v>46246</v>
      </c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</row>
    <row r="202" spans="1:12">
      <c r="A202" s="4">
        <v>46247</v>
      </c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</row>
    <row r="203" spans="1:12">
      <c r="A203" s="4">
        <v>46248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</row>
    <row r="204" spans="1:12">
      <c r="A204" s="4">
        <v>46249</v>
      </c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</row>
    <row r="205" spans="1:12">
      <c r="A205" s="4">
        <v>46250</v>
      </c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</row>
    <row r="206" spans="1:12">
      <c r="A206" s="4">
        <v>46251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</row>
    <row r="207" spans="1:12">
      <c r="A207" s="4">
        <v>46252</v>
      </c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</row>
    <row r="208" spans="1:12">
      <c r="A208" s="4">
        <v>46253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</row>
    <row r="209" spans="1:12">
      <c r="A209" s="4">
        <v>46254</v>
      </c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</row>
    <row r="210" spans="1:12">
      <c r="A210" s="4">
        <v>46255</v>
      </c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</row>
    <row r="211" spans="1:12">
      <c r="A211" s="4">
        <v>46256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</row>
    <row r="212" spans="1:12">
      <c r="A212" s="4">
        <v>46257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</row>
    <row r="213" spans="1:12">
      <c r="A213" s="4">
        <v>46258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</row>
    <row r="214" spans="1:12">
      <c r="A214" s="4">
        <v>46259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</row>
    <row r="215" spans="1:12">
      <c r="A215" s="4">
        <v>46260</v>
      </c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</row>
    <row r="216" spans="1:12">
      <c r="A216" s="4">
        <v>46261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</row>
    <row r="217" spans="1:12">
      <c r="A217" s="4">
        <v>46262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</row>
    <row r="218" spans="1:12">
      <c r="A218" s="4">
        <v>46263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</row>
    <row r="219" spans="1:12">
      <c r="A219" s="4">
        <v>46264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</row>
    <row r="220" spans="1:12">
      <c r="A220" s="4">
        <v>46265</v>
      </c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</row>
    <row r="221" spans="1:12">
      <c r="A221" s="4">
        <v>46266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</row>
    <row r="222" spans="1:12">
      <c r="A222" s="4">
        <v>46267</v>
      </c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</row>
    <row r="223" spans="1:12">
      <c r="A223" s="4">
        <v>46268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</row>
    <row r="224" spans="1:12">
      <c r="A224" s="4">
        <v>46269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</row>
    <row r="225" spans="1:12">
      <c r="A225" s="4">
        <v>46270</v>
      </c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</row>
    <row r="226" spans="1:12">
      <c r="A226" s="4">
        <v>46271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</row>
    <row r="227" spans="1:12">
      <c r="A227" s="4">
        <v>46272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</row>
    <row r="228" spans="1:12">
      <c r="A228" s="4">
        <v>46273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</row>
    <row r="229" spans="1:12">
      <c r="A229" s="4">
        <v>46274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</row>
    <row r="230" spans="1:12">
      <c r="A230" s="4">
        <v>46275</v>
      </c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</row>
    <row r="231" spans="1:12">
      <c r="A231" s="4">
        <v>46276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</row>
    <row r="232" spans="1:12">
      <c r="A232" s="4">
        <v>46277</v>
      </c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</row>
    <row r="233" spans="1:12">
      <c r="A233" s="4">
        <v>46278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</row>
    <row r="234" spans="1:12">
      <c r="A234" s="4">
        <v>46279</v>
      </c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</row>
    <row r="235" spans="1:12">
      <c r="A235" s="4">
        <v>46280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spans="1:12">
      <c r="A236" s="4">
        <v>46281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spans="1:12">
      <c r="A237" s="4">
        <v>46282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</row>
    <row r="238" spans="1:12">
      <c r="A238" s="4">
        <v>46283</v>
      </c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</row>
    <row r="239" spans="1:12">
      <c r="A239" s="4">
        <v>46284</v>
      </c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</row>
    <row r="240" spans="1:12">
      <c r="A240" s="4">
        <v>46285</v>
      </c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</row>
    <row r="241" spans="1:12">
      <c r="A241" s="4">
        <v>46286</v>
      </c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</row>
    <row r="242" spans="1:12">
      <c r="A242" s="4">
        <v>46287</v>
      </c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</row>
    <row r="243" spans="1:12">
      <c r="A243" s="4">
        <v>46288</v>
      </c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</row>
    <row r="244" spans="1:12">
      <c r="A244" s="4">
        <v>46289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</row>
    <row r="245" spans="1:12">
      <c r="A245" s="4">
        <v>46290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</row>
    <row r="246" spans="1:12">
      <c r="A246" s="4">
        <v>46291</v>
      </c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</row>
    <row r="247" spans="1:12">
      <c r="A247" s="4">
        <v>46292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</row>
    <row r="248" spans="1:12">
      <c r="A248" s="4">
        <v>46293</v>
      </c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</row>
    <row r="249" spans="1:12">
      <c r="A249" s="4">
        <v>46294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</row>
    <row r="250" spans="1:12">
      <c r="A250" s="4">
        <v>46295</v>
      </c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</row>
    <row r="251" spans="1:12">
      <c r="A251" s="4">
        <v>46296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</row>
    <row r="252" spans="1:12">
      <c r="A252" s="4">
        <v>46297</v>
      </c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</row>
    <row r="253" spans="1:12">
      <c r="A253" s="4">
        <v>46298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</row>
    <row r="254" spans="1:12">
      <c r="A254" s="4">
        <v>46299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</row>
    <row r="255" spans="1:12">
      <c r="A255" s="4">
        <v>46300</v>
      </c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</row>
    <row r="256" spans="1:12">
      <c r="A256" s="4">
        <v>46301</v>
      </c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</row>
    <row r="257" spans="1:12">
      <c r="A257" s="4">
        <v>46302</v>
      </c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</row>
    <row r="258" spans="1:12">
      <c r="A258" s="4">
        <v>46303</v>
      </c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</row>
    <row r="259" spans="1:12">
      <c r="A259" s="4">
        <v>46304</v>
      </c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</row>
    <row r="260" spans="1:12">
      <c r="A260" s="4">
        <v>46305</v>
      </c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</row>
    <row r="261" spans="1:12">
      <c r="A261" s="4">
        <v>46306</v>
      </c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</row>
    <row r="262" spans="1:12">
      <c r="A262" s="4">
        <v>46307</v>
      </c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</row>
    <row r="263" spans="1:12">
      <c r="A263" s="4">
        <v>46308</v>
      </c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</row>
    <row r="264" spans="1:12">
      <c r="A264" s="4">
        <v>46309</v>
      </c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</row>
    <row r="265" spans="1:12">
      <c r="A265" s="4">
        <v>46310</v>
      </c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</row>
    <row r="266" spans="1:12">
      <c r="A266" s="4">
        <v>46311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</row>
    <row r="267" spans="1:12">
      <c r="A267" s="4">
        <v>46312</v>
      </c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</row>
    <row r="268" spans="1:12">
      <c r="A268" s="4">
        <v>46313</v>
      </c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</row>
    <row r="269" spans="1:12">
      <c r="A269" s="4">
        <v>46314</v>
      </c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</row>
    <row r="270" spans="1:12">
      <c r="A270" s="4">
        <v>46315</v>
      </c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</row>
    <row r="271" spans="1:12">
      <c r="A271" s="4">
        <v>46316</v>
      </c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</row>
    <row r="272" spans="1:12">
      <c r="A272" s="4">
        <v>46317</v>
      </c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</row>
    <row r="273" spans="1:12">
      <c r="A273" s="4">
        <v>46318</v>
      </c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</row>
    <row r="274" spans="1:12">
      <c r="A274" s="4">
        <v>46319</v>
      </c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</row>
    <row r="275" spans="1:12">
      <c r="A275" s="4">
        <v>46320</v>
      </c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</row>
    <row r="276" spans="1:12">
      <c r="A276" s="4">
        <v>46321</v>
      </c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</row>
    <row r="277" spans="1:12">
      <c r="A277" s="4">
        <v>46322</v>
      </c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</row>
    <row r="278" spans="1:12">
      <c r="A278" s="4">
        <v>46323</v>
      </c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</row>
    <row r="279" spans="1:12">
      <c r="A279" s="4">
        <v>46324</v>
      </c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</row>
    <row r="280" spans="1:12">
      <c r="A280" s="4">
        <v>46325</v>
      </c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</row>
    <row r="281" spans="1:12">
      <c r="A281" s="4">
        <v>46326</v>
      </c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</row>
    <row r="282" spans="1:12">
      <c r="A282" s="4">
        <v>46327</v>
      </c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</row>
    <row r="283" spans="1:12">
      <c r="A283" s="4">
        <v>46328</v>
      </c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</row>
    <row r="284" spans="1:12">
      <c r="A284" s="4">
        <v>46329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</row>
    <row r="285" spans="1:12">
      <c r="A285" s="4">
        <v>46330</v>
      </c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</row>
    <row r="286" spans="1:12">
      <c r="A286" s="4">
        <v>46331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</row>
    <row r="287" spans="1:12">
      <c r="A287" s="4">
        <v>46332</v>
      </c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</row>
    <row r="288" spans="1:12">
      <c r="A288" s="4">
        <v>46333</v>
      </c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</row>
    <row r="289" spans="1:12">
      <c r="A289" s="4">
        <v>46334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</row>
    <row r="290" spans="1:12">
      <c r="A290" s="4">
        <v>46335</v>
      </c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</row>
    <row r="291" spans="1:12">
      <c r="A291" s="4">
        <v>46336</v>
      </c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</row>
    <row r="292" spans="1:12">
      <c r="A292" s="4">
        <v>46337</v>
      </c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</row>
    <row r="293" spans="1:12">
      <c r="A293" s="4">
        <v>46338</v>
      </c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</row>
    <row r="294" spans="1:12">
      <c r="A294" s="4">
        <v>46339</v>
      </c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</row>
    <row r="295" spans="1:12">
      <c r="A295" s="4">
        <v>46340</v>
      </c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</row>
    <row r="296" spans="1:12">
      <c r="A296" s="4">
        <v>46341</v>
      </c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</row>
    <row r="297" spans="1:12">
      <c r="A297" s="4">
        <v>46342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</row>
    <row r="298" spans="1:12">
      <c r="A298" s="4">
        <v>46343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</row>
    <row r="299" spans="1:12">
      <c r="A299" s="4">
        <v>46344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</row>
    <row r="300" spans="1:12">
      <c r="A300" s="4">
        <v>46345</v>
      </c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</row>
    <row r="301" spans="1:12">
      <c r="A301" s="4">
        <v>46346</v>
      </c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</row>
    <row r="302" spans="1:12">
      <c r="A302" s="4">
        <v>46347</v>
      </c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</row>
    <row r="303" spans="1:12">
      <c r="A303" s="4">
        <v>46348</v>
      </c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</row>
    <row r="304" spans="1:12">
      <c r="A304" s="4">
        <v>46349</v>
      </c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</row>
    <row r="305" spans="1:12">
      <c r="A305" s="4">
        <v>46350</v>
      </c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</row>
    <row r="306" spans="1:12">
      <c r="A306" s="4">
        <v>46351</v>
      </c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</row>
    <row r="307" spans="1:12">
      <c r="A307" s="4">
        <v>46352</v>
      </c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</row>
    <row r="308" spans="1:12">
      <c r="A308" s="4">
        <v>46353</v>
      </c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</row>
    <row r="309" spans="1:12">
      <c r="A309" s="4">
        <v>46354</v>
      </c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</row>
    <row r="310" spans="1:12">
      <c r="A310" s="4">
        <v>46355</v>
      </c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</row>
    <row r="311" spans="1:12">
      <c r="A311" s="4">
        <v>46356</v>
      </c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</row>
    <row r="312" spans="1:12">
      <c r="A312" s="4">
        <v>46357</v>
      </c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</row>
    <row r="313" spans="1:12">
      <c r="A313" s="4">
        <v>46358</v>
      </c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</row>
    <row r="314" spans="1:12">
      <c r="A314" s="4">
        <v>46359</v>
      </c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</row>
    <row r="315" spans="1:12">
      <c r="A315" s="4">
        <v>46360</v>
      </c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</row>
    <row r="316" spans="1:12">
      <c r="A316" s="4">
        <v>46361</v>
      </c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</row>
    <row r="317" spans="1:12">
      <c r="A317" s="4">
        <v>46362</v>
      </c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</row>
    <row r="318" spans="1:12">
      <c r="A318" s="4">
        <v>46363</v>
      </c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</row>
    <row r="319" spans="1:12">
      <c r="A319" s="4">
        <v>46364</v>
      </c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</row>
    <row r="320" spans="1:12">
      <c r="A320" s="4">
        <v>46365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</row>
    <row r="321" spans="1:12">
      <c r="A321" s="4">
        <v>46366</v>
      </c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</row>
    <row r="322" spans="1:12">
      <c r="A322" s="4">
        <v>46367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</row>
    <row r="323" spans="1:12">
      <c r="A323" s="4">
        <v>46368</v>
      </c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</row>
    <row r="324" spans="1:12">
      <c r="A324" s="4">
        <v>46369</v>
      </c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</row>
    <row r="325" spans="1:12">
      <c r="A325" s="4">
        <v>46370</v>
      </c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</row>
    <row r="326" spans="1:12">
      <c r="A326" s="4">
        <v>46371</v>
      </c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</row>
    <row r="327" spans="1:12">
      <c r="A327" s="4">
        <v>46372</v>
      </c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</row>
    <row r="328" spans="1:12">
      <c r="A328" s="4">
        <v>46373</v>
      </c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</row>
    <row r="329" spans="1:12">
      <c r="A329" s="4">
        <v>46374</v>
      </c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</row>
    <row r="330" spans="1:12">
      <c r="A330" s="4">
        <v>46375</v>
      </c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</row>
    <row r="331" spans="1:12">
      <c r="A331" s="4">
        <v>46376</v>
      </c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</row>
    <row r="332" spans="1:12">
      <c r="A332" s="4">
        <v>46377</v>
      </c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</row>
    <row r="333" spans="1:12">
      <c r="A333" s="4">
        <v>46378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</row>
    <row r="334" spans="1:12">
      <c r="A334" s="4">
        <v>46379</v>
      </c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</row>
    <row r="335" spans="1:12">
      <c r="A335" s="4">
        <v>46380</v>
      </c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</row>
    <row r="336" spans="1:12">
      <c r="A336" s="4">
        <v>46381</v>
      </c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</row>
    <row r="337" spans="1:12">
      <c r="A337" s="4">
        <v>46382</v>
      </c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</row>
    <row r="338" spans="1:12">
      <c r="A338" s="4">
        <v>46383</v>
      </c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</row>
    <row r="339" spans="1:12">
      <c r="A339" s="4">
        <v>46384</v>
      </c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</row>
    <row r="340" spans="1:12">
      <c r="A340" s="4">
        <v>46385</v>
      </c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</row>
    <row r="341" spans="1:12">
      <c r="A341" s="4">
        <v>46386</v>
      </c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</row>
    <row r="342" spans="1:12">
      <c r="A342" s="4">
        <v>46387</v>
      </c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</row>
    <row r="343" spans="1:12">
      <c r="A343" s="4">
        <v>46388</v>
      </c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</row>
    <row r="344" spans="1:12">
      <c r="A344" s="4">
        <v>46389</v>
      </c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</row>
    <row r="345" spans="1:12">
      <c r="A345" s="4">
        <v>46390</v>
      </c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</row>
    <row r="346" spans="1:12">
      <c r="A346" s="4">
        <v>46391</v>
      </c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</row>
    <row r="347" spans="1:12">
      <c r="A347" s="4">
        <v>46392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</row>
    <row r="348" spans="1:12">
      <c r="A348" s="4">
        <v>46393</v>
      </c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</row>
    <row r="349" spans="1:12">
      <c r="A349" s="4">
        <v>46394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</row>
    <row r="350" spans="1:12">
      <c r="A350" s="4">
        <v>46395</v>
      </c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</row>
    <row r="351" spans="1:12">
      <c r="A351" s="4">
        <v>46396</v>
      </c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</row>
    <row r="352" spans="1:12">
      <c r="A352" s="22"/>
    </row>
    <row r="353" spans="1:1">
      <c r="A353" s="22"/>
    </row>
    <row r="354" spans="1:1">
      <c r="A354" s="22"/>
    </row>
    <row r="355" spans="1:1">
      <c r="A355" s="22"/>
    </row>
    <row r="356" spans="1:1">
      <c r="A356" s="22"/>
    </row>
    <row r="357" spans="1:1">
      <c r="A357" s="22"/>
    </row>
    <row r="358" spans="1:1">
      <c r="A358" s="22"/>
    </row>
    <row r="359" spans="1:1">
      <c r="A359" s="22"/>
    </row>
    <row r="360" spans="1:1">
      <c r="A360" s="22"/>
    </row>
    <row r="361" spans="1:1">
      <c r="A361" s="22"/>
    </row>
    <row r="362" spans="1:1">
      <c r="A362" s="22"/>
    </row>
    <row r="363" spans="1:1">
      <c r="A363" s="22"/>
    </row>
    <row r="364" spans="1:1">
      <c r="A364" s="22"/>
    </row>
    <row r="365" spans="1:1">
      <c r="A365" s="22"/>
    </row>
    <row r="366" spans="1:1">
      <c r="A366" s="22"/>
    </row>
    <row r="367" spans="1:1">
      <c r="A367" s="22"/>
    </row>
    <row r="368" spans="1:1">
      <c r="A368" s="22"/>
    </row>
    <row r="369" spans="1:1">
      <c r="A369" s="22"/>
    </row>
    <row r="370" spans="1:1">
      <c r="A370" s="22"/>
    </row>
    <row r="371" spans="1:1">
      <c r="A371" s="22"/>
    </row>
    <row r="372" spans="1:1">
      <c r="A372" s="22"/>
    </row>
    <row r="373" spans="1:1">
      <c r="A373" s="22"/>
    </row>
    <row r="374" spans="1:1">
      <c r="A374" s="22"/>
    </row>
    <row r="375" spans="1:1">
      <c r="A375" s="22"/>
    </row>
    <row r="376" spans="1:1">
      <c r="A376" s="22"/>
    </row>
    <row r="377" spans="1:1">
      <c r="A377" s="22"/>
    </row>
    <row r="378" spans="1:1">
      <c r="A378" s="22"/>
    </row>
    <row r="379" spans="1:1">
      <c r="A379" s="22"/>
    </row>
    <row r="380" spans="1:1">
      <c r="A380" s="22"/>
    </row>
    <row r="381" spans="1:1">
      <c r="A381" s="22"/>
    </row>
    <row r="382" spans="1:1">
      <c r="A382" s="22"/>
    </row>
    <row r="383" spans="1:1">
      <c r="A383" s="22"/>
    </row>
    <row r="384" spans="1:1">
      <c r="A384" s="22"/>
    </row>
    <row r="385" spans="1:1">
      <c r="A385" s="22"/>
    </row>
    <row r="386" spans="1:1">
      <c r="A386" s="22"/>
    </row>
    <row r="387" spans="1:1">
      <c r="A387" s="22"/>
    </row>
    <row r="388" spans="1:1">
      <c r="A388" s="22"/>
    </row>
    <row r="389" spans="1:1">
      <c r="A389" s="22"/>
    </row>
    <row r="390" spans="1:1">
      <c r="A390" s="22"/>
    </row>
    <row r="391" spans="1:1">
      <c r="A391" s="22"/>
    </row>
    <row r="392" spans="1:1">
      <c r="A392" s="22"/>
    </row>
    <row r="393" spans="1:1">
      <c r="A393" s="22"/>
    </row>
    <row r="394" spans="1:1">
      <c r="A394" s="22"/>
    </row>
    <row r="395" spans="1:1">
      <c r="A395" s="22"/>
    </row>
    <row r="396" spans="1:1">
      <c r="A396" s="22"/>
    </row>
    <row r="397" spans="1:1">
      <c r="A397" s="22"/>
    </row>
    <row r="398" spans="1:1">
      <c r="A398" s="22"/>
    </row>
    <row r="399" spans="1:1">
      <c r="A399" s="22"/>
    </row>
    <row r="400" spans="1:1">
      <c r="A400" s="22"/>
    </row>
    <row r="401" spans="1:1">
      <c r="A401" s="22"/>
    </row>
    <row r="402" spans="1:1">
      <c r="A402" s="22"/>
    </row>
    <row r="403" spans="1:1">
      <c r="A403" s="22"/>
    </row>
    <row r="404" spans="1:1">
      <c r="A404" s="22"/>
    </row>
    <row r="405" spans="1:1">
      <c r="A405" s="22"/>
    </row>
    <row r="406" spans="1:1">
      <c r="A406" s="22"/>
    </row>
    <row r="407" spans="1:1">
      <c r="A407" s="22"/>
    </row>
    <row r="408" spans="1:1">
      <c r="A408" s="22"/>
    </row>
    <row r="409" spans="1:1">
      <c r="A409" s="22"/>
    </row>
    <row r="410" spans="1:1">
      <c r="A410" s="22"/>
    </row>
    <row r="411" spans="1:1">
      <c r="A411" s="22"/>
    </row>
    <row r="412" spans="1:1">
      <c r="A412" s="22"/>
    </row>
    <row r="413" spans="1:1">
      <c r="A413" s="22"/>
    </row>
    <row r="414" spans="1:1">
      <c r="A414" s="22"/>
    </row>
    <row r="415" spans="1:1">
      <c r="A415" s="22"/>
    </row>
    <row r="416" spans="1:1">
      <c r="A416" s="22"/>
    </row>
    <row r="417" spans="1:1">
      <c r="A417" s="22"/>
    </row>
    <row r="418" spans="1:1">
      <c r="A418" s="22"/>
    </row>
    <row r="419" spans="1:1">
      <c r="A419" s="22"/>
    </row>
    <row r="420" spans="1:1">
      <c r="A420" s="22"/>
    </row>
    <row r="421" spans="1:1">
      <c r="A421" s="22"/>
    </row>
    <row r="422" spans="1:1">
      <c r="A422" s="22"/>
    </row>
    <row r="423" spans="1:1">
      <c r="A423" s="22"/>
    </row>
    <row r="424" spans="1:1">
      <c r="A424" s="22"/>
    </row>
    <row r="425" spans="1:1">
      <c r="A425" s="22"/>
    </row>
    <row r="426" spans="1:1">
      <c r="A426" s="22"/>
    </row>
    <row r="427" spans="1:1">
      <c r="A427" s="22"/>
    </row>
    <row r="428" spans="1:1">
      <c r="A428" s="22"/>
    </row>
    <row r="429" spans="1:1">
      <c r="A429" s="22"/>
    </row>
    <row r="430" spans="1:1">
      <c r="A430" s="22"/>
    </row>
    <row r="431" spans="1:1">
      <c r="A431" s="22"/>
    </row>
    <row r="432" spans="1:1">
      <c r="A432" s="22"/>
    </row>
    <row r="433" spans="1:1">
      <c r="A433" s="22"/>
    </row>
    <row r="434" spans="1:1">
      <c r="A434" s="22"/>
    </row>
    <row r="435" spans="1:1">
      <c r="A435" s="22"/>
    </row>
    <row r="436" spans="1:1">
      <c r="A436" s="22"/>
    </row>
    <row r="437" spans="1:1">
      <c r="A437" s="22"/>
    </row>
    <row r="438" spans="1:1">
      <c r="A438" s="22"/>
    </row>
    <row r="439" spans="1:1">
      <c r="A439" s="22"/>
    </row>
    <row r="440" spans="1:1">
      <c r="A440" s="22"/>
    </row>
    <row r="441" spans="1:1">
      <c r="A441" s="22"/>
    </row>
    <row r="442" spans="1:1">
      <c r="A442" s="22"/>
    </row>
    <row r="443" spans="1:1">
      <c r="A443" s="22"/>
    </row>
    <row r="444" spans="1:1">
      <c r="A444" s="22"/>
    </row>
    <row r="445" spans="1:1">
      <c r="A445" s="22"/>
    </row>
    <row r="446" spans="1:1">
      <c r="A446" s="22"/>
    </row>
    <row r="447" spans="1:1">
      <c r="A447" s="22"/>
    </row>
    <row r="448" spans="1:1">
      <c r="A448" s="22"/>
    </row>
    <row r="449" spans="1:1">
      <c r="A449" s="22"/>
    </row>
    <row r="450" spans="1:1">
      <c r="A450" s="22"/>
    </row>
    <row r="451" spans="1:1">
      <c r="A451" s="22"/>
    </row>
    <row r="452" spans="1:1">
      <c r="A452" s="22"/>
    </row>
    <row r="453" spans="1:1">
      <c r="A453" s="22"/>
    </row>
    <row r="454" spans="1:1">
      <c r="A454" s="22"/>
    </row>
    <row r="455" spans="1:1">
      <c r="A455" s="22"/>
    </row>
    <row r="456" spans="1:1">
      <c r="A456" s="22"/>
    </row>
    <row r="457" spans="1:1">
      <c r="A457" s="22"/>
    </row>
    <row r="458" spans="1:1">
      <c r="A458" s="22"/>
    </row>
    <row r="459" spans="1:1">
      <c r="A459" s="22"/>
    </row>
    <row r="460" spans="1:1">
      <c r="A460" s="22"/>
    </row>
    <row r="461" spans="1:1">
      <c r="A461" s="22"/>
    </row>
    <row r="462" spans="1:1">
      <c r="A462" s="22"/>
    </row>
    <row r="463" spans="1:1">
      <c r="A463" s="22"/>
    </row>
    <row r="464" spans="1:1">
      <c r="A464" s="22"/>
    </row>
    <row r="465" spans="1:1">
      <c r="A465" s="22"/>
    </row>
    <row r="466" spans="1:1">
      <c r="A466" s="22"/>
    </row>
    <row r="467" spans="1:1">
      <c r="A467" s="22"/>
    </row>
    <row r="468" spans="1:1">
      <c r="A468" s="22"/>
    </row>
    <row r="469" spans="1:1">
      <c r="A469" s="22"/>
    </row>
    <row r="470" spans="1:1">
      <c r="A470" s="22"/>
    </row>
    <row r="471" spans="1:1">
      <c r="A471" s="22"/>
    </row>
    <row r="472" spans="1:1">
      <c r="A472" s="22"/>
    </row>
    <row r="473" spans="1:1">
      <c r="A473" s="22"/>
    </row>
    <row r="474" spans="1:1">
      <c r="A474" s="22"/>
    </row>
    <row r="475" spans="1:1">
      <c r="A475" s="22"/>
    </row>
    <row r="476" spans="1:1">
      <c r="A476" s="22"/>
    </row>
    <row r="477" spans="1:1">
      <c r="A477" s="22"/>
    </row>
    <row r="478" spans="1:1">
      <c r="A478" s="22"/>
    </row>
    <row r="479" spans="1:1">
      <c r="A479" s="22"/>
    </row>
    <row r="480" spans="1:1">
      <c r="A480" s="22"/>
    </row>
    <row r="481" spans="1:1">
      <c r="A481" s="22"/>
    </row>
    <row r="482" spans="1:1">
      <c r="A482" s="22"/>
    </row>
    <row r="483" spans="1:1">
      <c r="A483" s="22"/>
    </row>
    <row r="484" spans="1:1">
      <c r="A484" s="22"/>
    </row>
    <row r="485" spans="1:1">
      <c r="A485" s="22"/>
    </row>
    <row r="486" spans="1:1">
      <c r="A486" s="22"/>
    </row>
    <row r="487" spans="1:1">
      <c r="A487" s="22"/>
    </row>
    <row r="488" spans="1:1">
      <c r="A488" s="22"/>
    </row>
    <row r="489" spans="1:1">
      <c r="A489" s="22"/>
    </row>
    <row r="490" spans="1:1">
      <c r="A490" s="22"/>
    </row>
    <row r="491" spans="1:1">
      <c r="A491" s="22"/>
    </row>
    <row r="492" spans="1:1">
      <c r="A492" s="22"/>
    </row>
    <row r="493" spans="1:1">
      <c r="A493" s="22"/>
    </row>
    <row r="494" spans="1:1">
      <c r="A494" s="22"/>
    </row>
    <row r="495" spans="1:1">
      <c r="A495" s="22"/>
    </row>
    <row r="496" spans="1:1">
      <c r="A496" s="22"/>
    </row>
    <row r="497" spans="1:1">
      <c r="A497" s="22"/>
    </row>
    <row r="498" spans="1:1">
      <c r="A498" s="22"/>
    </row>
    <row r="499" spans="1:1">
      <c r="A499" s="22"/>
    </row>
    <row r="500" spans="1:1">
      <c r="A500" s="22"/>
    </row>
    <row r="501" spans="1:1">
      <c r="A501" s="22"/>
    </row>
    <row r="502" spans="1:1">
      <c r="A502" s="22"/>
    </row>
    <row r="503" spans="1:1">
      <c r="A503" s="22"/>
    </row>
    <row r="504" spans="1:1">
      <c r="A504" s="22"/>
    </row>
    <row r="505" spans="1:1">
      <c r="A505" s="22"/>
    </row>
    <row r="506" spans="1:1">
      <c r="A506" s="22"/>
    </row>
    <row r="507" spans="1:1">
      <c r="A507" s="22"/>
    </row>
    <row r="508" spans="1:1">
      <c r="A508" s="22"/>
    </row>
    <row r="509" spans="1:1">
      <c r="A509" s="22"/>
    </row>
    <row r="510" spans="1:1">
      <c r="A510" s="22"/>
    </row>
    <row r="511" spans="1:1">
      <c r="A511" s="22"/>
    </row>
    <row r="512" spans="1:1">
      <c r="A512" s="22"/>
    </row>
    <row r="513" spans="1:1">
      <c r="A513" s="22"/>
    </row>
    <row r="514" spans="1:1">
      <c r="A514" s="22"/>
    </row>
    <row r="515" spans="1:1">
      <c r="A515" s="22"/>
    </row>
    <row r="516" spans="1:1">
      <c r="A516" s="22"/>
    </row>
    <row r="517" spans="1:1">
      <c r="A517" s="22"/>
    </row>
    <row r="518" spans="1:1">
      <c r="A518" s="22"/>
    </row>
    <row r="519" spans="1:1">
      <c r="A519" s="22"/>
    </row>
    <row r="520" spans="1:1">
      <c r="A520" s="22"/>
    </row>
    <row r="521" spans="1:1">
      <c r="A521" s="22"/>
    </row>
    <row r="522" spans="1:1">
      <c r="A522" s="22"/>
    </row>
    <row r="523" spans="1:1">
      <c r="A523" s="22"/>
    </row>
    <row r="524" spans="1:1">
      <c r="A524" s="22"/>
    </row>
    <row r="525" spans="1:1">
      <c r="A525" s="22"/>
    </row>
    <row r="526" spans="1:1">
      <c r="A526" s="22"/>
    </row>
    <row r="527" spans="1:1">
      <c r="A527" s="22"/>
    </row>
    <row r="528" spans="1:1">
      <c r="A528" s="22"/>
    </row>
    <row r="529" spans="1:1">
      <c r="A529" s="22"/>
    </row>
    <row r="530" spans="1:1">
      <c r="A530" s="22"/>
    </row>
    <row r="531" spans="1:1">
      <c r="A531" s="22"/>
    </row>
    <row r="532" spans="1:1">
      <c r="A532" s="22"/>
    </row>
    <row r="533" spans="1:1">
      <c r="A533" s="22"/>
    </row>
    <row r="534" spans="1:1">
      <c r="A534" s="22"/>
    </row>
    <row r="535" spans="1:1">
      <c r="A535" s="22"/>
    </row>
    <row r="536" spans="1:1">
      <c r="A536" s="22"/>
    </row>
    <row r="537" spans="1:1">
      <c r="A537" s="22"/>
    </row>
    <row r="538" spans="1:1">
      <c r="A538" s="22"/>
    </row>
    <row r="539" spans="1:1">
      <c r="A539" s="22"/>
    </row>
    <row r="540" spans="1:1">
      <c r="A540" s="22"/>
    </row>
    <row r="541" spans="1:1">
      <c r="A541" s="22"/>
    </row>
    <row r="542" spans="1:1">
      <c r="A542" s="22"/>
    </row>
    <row r="543" spans="1:1">
      <c r="A543" s="22"/>
    </row>
    <row r="544" spans="1:1">
      <c r="A544" s="22"/>
    </row>
    <row r="545" spans="1:1">
      <c r="A545" s="22"/>
    </row>
    <row r="546" spans="1:1">
      <c r="A546" s="22"/>
    </row>
    <row r="547" spans="1:1">
      <c r="A547" s="22"/>
    </row>
    <row r="548" spans="1:1">
      <c r="A548" s="22"/>
    </row>
    <row r="549" spans="1:1">
      <c r="A549" s="22"/>
    </row>
    <row r="550" spans="1:1">
      <c r="A550" s="22"/>
    </row>
    <row r="551" spans="1:1">
      <c r="A551" s="22"/>
    </row>
    <row r="552" spans="1:1">
      <c r="A552" s="22"/>
    </row>
    <row r="553" spans="1:1">
      <c r="A553" s="22"/>
    </row>
    <row r="554" spans="1:1">
      <c r="A554" s="22"/>
    </row>
    <row r="555" spans="1:1">
      <c r="A555" s="22"/>
    </row>
    <row r="556" spans="1:1">
      <c r="A556" s="22"/>
    </row>
    <row r="557" spans="1:1">
      <c r="A557" s="22"/>
    </row>
    <row r="558" spans="1:1">
      <c r="A558" s="22"/>
    </row>
    <row r="559" spans="1:1">
      <c r="A559" s="22"/>
    </row>
    <row r="560" spans="1:1">
      <c r="A560" s="22"/>
    </row>
    <row r="561" spans="1:1">
      <c r="A561" s="22"/>
    </row>
    <row r="562" spans="1:1">
      <c r="A562" s="22"/>
    </row>
    <row r="563" spans="1:1">
      <c r="A563" s="22"/>
    </row>
    <row r="564" spans="1:1">
      <c r="A564" s="22"/>
    </row>
    <row r="565" spans="1:1">
      <c r="A565" s="22"/>
    </row>
    <row r="566" spans="1:1">
      <c r="A566" s="22"/>
    </row>
    <row r="567" spans="1:1">
      <c r="A567" s="22"/>
    </row>
    <row r="568" spans="1:1">
      <c r="A568" s="22"/>
    </row>
    <row r="569" spans="1:1">
      <c r="A569" s="22"/>
    </row>
    <row r="570" spans="1:1">
      <c r="A570" s="22"/>
    </row>
    <row r="571" spans="1:1">
      <c r="A571" s="22"/>
    </row>
    <row r="572" spans="1:1">
      <c r="A572" s="22"/>
    </row>
    <row r="573" spans="1:1">
      <c r="A573" s="22"/>
    </row>
    <row r="574" spans="1:1">
      <c r="A574" s="22"/>
    </row>
    <row r="575" spans="1:1">
      <c r="A575" s="22"/>
    </row>
    <row r="576" spans="1:1">
      <c r="A576" s="22"/>
    </row>
    <row r="577" spans="1:1">
      <c r="A577" s="22"/>
    </row>
    <row r="578" spans="1:1">
      <c r="A578" s="22"/>
    </row>
    <row r="579" spans="1:1">
      <c r="A579" s="22"/>
    </row>
    <row r="580" spans="1:1">
      <c r="A580" s="22"/>
    </row>
    <row r="581" spans="1:1">
      <c r="A581" s="22"/>
    </row>
    <row r="582" spans="1:1">
      <c r="A582" s="22"/>
    </row>
    <row r="583" spans="1:1">
      <c r="A583" s="22"/>
    </row>
    <row r="584" spans="1:1">
      <c r="A584" s="22"/>
    </row>
    <row r="585" spans="1:1">
      <c r="A585" s="22"/>
    </row>
    <row r="586" spans="1:1">
      <c r="A586" s="22"/>
    </row>
    <row r="587" spans="1:1">
      <c r="A587" s="22"/>
    </row>
    <row r="588" spans="1:1">
      <c r="A588" s="22"/>
    </row>
    <row r="589" spans="1:1">
      <c r="A589" s="22"/>
    </row>
    <row r="590" spans="1:1">
      <c r="A590" s="22"/>
    </row>
    <row r="591" spans="1:1">
      <c r="A591" s="22"/>
    </row>
    <row r="592" spans="1:1">
      <c r="A592" s="22"/>
    </row>
    <row r="593" spans="1:1">
      <c r="A593" s="22"/>
    </row>
    <row r="594" spans="1:1">
      <c r="A594" s="22"/>
    </row>
    <row r="595" spans="1:1">
      <c r="A595" s="22"/>
    </row>
    <row r="596" spans="1:1">
      <c r="A596" s="22"/>
    </row>
    <row r="597" spans="1:1">
      <c r="A597" s="22"/>
    </row>
    <row r="598" spans="1:1">
      <c r="A598" s="22"/>
    </row>
    <row r="599" spans="1:1">
      <c r="A599" s="22"/>
    </row>
    <row r="600" spans="1:1">
      <c r="A600" s="22"/>
    </row>
    <row r="601" spans="1:1">
      <c r="A601" s="22"/>
    </row>
    <row r="602" spans="1:1">
      <c r="A602" s="22"/>
    </row>
    <row r="603" spans="1:1">
      <c r="A603" s="22"/>
    </row>
    <row r="604" spans="1:1">
      <c r="A604" s="22"/>
    </row>
    <row r="605" spans="1:1">
      <c r="A605" s="22"/>
    </row>
    <row r="606" spans="1:1">
      <c r="A606" s="22"/>
    </row>
    <row r="607" spans="1:1">
      <c r="A607" s="22"/>
    </row>
    <row r="608" spans="1:1">
      <c r="A608" s="22"/>
    </row>
    <row r="609" spans="1:1">
      <c r="A609" s="22"/>
    </row>
    <row r="610" spans="1:1">
      <c r="A610" s="22"/>
    </row>
    <row r="611" spans="1:1">
      <c r="A611" s="22"/>
    </row>
    <row r="612" spans="1:1">
      <c r="A612" s="22"/>
    </row>
    <row r="613" spans="1:1">
      <c r="A613" s="22"/>
    </row>
    <row r="614" spans="1:1">
      <c r="A614" s="22"/>
    </row>
    <row r="615" spans="1:1">
      <c r="A615" s="22"/>
    </row>
    <row r="616" spans="1:1">
      <c r="A616" s="22"/>
    </row>
    <row r="617" spans="1:1">
      <c r="A617" s="22"/>
    </row>
    <row r="618" spans="1:1">
      <c r="A618" s="22"/>
    </row>
    <row r="619" spans="1:1">
      <c r="A619" s="22"/>
    </row>
    <row r="620" spans="1:1">
      <c r="A620" s="22"/>
    </row>
    <row r="621" spans="1:1">
      <c r="A621" s="22"/>
    </row>
    <row r="622" spans="1:1">
      <c r="A622" s="22"/>
    </row>
    <row r="623" spans="1:1">
      <c r="A623" s="22"/>
    </row>
    <row r="624" spans="1:1">
      <c r="A624" s="22"/>
    </row>
    <row r="625" spans="1:1">
      <c r="A625" s="22"/>
    </row>
    <row r="626" spans="1:1">
      <c r="A626" s="22"/>
    </row>
    <row r="627" spans="1:1">
      <c r="A627" s="22"/>
    </row>
    <row r="628" spans="1:1">
      <c r="A628" s="22"/>
    </row>
    <row r="629" spans="1:1">
      <c r="A629" s="22"/>
    </row>
    <row r="630" spans="1:1">
      <c r="A630" s="22"/>
    </row>
    <row r="631" spans="1:1">
      <c r="A631" s="22"/>
    </row>
    <row r="632" spans="1:1">
      <c r="A632" s="22"/>
    </row>
    <row r="633" spans="1:1">
      <c r="A633" s="22"/>
    </row>
    <row r="634" spans="1:1">
      <c r="A634" s="22"/>
    </row>
    <row r="635" spans="1:1">
      <c r="A635" s="22"/>
    </row>
    <row r="636" spans="1:1">
      <c r="A636" s="22"/>
    </row>
    <row r="637" spans="1:1">
      <c r="A637" s="22"/>
    </row>
    <row r="638" spans="1:1">
      <c r="A638" s="22"/>
    </row>
    <row r="639" spans="1:1">
      <c r="A639" s="22"/>
    </row>
    <row r="640" spans="1:1">
      <c r="A640" s="22"/>
    </row>
    <row r="641" spans="1:1">
      <c r="A641" s="22"/>
    </row>
    <row r="642" spans="1:1">
      <c r="A642" s="22"/>
    </row>
    <row r="643" spans="1:1">
      <c r="A643" s="22"/>
    </row>
    <row r="644" spans="1:1">
      <c r="A644" s="22"/>
    </row>
    <row r="645" spans="1:1">
      <c r="A645" s="22"/>
    </row>
    <row r="646" spans="1:1">
      <c r="A646" s="22"/>
    </row>
    <row r="647" spans="1:1">
      <c r="A647" s="22"/>
    </row>
    <row r="648" spans="1:1">
      <c r="A648" s="22"/>
    </row>
    <row r="649" spans="1:1">
      <c r="A649" s="22"/>
    </row>
    <row r="650" spans="1:1">
      <c r="A650" s="22"/>
    </row>
    <row r="651" spans="1:1">
      <c r="A651" s="22"/>
    </row>
    <row r="652" spans="1:1">
      <c r="A652" s="22"/>
    </row>
    <row r="653" spans="1:1">
      <c r="A653" s="22"/>
    </row>
    <row r="654" spans="1:1">
      <c r="A654" s="22"/>
    </row>
    <row r="655" spans="1:1">
      <c r="A655" s="22"/>
    </row>
    <row r="656" spans="1:1">
      <c r="A656" s="22"/>
    </row>
    <row r="657" spans="1:1">
      <c r="A657" s="22"/>
    </row>
    <row r="658" spans="1:1">
      <c r="A658" s="22"/>
    </row>
    <row r="659" spans="1:1">
      <c r="A659" s="22"/>
    </row>
    <row r="660" spans="1:1">
      <c r="A660" s="22"/>
    </row>
    <row r="661" spans="1:1">
      <c r="A661" s="22"/>
    </row>
    <row r="662" spans="1:1">
      <c r="A662" s="22"/>
    </row>
    <row r="663" spans="1:1">
      <c r="A663" s="22"/>
    </row>
    <row r="664" spans="1:1">
      <c r="A664" s="22"/>
    </row>
    <row r="665" spans="1:1">
      <c r="A665" s="22"/>
    </row>
    <row r="666" spans="1:1">
      <c r="A666" s="22"/>
    </row>
    <row r="667" spans="1:1">
      <c r="A667" s="22"/>
    </row>
    <row r="668" spans="1:1">
      <c r="A668" s="22"/>
    </row>
    <row r="669" spans="1:1">
      <c r="A669" s="22"/>
    </row>
    <row r="670" spans="1:1">
      <c r="A670" s="22"/>
    </row>
    <row r="671" spans="1:1">
      <c r="A671" s="22"/>
    </row>
    <row r="672" spans="1:1">
      <c r="A672" s="22"/>
    </row>
    <row r="673" spans="1:1">
      <c r="A673" s="22"/>
    </row>
    <row r="674" spans="1:1">
      <c r="A674" s="22"/>
    </row>
    <row r="675" spans="1:1">
      <c r="A675" s="22"/>
    </row>
    <row r="676" spans="1:1">
      <c r="A676" s="22"/>
    </row>
    <row r="677" spans="1:1">
      <c r="A677" s="22"/>
    </row>
    <row r="678" spans="1:1">
      <c r="A678" s="22"/>
    </row>
    <row r="679" spans="1:1">
      <c r="A679" s="22"/>
    </row>
    <row r="680" spans="1:1">
      <c r="A680" s="22"/>
    </row>
    <row r="681" spans="1:1">
      <c r="A681" s="22"/>
    </row>
    <row r="682" spans="1:1">
      <c r="A682" s="22"/>
    </row>
    <row r="683" spans="1:1">
      <c r="A683" s="22"/>
    </row>
    <row r="684" spans="1:1">
      <c r="A684" s="22"/>
    </row>
    <row r="685" spans="1:1">
      <c r="A685" s="22"/>
    </row>
    <row r="686" spans="1:1">
      <c r="A686" s="22"/>
    </row>
    <row r="687" spans="1:1">
      <c r="A687" s="22"/>
    </row>
    <row r="688" spans="1:1">
      <c r="A688" s="22"/>
    </row>
    <row r="689" spans="1:1">
      <c r="A689" s="22"/>
    </row>
    <row r="690" spans="1:1">
      <c r="A690" s="22"/>
    </row>
    <row r="691" spans="1:1">
      <c r="A691" s="22"/>
    </row>
    <row r="692" spans="1:1">
      <c r="A692" s="22"/>
    </row>
    <row r="693" spans="1:1">
      <c r="A693" s="22"/>
    </row>
    <row r="694" spans="1:1">
      <c r="A694" s="22"/>
    </row>
    <row r="695" spans="1:1">
      <c r="A695" s="22"/>
    </row>
    <row r="696" spans="1:1">
      <c r="A696" s="22"/>
    </row>
    <row r="697" spans="1:1">
      <c r="A697" s="22"/>
    </row>
    <row r="698" spans="1:1">
      <c r="A698" s="22"/>
    </row>
    <row r="699" spans="1:1">
      <c r="A699" s="22"/>
    </row>
    <row r="700" spans="1:1">
      <c r="A700" s="22"/>
    </row>
    <row r="701" spans="1:1">
      <c r="A701" s="22"/>
    </row>
    <row r="702" spans="1:1">
      <c r="A702" s="22"/>
    </row>
    <row r="703" spans="1:1">
      <c r="A703" s="22"/>
    </row>
    <row r="704" spans="1:1">
      <c r="A704" s="22"/>
    </row>
    <row r="705" spans="1:1">
      <c r="A705" s="22"/>
    </row>
    <row r="706" spans="1:1">
      <c r="A706" s="22"/>
    </row>
    <row r="707" spans="1:1">
      <c r="A707" s="22"/>
    </row>
    <row r="708" spans="1:1">
      <c r="A708" s="22"/>
    </row>
    <row r="709" spans="1:1">
      <c r="A709" s="22"/>
    </row>
    <row r="710" spans="1:1">
      <c r="A710" s="22"/>
    </row>
    <row r="711" spans="1:1">
      <c r="A711" s="22"/>
    </row>
    <row r="712" spans="1:1">
      <c r="A712" s="22"/>
    </row>
    <row r="713" spans="1:1">
      <c r="A713" s="22"/>
    </row>
    <row r="714" spans="1:1">
      <c r="A714" s="22"/>
    </row>
    <row r="715" spans="1:1">
      <c r="A715" s="22"/>
    </row>
    <row r="716" spans="1:1">
      <c r="A716" s="22"/>
    </row>
    <row r="717" spans="1:1">
      <c r="A717" s="22"/>
    </row>
    <row r="718" spans="1:1">
      <c r="A718" s="22"/>
    </row>
    <row r="719" spans="1:1">
      <c r="A719" s="22"/>
    </row>
    <row r="720" spans="1:1">
      <c r="A720" s="22"/>
    </row>
    <row r="721" spans="1:1">
      <c r="A721" s="22"/>
    </row>
    <row r="722" spans="1:1">
      <c r="A722" s="22"/>
    </row>
    <row r="723" spans="1:1">
      <c r="A723" s="22"/>
    </row>
    <row r="724" spans="1:1">
      <c r="A724" s="22"/>
    </row>
    <row r="725" spans="1:1">
      <c r="A725" s="22"/>
    </row>
    <row r="726" spans="1:1">
      <c r="A726" s="22"/>
    </row>
    <row r="727" spans="1:1">
      <c r="A727" s="22"/>
    </row>
    <row r="728" spans="1:1">
      <c r="A728" s="22"/>
    </row>
    <row r="729" spans="1:1">
      <c r="A729" s="22"/>
    </row>
    <row r="730" spans="1:1">
      <c r="A730" s="22"/>
    </row>
    <row r="731" spans="1:1">
      <c r="A731" s="22"/>
    </row>
    <row r="732" spans="1:1">
      <c r="A732" s="22"/>
    </row>
    <row r="733" spans="1:1">
      <c r="A733" s="22"/>
    </row>
    <row r="734" spans="1:1">
      <c r="A734" s="22"/>
    </row>
    <row r="735" spans="1:1">
      <c r="A735" s="22"/>
    </row>
    <row r="736" spans="1:1">
      <c r="A736" s="22"/>
    </row>
    <row r="737" spans="1:1">
      <c r="A737" s="22"/>
    </row>
    <row r="738" spans="1:1">
      <c r="A738" s="22"/>
    </row>
    <row r="739" spans="1:1">
      <c r="A739" s="22"/>
    </row>
    <row r="740" spans="1:1">
      <c r="A740" s="22"/>
    </row>
    <row r="741" spans="1:1">
      <c r="A741" s="22"/>
    </row>
    <row r="742" spans="1:1">
      <c r="A742" s="22"/>
    </row>
    <row r="743" spans="1:1">
      <c r="A743" s="22"/>
    </row>
    <row r="744" spans="1:1">
      <c r="A744" s="22"/>
    </row>
    <row r="745" spans="1:1">
      <c r="A745" s="22"/>
    </row>
    <row r="746" spans="1:1">
      <c r="A746" s="22"/>
    </row>
    <row r="747" spans="1:1">
      <c r="A747" s="22"/>
    </row>
    <row r="748" spans="1:1">
      <c r="A748" s="22"/>
    </row>
    <row r="749" spans="1:1">
      <c r="A749" s="22"/>
    </row>
    <row r="750" spans="1:1">
      <c r="A750" s="22"/>
    </row>
    <row r="751" spans="1:1">
      <c r="A751" s="22"/>
    </row>
    <row r="752" spans="1:1">
      <c r="A752" s="22"/>
    </row>
    <row r="753" spans="1:1">
      <c r="A753" s="22"/>
    </row>
    <row r="754" spans="1:1">
      <c r="A754" s="22"/>
    </row>
    <row r="755" spans="1:1">
      <c r="A755" s="22"/>
    </row>
    <row r="756" spans="1:1">
      <c r="A756" s="22"/>
    </row>
    <row r="757" spans="1:1">
      <c r="A757" s="22"/>
    </row>
    <row r="758" spans="1:1">
      <c r="A758" s="22"/>
    </row>
    <row r="759" spans="1:1">
      <c r="A759" s="22"/>
    </row>
    <row r="760" spans="1:1">
      <c r="A760" s="22"/>
    </row>
    <row r="761" spans="1:1">
      <c r="A761" s="22"/>
    </row>
    <row r="762" spans="1:1">
      <c r="A762" s="22"/>
    </row>
    <row r="763" spans="1:1">
      <c r="A763" s="22"/>
    </row>
    <row r="764" spans="1:1">
      <c r="A764" s="22"/>
    </row>
    <row r="765" spans="1:1">
      <c r="A765" s="22"/>
    </row>
    <row r="766" spans="1:1">
      <c r="A766" s="22"/>
    </row>
    <row r="767" spans="1:1">
      <c r="A767" s="22"/>
    </row>
    <row r="768" spans="1:1">
      <c r="A768" s="22"/>
    </row>
    <row r="769" spans="1:1">
      <c r="A769" s="22"/>
    </row>
    <row r="770" spans="1:1">
      <c r="A770" s="22"/>
    </row>
    <row r="771" spans="1:1">
      <c r="A771" s="22"/>
    </row>
    <row r="772" spans="1:1">
      <c r="A772" s="22"/>
    </row>
    <row r="773" spans="1:1">
      <c r="A773" s="22"/>
    </row>
    <row r="774" spans="1:1">
      <c r="A774" s="22"/>
    </row>
    <row r="775" spans="1:1">
      <c r="A775" s="22"/>
    </row>
    <row r="776" spans="1:1">
      <c r="A776" s="22"/>
    </row>
    <row r="777" spans="1:1">
      <c r="A777" s="22"/>
    </row>
    <row r="778" spans="1:1">
      <c r="A778" s="22"/>
    </row>
    <row r="779" spans="1:1">
      <c r="A779" s="22"/>
    </row>
    <row r="780" spans="1:1">
      <c r="A780" s="22"/>
    </row>
    <row r="781" spans="1:1">
      <c r="A781" s="22"/>
    </row>
    <row r="782" spans="1:1">
      <c r="A782" s="22"/>
    </row>
    <row r="783" spans="1:1">
      <c r="A783" s="22"/>
    </row>
    <row r="784" spans="1:1">
      <c r="A784" s="22"/>
    </row>
    <row r="785" spans="1:1">
      <c r="A785" s="22"/>
    </row>
    <row r="786" spans="1:1">
      <c r="A786" s="22"/>
    </row>
    <row r="787" spans="1:1">
      <c r="A787" s="22"/>
    </row>
    <row r="788" spans="1:1">
      <c r="A788" s="22"/>
    </row>
    <row r="789" spans="1:1">
      <c r="A789" s="22"/>
    </row>
    <row r="790" spans="1:1">
      <c r="A790" s="22"/>
    </row>
    <row r="791" spans="1:1">
      <c r="A791" s="22"/>
    </row>
    <row r="792" spans="1:1">
      <c r="A792" s="22"/>
    </row>
    <row r="793" spans="1:1">
      <c r="A793" s="22"/>
    </row>
    <row r="794" spans="1:1">
      <c r="A794" s="22"/>
    </row>
    <row r="795" spans="1:1">
      <c r="A795" s="22"/>
    </row>
    <row r="796" spans="1:1">
      <c r="A796" s="22"/>
    </row>
    <row r="797" spans="1:1">
      <c r="A797" s="22"/>
    </row>
    <row r="798" spans="1:1">
      <c r="A798" s="22"/>
    </row>
    <row r="799" spans="1:1">
      <c r="A799" s="22"/>
    </row>
    <row r="800" spans="1:1">
      <c r="A800" s="22"/>
    </row>
    <row r="801" spans="1:1">
      <c r="A801" s="22"/>
    </row>
    <row r="802" spans="1:1">
      <c r="A802" s="22"/>
    </row>
    <row r="803" spans="1:1">
      <c r="A803" s="22"/>
    </row>
    <row r="804" spans="1:1">
      <c r="A804" s="22"/>
    </row>
    <row r="805" spans="1:1">
      <c r="A805" s="22"/>
    </row>
    <row r="806" spans="1:1">
      <c r="A806" s="22"/>
    </row>
    <row r="807" spans="1:1">
      <c r="A807" s="22"/>
    </row>
    <row r="808" spans="1:1">
      <c r="A808" s="22"/>
    </row>
    <row r="809" spans="1:1">
      <c r="A809" s="22"/>
    </row>
    <row r="810" spans="1:1">
      <c r="A810" s="22"/>
    </row>
    <row r="811" spans="1:1">
      <c r="A811" s="22"/>
    </row>
    <row r="812" spans="1:1">
      <c r="A812" s="22"/>
    </row>
    <row r="813" spans="1:1">
      <c r="A813" s="22"/>
    </row>
    <row r="814" spans="1:1">
      <c r="A814" s="22"/>
    </row>
    <row r="815" spans="1:1">
      <c r="A815" s="22"/>
    </row>
    <row r="816" spans="1:1">
      <c r="A816" s="22"/>
    </row>
    <row r="817" spans="1:1">
      <c r="A817" s="22"/>
    </row>
    <row r="818" spans="1:1">
      <c r="A818" s="22"/>
    </row>
    <row r="819" spans="1:1">
      <c r="A819" s="22"/>
    </row>
    <row r="820" spans="1:1">
      <c r="A820" s="22"/>
    </row>
    <row r="821" spans="1:1">
      <c r="A821" s="22"/>
    </row>
    <row r="822" spans="1:1">
      <c r="A822" s="22"/>
    </row>
    <row r="823" spans="1:1">
      <c r="A823" s="22"/>
    </row>
    <row r="824" spans="1:1">
      <c r="A824" s="22"/>
    </row>
    <row r="825" spans="1:1">
      <c r="A825" s="22"/>
    </row>
    <row r="826" spans="1:1">
      <c r="A826" s="22"/>
    </row>
    <row r="827" spans="1:1">
      <c r="A827" s="22"/>
    </row>
    <row r="828" spans="1:1">
      <c r="A828" s="22"/>
    </row>
    <row r="829" spans="1:1">
      <c r="A829" s="22"/>
    </row>
    <row r="830" spans="1:1">
      <c r="A830" s="22"/>
    </row>
    <row r="831" spans="1:1">
      <c r="A831" s="22"/>
    </row>
    <row r="832" spans="1:1">
      <c r="A832" s="22"/>
    </row>
    <row r="833" spans="1:1">
      <c r="A833" s="22"/>
    </row>
    <row r="834" spans="1:1">
      <c r="A834" s="22"/>
    </row>
    <row r="835" spans="1:1">
      <c r="A835" s="22"/>
    </row>
    <row r="836" spans="1:1">
      <c r="A836" s="22"/>
    </row>
    <row r="837" spans="1:1">
      <c r="A837" s="22"/>
    </row>
    <row r="838" spans="1:1">
      <c r="A838" s="22"/>
    </row>
    <row r="839" spans="1:1">
      <c r="A839" s="22"/>
    </row>
    <row r="840" spans="1:1">
      <c r="A840" s="22"/>
    </row>
    <row r="841" spans="1:1">
      <c r="A841" s="22"/>
    </row>
    <row r="842" spans="1:1">
      <c r="A842" s="22"/>
    </row>
    <row r="843" spans="1:1">
      <c r="A843" s="22"/>
    </row>
    <row r="844" spans="1:1">
      <c r="A844" s="22"/>
    </row>
    <row r="845" spans="1:1">
      <c r="A845" s="22"/>
    </row>
    <row r="846" spans="1:1">
      <c r="A846" s="22"/>
    </row>
    <row r="847" spans="1:1">
      <c r="A847" s="22"/>
    </row>
    <row r="848" spans="1:1">
      <c r="A848" s="22"/>
    </row>
    <row r="849" spans="1:1">
      <c r="A849" s="22"/>
    </row>
    <row r="850" spans="1:1">
      <c r="A850" s="22"/>
    </row>
    <row r="851" spans="1:1">
      <c r="A851" s="22"/>
    </row>
    <row r="852" spans="1:1">
      <c r="A852" s="22"/>
    </row>
    <row r="853" spans="1:1">
      <c r="A853" s="22"/>
    </row>
    <row r="854" spans="1:1">
      <c r="A854" s="22"/>
    </row>
    <row r="855" spans="1:1">
      <c r="A855" s="22"/>
    </row>
    <row r="856" spans="1:1">
      <c r="A856" s="22"/>
    </row>
    <row r="857" spans="1:1">
      <c r="A857" s="22"/>
    </row>
    <row r="858" spans="1:1">
      <c r="A858" s="22"/>
    </row>
    <row r="859" spans="1:1">
      <c r="A859" s="22"/>
    </row>
    <row r="860" spans="1:1">
      <c r="A860" s="22"/>
    </row>
    <row r="861" spans="1:1">
      <c r="A861" s="22"/>
    </row>
    <row r="862" spans="1:1">
      <c r="A862" s="22"/>
    </row>
    <row r="863" spans="1:1">
      <c r="A863" s="22"/>
    </row>
    <row r="864" spans="1:1">
      <c r="A864" s="22"/>
    </row>
    <row r="865" spans="1:1">
      <c r="A865" s="22"/>
    </row>
    <row r="866" spans="1:1">
      <c r="A866" s="22"/>
    </row>
    <row r="867" spans="1:1">
      <c r="A867" s="22"/>
    </row>
    <row r="868" spans="1:1">
      <c r="A868" s="22"/>
    </row>
    <row r="869" spans="1:1">
      <c r="A869" s="22"/>
    </row>
    <row r="870" spans="1:1">
      <c r="A870" s="22"/>
    </row>
    <row r="871" spans="1:1">
      <c r="A871" s="22"/>
    </row>
    <row r="872" spans="1:1">
      <c r="A872" s="22"/>
    </row>
    <row r="873" spans="1:1">
      <c r="A873" s="22"/>
    </row>
    <row r="874" spans="1:1">
      <c r="A874" s="22"/>
    </row>
    <row r="875" spans="1:1">
      <c r="A875" s="22"/>
    </row>
    <row r="876" spans="1:1">
      <c r="A876" s="22"/>
    </row>
    <row r="877" spans="1:1">
      <c r="A877" s="22"/>
    </row>
    <row r="878" spans="1:1">
      <c r="A878" s="22"/>
    </row>
    <row r="879" spans="1:1">
      <c r="A879" s="22"/>
    </row>
    <row r="880" spans="1:1">
      <c r="A880" s="22"/>
    </row>
    <row r="881" spans="1:1">
      <c r="A881" s="22"/>
    </row>
    <row r="882" spans="1:1">
      <c r="A882" s="22"/>
    </row>
    <row r="883" spans="1:1">
      <c r="A883" s="22"/>
    </row>
    <row r="884" spans="1:1">
      <c r="A884" s="22"/>
    </row>
    <row r="885" spans="1:1">
      <c r="A885" s="22"/>
    </row>
    <row r="886" spans="1:1">
      <c r="A886" s="22"/>
    </row>
    <row r="887" spans="1:1">
      <c r="A887" s="22"/>
    </row>
    <row r="888" spans="1:1">
      <c r="A888" s="22"/>
    </row>
    <row r="889" spans="1:1">
      <c r="A889" s="22"/>
    </row>
    <row r="890" spans="1:1">
      <c r="A890" s="22"/>
    </row>
    <row r="891" spans="1:1">
      <c r="A891" s="22"/>
    </row>
    <row r="892" spans="1:1">
      <c r="A892" s="22"/>
    </row>
    <row r="893" spans="1:1">
      <c r="A893" s="22"/>
    </row>
    <row r="894" spans="1:1">
      <c r="A894" s="22"/>
    </row>
    <row r="895" spans="1:1">
      <c r="A895" s="22"/>
    </row>
    <row r="896" spans="1:1">
      <c r="A896" s="22"/>
    </row>
    <row r="897" spans="1:1">
      <c r="A897" s="22"/>
    </row>
    <row r="898" spans="1:1">
      <c r="A898" s="22"/>
    </row>
    <row r="899" spans="1:1">
      <c r="A899" s="22"/>
    </row>
    <row r="900" spans="1:1">
      <c r="A900" s="22"/>
    </row>
    <row r="901" spans="1:1">
      <c r="A901" s="22"/>
    </row>
    <row r="902" spans="1:1">
      <c r="A902" s="22"/>
    </row>
    <row r="903" spans="1:1">
      <c r="A903" s="22"/>
    </row>
    <row r="904" spans="1:1">
      <c r="A904" s="22"/>
    </row>
    <row r="905" spans="1:1">
      <c r="A905" s="22"/>
    </row>
    <row r="906" spans="1:1">
      <c r="A906" s="22"/>
    </row>
    <row r="907" spans="1:1">
      <c r="A907" s="22"/>
    </row>
    <row r="908" spans="1:1">
      <c r="A908" s="22"/>
    </row>
    <row r="909" spans="1:1">
      <c r="A909" s="22"/>
    </row>
    <row r="910" spans="1:1">
      <c r="A910" s="22"/>
    </row>
    <row r="911" spans="1:1">
      <c r="A911" s="22"/>
    </row>
    <row r="912" spans="1:1">
      <c r="A912" s="22"/>
    </row>
    <row r="913" spans="1:1">
      <c r="A913" s="22"/>
    </row>
    <row r="914" spans="1:1">
      <c r="A914" s="22"/>
    </row>
    <row r="915" spans="1:1">
      <c r="A915" s="22"/>
    </row>
    <row r="916" spans="1:1">
      <c r="A916" s="22"/>
    </row>
    <row r="917" spans="1:1">
      <c r="A917" s="22"/>
    </row>
    <row r="918" spans="1:1">
      <c r="A918" s="22"/>
    </row>
    <row r="919" spans="1:1">
      <c r="A919" s="22"/>
    </row>
    <row r="920" spans="1:1">
      <c r="A920" s="22"/>
    </row>
    <row r="921" spans="1:1">
      <c r="A921" s="22"/>
    </row>
    <row r="922" spans="1:1">
      <c r="A922" s="22"/>
    </row>
    <row r="923" spans="1:1">
      <c r="A923" s="22"/>
    </row>
    <row r="924" spans="1:1">
      <c r="A924" s="22"/>
    </row>
    <row r="925" spans="1:1">
      <c r="A925" s="22"/>
    </row>
    <row r="926" spans="1:1">
      <c r="A926" s="22"/>
    </row>
    <row r="927" spans="1:1">
      <c r="A927" s="22"/>
    </row>
    <row r="928" spans="1:1">
      <c r="A928" s="22"/>
    </row>
    <row r="929" spans="1:1">
      <c r="A929" s="22"/>
    </row>
    <row r="930" spans="1:1">
      <c r="A930" s="22"/>
    </row>
    <row r="931" spans="1:1">
      <c r="A931" s="22"/>
    </row>
    <row r="932" spans="1:1">
      <c r="A932" s="22"/>
    </row>
    <row r="933" spans="1:1">
      <c r="A933" s="22"/>
    </row>
    <row r="934" spans="1:1">
      <c r="A934" s="22"/>
    </row>
    <row r="935" spans="1:1">
      <c r="A935" s="22"/>
    </row>
    <row r="936" spans="1:1">
      <c r="A936" s="22"/>
    </row>
    <row r="937" spans="1:1">
      <c r="A937" s="22"/>
    </row>
    <row r="938" spans="1:1">
      <c r="A938" s="22"/>
    </row>
    <row r="939" spans="1:1">
      <c r="A939" s="22"/>
    </row>
    <row r="940" spans="1:1">
      <c r="A940" s="22"/>
    </row>
    <row r="941" spans="1:1">
      <c r="A941" s="22"/>
    </row>
    <row r="942" spans="1:1">
      <c r="A942" s="22"/>
    </row>
    <row r="943" spans="1:1">
      <c r="A943" s="22"/>
    </row>
    <row r="944" spans="1:1">
      <c r="A944" s="22"/>
    </row>
    <row r="945" spans="1:1">
      <c r="A945" s="22"/>
    </row>
    <row r="946" spans="1:1">
      <c r="A946" s="22"/>
    </row>
    <row r="947" spans="1:1">
      <c r="A947" s="22"/>
    </row>
    <row r="948" spans="1:1">
      <c r="A948" s="22"/>
    </row>
    <row r="949" spans="1:1">
      <c r="A949" s="22"/>
    </row>
    <row r="950" spans="1:1">
      <c r="A950" s="22"/>
    </row>
    <row r="951" spans="1:1">
      <c r="A951" s="22"/>
    </row>
    <row r="952" spans="1:1">
      <c r="A952" s="22"/>
    </row>
    <row r="953" spans="1:1">
      <c r="A953" s="22"/>
    </row>
    <row r="954" spans="1:1">
      <c r="A954" s="22"/>
    </row>
    <row r="955" spans="1:1">
      <c r="A955" s="22"/>
    </row>
    <row r="956" spans="1:1">
      <c r="A956" s="22"/>
    </row>
    <row r="957" spans="1:1">
      <c r="A957" s="22"/>
    </row>
    <row r="958" spans="1:1">
      <c r="A958" s="22"/>
    </row>
    <row r="959" spans="1:1">
      <c r="A959" s="22"/>
    </row>
    <row r="960" spans="1:1">
      <c r="A960" s="22"/>
    </row>
    <row r="961" spans="1:1">
      <c r="A961" s="22"/>
    </row>
    <row r="962" spans="1:1">
      <c r="A962" s="22"/>
    </row>
    <row r="963" spans="1:1">
      <c r="A963" s="22"/>
    </row>
    <row r="964" spans="1:1">
      <c r="A964" s="22"/>
    </row>
    <row r="965" spans="1:1">
      <c r="A965" s="22"/>
    </row>
    <row r="966" spans="1:1">
      <c r="A966" s="22"/>
    </row>
    <row r="967" spans="1:1">
      <c r="A967" s="22"/>
    </row>
    <row r="968" spans="1:1">
      <c r="A968" s="22"/>
    </row>
    <row r="969" spans="1:1">
      <c r="A969" s="22"/>
    </row>
    <row r="970" spans="1:1">
      <c r="A970" s="22"/>
    </row>
    <row r="971" spans="1:1">
      <c r="A971" s="22"/>
    </row>
    <row r="972" spans="1:1">
      <c r="A972" s="22"/>
    </row>
    <row r="973" spans="1:1">
      <c r="A973" s="22"/>
    </row>
    <row r="974" spans="1:1">
      <c r="A974" s="22"/>
    </row>
    <row r="975" spans="1:1">
      <c r="A975" s="22"/>
    </row>
    <row r="976" spans="1:1">
      <c r="A976" s="22"/>
    </row>
    <row r="977" spans="1:1">
      <c r="A977" s="22"/>
    </row>
    <row r="978" spans="1:1">
      <c r="A978" s="22"/>
    </row>
    <row r="979" spans="1:1">
      <c r="A979" s="22"/>
    </row>
    <row r="980" spans="1:1">
      <c r="A980" s="22"/>
    </row>
    <row r="981" spans="1:1">
      <c r="A981" s="22"/>
    </row>
    <row r="982" spans="1:1">
      <c r="A982" s="22"/>
    </row>
    <row r="983" spans="1:1">
      <c r="A983" s="22"/>
    </row>
    <row r="984" spans="1:1">
      <c r="A984" s="22"/>
    </row>
    <row r="985" spans="1:1">
      <c r="A985" s="22"/>
    </row>
    <row r="986" spans="1:1">
      <c r="A986" s="22"/>
    </row>
    <row r="987" spans="1:1">
      <c r="A987" s="22"/>
    </row>
    <row r="988" spans="1:1">
      <c r="A988" s="22"/>
    </row>
    <row r="989" spans="1:1">
      <c r="A989" s="22"/>
    </row>
    <row r="990" spans="1:1">
      <c r="A990" s="22"/>
    </row>
    <row r="991" spans="1:1">
      <c r="A991" s="22"/>
    </row>
    <row r="992" spans="1:1">
      <c r="A992" s="22"/>
    </row>
    <row r="993" spans="1:1">
      <c r="A993" s="22"/>
    </row>
    <row r="994" spans="1:1">
      <c r="A994" s="22"/>
    </row>
    <row r="995" spans="1:1">
      <c r="A995" s="22"/>
    </row>
    <row r="996" spans="1:1">
      <c r="A996" s="22"/>
    </row>
    <row r="997" spans="1:1">
      <c r="A997" s="22"/>
    </row>
    <row r="998" spans="1:1">
      <c r="A998" s="22"/>
    </row>
    <row r="999" spans="1:1">
      <c r="A999" s="22"/>
    </row>
    <row r="1000" spans="1:1">
      <c r="A1000" s="2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5122"/>
  <sheetViews>
    <sheetView tabSelected="1" workbookViewId="0">
      <pane ySplit="1" topLeftCell="A537" activePane="bottomLeft" state="frozen"/>
      <selection pane="bottomLeft" activeCell="F637" sqref="F637"/>
    </sheetView>
  </sheetViews>
  <sheetFormatPr defaultColWidth="12.5703125" defaultRowHeight="15.75" customHeight="1"/>
  <cols>
    <col min="1" max="1" width="13.42578125" style="25" customWidth="1"/>
    <col min="2" max="2" width="13.140625" style="25" customWidth="1"/>
    <col min="3" max="3" width="23.42578125" style="25" customWidth="1"/>
    <col min="4" max="4" width="13.5703125" style="25" customWidth="1"/>
    <col min="5" max="5" width="15.28515625" style="25" customWidth="1"/>
    <col min="6" max="6" width="11.28515625" style="25" customWidth="1"/>
    <col min="7" max="7" width="18.5703125" style="25" customWidth="1"/>
    <col min="8" max="8" width="14.42578125" style="25" customWidth="1"/>
    <col min="9" max="9" width="22.5703125" style="25" customWidth="1"/>
    <col min="10" max="10" width="12.5703125" style="25" customWidth="1"/>
    <col min="11" max="11" width="22.28515625" style="25" customWidth="1"/>
    <col min="12" max="12" width="22.140625" style="25" customWidth="1"/>
    <col min="13" max="13" width="16.42578125" style="25" customWidth="1"/>
    <col min="14" max="14" width="18.85546875" style="25" customWidth="1"/>
    <col min="15" max="15" width="16.42578125" style="25" customWidth="1"/>
    <col min="16" max="16" width="15" style="25" customWidth="1"/>
    <col min="17" max="17" width="11.85546875" style="25" customWidth="1"/>
    <col min="18" max="18" width="15.42578125" style="25" customWidth="1"/>
    <col min="19" max="19" width="19.7109375" style="25" customWidth="1"/>
    <col min="20" max="20" width="11.7109375" style="25" customWidth="1"/>
    <col min="21" max="21" width="12.5703125" style="25" customWidth="1"/>
    <col min="22" max="22" width="22.28515625" style="25" customWidth="1"/>
    <col min="23" max="23" width="12.5703125" style="25" customWidth="1"/>
    <col min="24" max="24" width="22.28515625" style="25" customWidth="1"/>
    <col min="25" max="25" width="14.85546875" style="25" customWidth="1"/>
    <col min="26" max="26" width="26.5703125" style="25" customWidth="1"/>
  </cols>
  <sheetData>
    <row r="1" spans="1:26" ht="15.75" customHeight="1">
      <c r="A1" s="3" t="s">
        <v>62</v>
      </c>
      <c r="B1" s="5" t="s">
        <v>1</v>
      </c>
      <c r="C1" s="3" t="s">
        <v>2</v>
      </c>
      <c r="D1" s="8" t="s">
        <v>63</v>
      </c>
      <c r="E1" s="3" t="s">
        <v>64</v>
      </c>
      <c r="F1" s="5" t="s">
        <v>4</v>
      </c>
      <c r="G1" s="3" t="s">
        <v>65</v>
      </c>
      <c r="H1" s="9" t="s">
        <v>66</v>
      </c>
      <c r="I1" s="3" t="s">
        <v>7</v>
      </c>
      <c r="J1" s="10" t="s">
        <v>8</v>
      </c>
      <c r="K1" s="3" t="s">
        <v>9</v>
      </c>
      <c r="L1" s="5" t="s">
        <v>10</v>
      </c>
      <c r="M1" s="11" t="s">
        <v>67</v>
      </c>
      <c r="N1" s="12" t="s">
        <v>68</v>
      </c>
      <c r="O1" s="12" t="s">
        <v>69</v>
      </c>
      <c r="P1" s="13" t="s">
        <v>70</v>
      </c>
      <c r="Q1" s="14" t="s">
        <v>71</v>
      </c>
      <c r="R1" s="14" t="s">
        <v>72</v>
      </c>
      <c r="S1" s="14" t="s">
        <v>73</v>
      </c>
      <c r="T1" s="23" t="s">
        <v>74</v>
      </c>
      <c r="U1" s="23" t="s">
        <v>75</v>
      </c>
      <c r="V1" s="14" t="s">
        <v>76</v>
      </c>
      <c r="W1" s="23" t="s">
        <v>77</v>
      </c>
      <c r="X1" s="23" t="s">
        <v>78</v>
      </c>
      <c r="Y1" s="23" t="s">
        <v>79</v>
      </c>
      <c r="Z1" s="23" t="s">
        <v>80</v>
      </c>
    </row>
    <row r="2" spans="1:26">
      <c r="A2" s="22">
        <v>46266</v>
      </c>
      <c r="B2" s="23" t="s">
        <v>14</v>
      </c>
      <c r="C2" s="23" t="s">
        <v>81</v>
      </c>
      <c r="D2" s="19">
        <v>37281</v>
      </c>
      <c r="E2" s="23" t="s">
        <v>15</v>
      </c>
      <c r="F2" s="23">
        <v>11978210863</v>
      </c>
      <c r="G2" s="23" t="s">
        <v>25</v>
      </c>
      <c r="H2" s="18">
        <v>80</v>
      </c>
      <c r="J2" s="18"/>
      <c r="K2" s="23" t="s">
        <v>18</v>
      </c>
      <c r="L2" s="23" t="s">
        <v>34</v>
      </c>
      <c r="N2" s="16"/>
      <c r="O2" s="17"/>
      <c r="P2" s="17">
        <v>80</v>
      </c>
      <c r="Q2" s="22"/>
      <c r="R2" s="23"/>
    </row>
    <row r="3" spans="1:26">
      <c r="A3" s="22">
        <v>46266</v>
      </c>
      <c r="B3" s="23" t="s">
        <v>23</v>
      </c>
      <c r="C3" s="23" t="s">
        <v>82</v>
      </c>
      <c r="D3" s="19">
        <v>29595</v>
      </c>
      <c r="E3" s="23" t="s">
        <v>24</v>
      </c>
      <c r="F3" s="23">
        <v>11952501165</v>
      </c>
      <c r="G3" s="23" t="s">
        <v>16</v>
      </c>
      <c r="H3" s="18">
        <v>45</v>
      </c>
      <c r="J3" s="18"/>
      <c r="K3" s="23" t="s">
        <v>18</v>
      </c>
      <c r="L3" s="23" t="s">
        <v>34</v>
      </c>
      <c r="N3" s="16"/>
      <c r="O3" s="17"/>
      <c r="P3" s="17">
        <v>45</v>
      </c>
      <c r="Q3" s="22"/>
      <c r="R3" s="23"/>
    </row>
    <row r="4" spans="1:26">
      <c r="A4" s="22">
        <v>46266</v>
      </c>
      <c r="B4" s="23" t="s">
        <v>23</v>
      </c>
      <c r="C4" s="23" t="s">
        <v>83</v>
      </c>
      <c r="D4" s="19">
        <v>32039</v>
      </c>
      <c r="E4" s="23" t="s">
        <v>24</v>
      </c>
      <c r="F4" s="23">
        <v>11952032420</v>
      </c>
      <c r="G4" s="23" t="s">
        <v>16</v>
      </c>
      <c r="H4" s="18">
        <v>45</v>
      </c>
      <c r="J4" s="18"/>
      <c r="K4" s="23" t="s">
        <v>18</v>
      </c>
      <c r="L4" s="23" t="s">
        <v>34</v>
      </c>
      <c r="N4" s="16"/>
      <c r="O4" s="17"/>
      <c r="P4" s="17">
        <v>45</v>
      </c>
      <c r="Q4" s="22"/>
      <c r="R4" s="23"/>
    </row>
    <row r="5" spans="1:26">
      <c r="A5" s="22">
        <v>46266</v>
      </c>
      <c r="B5" s="23" t="s">
        <v>23</v>
      </c>
      <c r="C5" s="23" t="s">
        <v>84</v>
      </c>
      <c r="D5" s="19">
        <v>35272</v>
      </c>
      <c r="E5" s="23" t="s">
        <v>24</v>
      </c>
      <c r="F5" s="23">
        <v>11967250026</v>
      </c>
      <c r="G5" s="23" t="s">
        <v>32</v>
      </c>
      <c r="H5" s="18">
        <v>35</v>
      </c>
      <c r="J5" s="18"/>
      <c r="K5" s="23" t="s">
        <v>18</v>
      </c>
      <c r="L5" s="23" t="s">
        <v>34</v>
      </c>
      <c r="N5" s="16"/>
      <c r="O5" s="17"/>
      <c r="P5" s="17">
        <v>35</v>
      </c>
      <c r="Q5" s="22"/>
      <c r="R5" s="23"/>
    </row>
    <row r="6" spans="1:26">
      <c r="A6" s="22">
        <v>46266</v>
      </c>
      <c r="B6" s="23" t="s">
        <v>23</v>
      </c>
      <c r="C6" s="23" t="s">
        <v>85</v>
      </c>
      <c r="D6" s="19"/>
      <c r="E6" s="23" t="s">
        <v>24</v>
      </c>
      <c r="G6" s="23" t="s">
        <v>16</v>
      </c>
      <c r="H6" s="18">
        <v>45</v>
      </c>
      <c r="J6" s="18"/>
      <c r="K6" s="23" t="s">
        <v>18</v>
      </c>
      <c r="L6" s="23" t="s">
        <v>28</v>
      </c>
      <c r="N6" s="16"/>
      <c r="O6" s="17"/>
      <c r="P6" s="17">
        <v>45</v>
      </c>
      <c r="Q6" s="22"/>
      <c r="R6" s="23"/>
    </row>
    <row r="7" spans="1:26">
      <c r="A7" s="22">
        <v>46266</v>
      </c>
      <c r="B7" s="23" t="s">
        <v>23</v>
      </c>
      <c r="C7" s="23" t="s">
        <v>86</v>
      </c>
      <c r="D7" s="19">
        <v>34215</v>
      </c>
      <c r="E7" s="23" t="s">
        <v>24</v>
      </c>
      <c r="F7" s="23">
        <v>11951488924</v>
      </c>
      <c r="G7" s="23" t="s">
        <v>25</v>
      </c>
      <c r="H7" s="18">
        <v>80</v>
      </c>
      <c r="I7" s="23" t="s">
        <v>87</v>
      </c>
      <c r="J7" s="18">
        <v>110</v>
      </c>
      <c r="K7" s="23" t="s">
        <v>18</v>
      </c>
      <c r="L7" s="23" t="s">
        <v>39</v>
      </c>
      <c r="N7" s="16"/>
      <c r="O7" s="17"/>
      <c r="P7" s="17">
        <v>190</v>
      </c>
      <c r="Q7" s="22"/>
      <c r="R7" s="23"/>
    </row>
    <row r="8" spans="1:26">
      <c r="A8" s="22">
        <v>46267</v>
      </c>
      <c r="B8" s="23" t="s">
        <v>23</v>
      </c>
      <c r="C8" s="23" t="s">
        <v>88</v>
      </c>
      <c r="D8" s="19">
        <v>38294</v>
      </c>
      <c r="E8" s="23" t="s">
        <v>24</v>
      </c>
      <c r="F8" s="23">
        <v>11987247433</v>
      </c>
      <c r="G8" s="23" t="s">
        <v>16</v>
      </c>
      <c r="H8" s="18">
        <v>45</v>
      </c>
      <c r="I8" s="23" t="s">
        <v>21</v>
      </c>
      <c r="J8" s="18">
        <v>10</v>
      </c>
      <c r="K8" s="23" t="s">
        <v>18</v>
      </c>
      <c r="L8" s="23" t="s">
        <v>39</v>
      </c>
      <c r="N8" s="16"/>
      <c r="O8" s="17"/>
      <c r="P8" s="17">
        <v>55</v>
      </c>
      <c r="Q8" s="22"/>
      <c r="R8" s="23"/>
    </row>
    <row r="9" spans="1:26">
      <c r="A9" s="22">
        <v>46267</v>
      </c>
      <c r="B9" s="23" t="s">
        <v>23</v>
      </c>
      <c r="C9" s="23" t="s">
        <v>88</v>
      </c>
      <c r="D9" s="19">
        <v>38294</v>
      </c>
      <c r="E9" s="23" t="s">
        <v>24</v>
      </c>
      <c r="F9" s="23">
        <v>11987247433</v>
      </c>
      <c r="G9" s="23" t="s">
        <v>16</v>
      </c>
      <c r="H9" s="18">
        <v>45</v>
      </c>
      <c r="I9" s="23" t="s">
        <v>21</v>
      </c>
      <c r="J9" s="18">
        <v>10</v>
      </c>
      <c r="K9" s="23" t="s">
        <v>18</v>
      </c>
      <c r="L9" s="23" t="s">
        <v>39</v>
      </c>
      <c r="N9" s="16"/>
      <c r="O9" s="17"/>
      <c r="P9" s="17">
        <v>55</v>
      </c>
      <c r="Q9" s="22"/>
      <c r="R9" s="23"/>
    </row>
    <row r="10" spans="1:26">
      <c r="A10" s="22">
        <v>46267</v>
      </c>
      <c r="B10" s="23" t="s">
        <v>23</v>
      </c>
      <c r="C10" s="23" t="s">
        <v>89</v>
      </c>
      <c r="D10" s="19"/>
      <c r="E10" s="23" t="s">
        <v>24</v>
      </c>
      <c r="G10" s="23" t="s">
        <v>16</v>
      </c>
      <c r="H10" s="18">
        <v>45</v>
      </c>
      <c r="J10" s="18"/>
      <c r="K10" s="23" t="s">
        <v>18</v>
      </c>
      <c r="L10" s="23" t="s">
        <v>28</v>
      </c>
      <c r="N10" s="16"/>
      <c r="O10" s="17"/>
      <c r="P10" s="17">
        <v>45</v>
      </c>
      <c r="Q10" s="22"/>
      <c r="R10" s="23"/>
    </row>
    <row r="11" spans="1:26">
      <c r="A11" s="22">
        <v>46268</v>
      </c>
      <c r="B11" s="23" t="s">
        <v>23</v>
      </c>
      <c r="C11" s="23" t="s">
        <v>90</v>
      </c>
      <c r="D11" s="19">
        <v>28430</v>
      </c>
      <c r="E11" s="23" t="s">
        <v>15</v>
      </c>
      <c r="F11" s="23">
        <v>11999164758</v>
      </c>
      <c r="G11" s="23" t="s">
        <v>16</v>
      </c>
      <c r="H11" s="18">
        <v>45</v>
      </c>
      <c r="J11" s="18"/>
      <c r="K11" s="23" t="s">
        <v>18</v>
      </c>
      <c r="L11" s="23" t="s">
        <v>39</v>
      </c>
      <c r="N11" s="16"/>
      <c r="O11" s="17"/>
      <c r="P11" s="17">
        <v>45</v>
      </c>
      <c r="Q11" s="22"/>
      <c r="R11" s="23"/>
    </row>
    <row r="12" spans="1:26">
      <c r="A12" s="22">
        <v>46268</v>
      </c>
      <c r="B12" s="23" t="s">
        <v>23</v>
      </c>
      <c r="C12" s="23" t="s">
        <v>91</v>
      </c>
      <c r="D12" s="19">
        <v>41760</v>
      </c>
      <c r="E12" s="23" t="s">
        <v>15</v>
      </c>
      <c r="F12" s="23">
        <v>11999164758</v>
      </c>
      <c r="G12" s="23" t="s">
        <v>16</v>
      </c>
      <c r="H12" s="18">
        <v>45</v>
      </c>
      <c r="J12" s="18"/>
      <c r="K12" s="23" t="s">
        <v>18</v>
      </c>
      <c r="L12" s="23" t="s">
        <v>39</v>
      </c>
      <c r="N12" s="16"/>
      <c r="O12" s="17"/>
      <c r="P12" s="17">
        <v>45</v>
      </c>
      <c r="Q12" s="22"/>
      <c r="R12" s="23"/>
    </row>
    <row r="13" spans="1:26">
      <c r="A13" s="22">
        <v>46268</v>
      </c>
      <c r="B13" s="23" t="s">
        <v>23</v>
      </c>
      <c r="C13" s="23" t="s">
        <v>92</v>
      </c>
      <c r="D13" s="19">
        <v>38671</v>
      </c>
      <c r="E13" s="23" t="s">
        <v>24</v>
      </c>
      <c r="F13" s="23">
        <v>11951668286</v>
      </c>
      <c r="G13" s="23" t="s">
        <v>16</v>
      </c>
      <c r="H13" s="18">
        <v>45</v>
      </c>
      <c r="I13" s="23" t="s">
        <v>21</v>
      </c>
      <c r="J13" s="18">
        <v>10</v>
      </c>
      <c r="K13" s="23" t="s">
        <v>18</v>
      </c>
      <c r="L13" s="23" t="s">
        <v>39</v>
      </c>
      <c r="N13" s="16"/>
      <c r="O13" s="17"/>
      <c r="P13" s="17">
        <v>55</v>
      </c>
      <c r="Q13" s="22"/>
      <c r="R13" s="23"/>
    </row>
    <row r="14" spans="1:26">
      <c r="A14" s="22">
        <v>46268</v>
      </c>
      <c r="B14" s="23" t="s">
        <v>23</v>
      </c>
      <c r="C14" s="23" t="s">
        <v>93</v>
      </c>
      <c r="D14" s="19">
        <v>33743</v>
      </c>
      <c r="E14" s="23" t="s">
        <v>24</v>
      </c>
      <c r="F14" s="23">
        <v>11960683852</v>
      </c>
      <c r="G14" s="23" t="s">
        <v>16</v>
      </c>
      <c r="H14" s="18">
        <v>45</v>
      </c>
      <c r="J14" s="18"/>
      <c r="K14" s="23" t="s">
        <v>18</v>
      </c>
      <c r="L14" s="23" t="s">
        <v>39</v>
      </c>
      <c r="N14" s="16"/>
      <c r="O14" s="17"/>
      <c r="P14" s="17">
        <v>45</v>
      </c>
      <c r="Q14" s="22"/>
      <c r="R14" s="23"/>
    </row>
    <row r="15" spans="1:26">
      <c r="A15" s="22">
        <v>46268</v>
      </c>
      <c r="B15" s="23" t="s">
        <v>23</v>
      </c>
      <c r="C15" s="23" t="s">
        <v>94</v>
      </c>
      <c r="D15" s="19">
        <v>36467</v>
      </c>
      <c r="E15" s="23" t="s">
        <v>24</v>
      </c>
      <c r="F15" s="23">
        <v>13988330561</v>
      </c>
      <c r="G15" s="23" t="s">
        <v>38</v>
      </c>
      <c r="H15" s="18">
        <v>70</v>
      </c>
      <c r="J15" s="18"/>
      <c r="K15" s="23" t="s">
        <v>18</v>
      </c>
      <c r="L15" s="23" t="s">
        <v>34</v>
      </c>
      <c r="N15" s="16"/>
      <c r="O15" s="17"/>
      <c r="P15" s="17">
        <v>70</v>
      </c>
      <c r="Q15" s="22"/>
      <c r="R15" s="23"/>
    </row>
    <row r="16" spans="1:26">
      <c r="A16" s="22">
        <v>46268</v>
      </c>
      <c r="B16" s="23" t="s">
        <v>14</v>
      </c>
      <c r="C16" s="23" t="s">
        <v>95</v>
      </c>
      <c r="D16" s="19">
        <v>35788</v>
      </c>
      <c r="E16" s="23" t="s">
        <v>24</v>
      </c>
      <c r="F16" s="23">
        <v>11957321678</v>
      </c>
      <c r="G16" s="23" t="s">
        <v>25</v>
      </c>
      <c r="H16" s="18">
        <v>80</v>
      </c>
      <c r="J16" s="18"/>
      <c r="K16" s="23" t="s">
        <v>18</v>
      </c>
      <c r="L16" s="23" t="s">
        <v>34</v>
      </c>
      <c r="N16" s="16"/>
      <c r="O16" s="17"/>
      <c r="P16" s="17">
        <v>80</v>
      </c>
      <c r="Q16" s="22"/>
      <c r="R16" s="23"/>
    </row>
    <row r="17" spans="1:18">
      <c r="A17" s="22">
        <v>46268</v>
      </c>
      <c r="B17" s="23" t="s">
        <v>23</v>
      </c>
      <c r="C17" s="23" t="s">
        <v>96</v>
      </c>
      <c r="D17" s="19"/>
      <c r="E17" s="23" t="s">
        <v>24</v>
      </c>
      <c r="G17" s="23" t="s">
        <v>16</v>
      </c>
      <c r="H17" s="18">
        <v>45</v>
      </c>
      <c r="I17" s="23" t="s">
        <v>21</v>
      </c>
      <c r="J17" s="18">
        <v>10</v>
      </c>
      <c r="K17" s="23" t="s">
        <v>18</v>
      </c>
      <c r="L17" s="23" t="s">
        <v>34</v>
      </c>
      <c r="N17" s="16"/>
      <c r="O17" s="17"/>
      <c r="P17" s="17">
        <v>55</v>
      </c>
      <c r="Q17" s="22"/>
      <c r="R17" s="23"/>
    </row>
    <row r="18" spans="1:18">
      <c r="A18" s="22">
        <v>46268</v>
      </c>
      <c r="B18" s="23" t="s">
        <v>14</v>
      </c>
      <c r="C18" s="23" t="s">
        <v>97</v>
      </c>
      <c r="D18" s="19"/>
      <c r="E18" s="23" t="s">
        <v>24</v>
      </c>
      <c r="F18" s="23">
        <v>11981490848</v>
      </c>
      <c r="G18" s="23" t="s">
        <v>16</v>
      </c>
      <c r="H18" s="18">
        <v>45</v>
      </c>
      <c r="J18" s="18"/>
      <c r="K18" s="23" t="s">
        <v>18</v>
      </c>
      <c r="L18" s="23" t="s">
        <v>34</v>
      </c>
      <c r="N18" s="16"/>
      <c r="O18" s="17"/>
      <c r="P18" s="17">
        <v>45</v>
      </c>
      <c r="Q18" s="22"/>
      <c r="R18" s="23"/>
    </row>
    <row r="19" spans="1:18">
      <c r="A19" s="22">
        <v>46268</v>
      </c>
      <c r="B19" s="23" t="s">
        <v>14</v>
      </c>
      <c r="C19" s="23" t="s">
        <v>98</v>
      </c>
      <c r="D19" s="19"/>
      <c r="E19" s="23" t="s">
        <v>24</v>
      </c>
      <c r="F19" s="23">
        <v>11976436368</v>
      </c>
      <c r="G19" s="23" t="s">
        <v>25</v>
      </c>
      <c r="H19" s="18">
        <v>60</v>
      </c>
      <c r="J19" s="18"/>
      <c r="K19" s="23" t="s">
        <v>27</v>
      </c>
      <c r="L19" s="23" t="s">
        <v>27</v>
      </c>
      <c r="N19" s="16"/>
      <c r="O19" s="17"/>
      <c r="P19" s="17">
        <v>60</v>
      </c>
      <c r="Q19" s="22"/>
      <c r="R19" s="23"/>
    </row>
    <row r="20" spans="1:18">
      <c r="A20" s="22">
        <v>46268</v>
      </c>
      <c r="B20" s="23" t="s">
        <v>14</v>
      </c>
      <c r="C20" s="23" t="s">
        <v>99</v>
      </c>
      <c r="D20" s="19"/>
      <c r="E20" s="23" t="s">
        <v>24</v>
      </c>
      <c r="G20" s="23" t="s">
        <v>16</v>
      </c>
      <c r="H20" s="18">
        <v>45</v>
      </c>
      <c r="J20" s="18"/>
      <c r="K20" s="23" t="s">
        <v>18</v>
      </c>
      <c r="L20" s="23" t="s">
        <v>34</v>
      </c>
      <c r="N20" s="16"/>
      <c r="O20" s="17"/>
      <c r="P20" s="17">
        <v>45</v>
      </c>
      <c r="Q20" s="22"/>
      <c r="R20" s="23"/>
    </row>
    <row r="21" spans="1:18">
      <c r="A21" s="22">
        <v>46268</v>
      </c>
      <c r="B21" s="23" t="s">
        <v>14</v>
      </c>
      <c r="C21" s="23" t="s">
        <v>100</v>
      </c>
      <c r="D21" s="19"/>
      <c r="E21" s="23" t="s">
        <v>24</v>
      </c>
      <c r="G21" s="23" t="s">
        <v>16</v>
      </c>
      <c r="H21" s="18">
        <v>45</v>
      </c>
      <c r="J21" s="18"/>
      <c r="K21" s="23" t="s">
        <v>18</v>
      </c>
      <c r="L21" s="23" t="s">
        <v>39</v>
      </c>
      <c r="N21" s="16"/>
      <c r="O21" s="17"/>
      <c r="P21" s="17">
        <v>45</v>
      </c>
      <c r="Q21" s="22"/>
      <c r="R21" s="23"/>
    </row>
    <row r="22" spans="1:18">
      <c r="A22" s="22">
        <v>46268</v>
      </c>
      <c r="B22" s="23" t="s">
        <v>14</v>
      </c>
      <c r="C22" s="23" t="s">
        <v>101</v>
      </c>
      <c r="D22" s="19">
        <v>38070</v>
      </c>
      <c r="E22" s="23" t="s">
        <v>24</v>
      </c>
      <c r="F22" s="23">
        <v>11993117433</v>
      </c>
      <c r="G22" s="23" t="s">
        <v>16</v>
      </c>
      <c r="H22" s="18">
        <v>45</v>
      </c>
      <c r="J22" s="18"/>
      <c r="K22" s="23" t="s">
        <v>18</v>
      </c>
      <c r="L22" s="23" t="s">
        <v>34</v>
      </c>
      <c r="N22" s="16"/>
      <c r="O22" s="17"/>
      <c r="P22" s="17">
        <v>45</v>
      </c>
      <c r="Q22" s="22"/>
      <c r="R22" s="23"/>
    </row>
    <row r="23" spans="1:18">
      <c r="A23" s="22">
        <v>46268</v>
      </c>
      <c r="B23" s="23" t="s">
        <v>23</v>
      </c>
      <c r="C23" s="23" t="s">
        <v>102</v>
      </c>
      <c r="D23" s="19">
        <v>33525</v>
      </c>
      <c r="E23" s="23" t="s">
        <v>24</v>
      </c>
      <c r="F23" s="23">
        <v>11951069136</v>
      </c>
      <c r="G23" s="23" t="s">
        <v>25</v>
      </c>
      <c r="H23" s="18">
        <v>80</v>
      </c>
      <c r="I23" s="23" t="s">
        <v>21</v>
      </c>
      <c r="J23" s="18">
        <v>180</v>
      </c>
      <c r="K23" s="23" t="s">
        <v>18</v>
      </c>
      <c r="L23" s="23" t="s">
        <v>34</v>
      </c>
      <c r="N23" s="16"/>
      <c r="O23" s="17"/>
      <c r="P23" s="17">
        <v>260</v>
      </c>
      <c r="Q23" s="22"/>
      <c r="R23" s="23"/>
    </row>
    <row r="24" spans="1:18">
      <c r="A24" s="22">
        <v>46268</v>
      </c>
      <c r="B24" s="23" t="s">
        <v>23</v>
      </c>
      <c r="C24" s="23" t="s">
        <v>103</v>
      </c>
      <c r="D24" s="19">
        <v>36222</v>
      </c>
      <c r="E24" s="23" t="s">
        <v>24</v>
      </c>
      <c r="F24" s="23">
        <v>13982009511</v>
      </c>
      <c r="G24" s="23" t="s">
        <v>16</v>
      </c>
      <c r="H24" s="18">
        <v>45</v>
      </c>
      <c r="J24" s="18"/>
      <c r="K24" s="23" t="s">
        <v>18</v>
      </c>
      <c r="L24" s="23" t="s">
        <v>34</v>
      </c>
      <c r="N24" s="16"/>
      <c r="O24" s="17"/>
      <c r="P24" s="17">
        <v>45</v>
      </c>
      <c r="Q24" s="22"/>
      <c r="R24" s="23"/>
    </row>
    <row r="25" spans="1:18">
      <c r="A25" s="22">
        <v>46268</v>
      </c>
      <c r="B25" s="23" t="s">
        <v>14</v>
      </c>
      <c r="C25" s="23" t="s">
        <v>104</v>
      </c>
      <c r="D25" s="19">
        <v>32105</v>
      </c>
      <c r="E25" s="23" t="s">
        <v>24</v>
      </c>
      <c r="F25" s="23">
        <v>11995903845</v>
      </c>
      <c r="G25" s="23" t="s">
        <v>25</v>
      </c>
      <c r="H25" s="18">
        <v>80</v>
      </c>
      <c r="I25" s="23" t="s">
        <v>21</v>
      </c>
      <c r="J25" s="18">
        <v>10</v>
      </c>
      <c r="K25" s="23" t="s">
        <v>18</v>
      </c>
      <c r="L25" s="23" t="s">
        <v>39</v>
      </c>
      <c r="N25" s="16"/>
      <c r="O25" s="17"/>
      <c r="P25" s="17">
        <v>90</v>
      </c>
      <c r="Q25" s="22"/>
      <c r="R25" s="23"/>
    </row>
    <row r="26" spans="1:18">
      <c r="A26" s="22">
        <v>46269</v>
      </c>
      <c r="B26" s="23" t="s">
        <v>14</v>
      </c>
      <c r="C26" s="23" t="s">
        <v>105</v>
      </c>
      <c r="D26" s="19"/>
      <c r="E26" s="23" t="s">
        <v>24</v>
      </c>
      <c r="G26" s="23" t="s">
        <v>32</v>
      </c>
      <c r="H26" s="18">
        <v>35</v>
      </c>
      <c r="J26" s="18"/>
      <c r="K26" s="23" t="s">
        <v>18</v>
      </c>
      <c r="L26" s="23" t="s">
        <v>34</v>
      </c>
      <c r="N26" s="16"/>
      <c r="O26" s="17"/>
      <c r="P26" s="17">
        <v>35</v>
      </c>
      <c r="Q26" s="22"/>
      <c r="R26" s="23"/>
    </row>
    <row r="27" spans="1:18" ht="12.75">
      <c r="A27" s="22">
        <v>46269</v>
      </c>
      <c r="B27" s="23" t="s">
        <v>23</v>
      </c>
      <c r="C27" s="23" t="s">
        <v>106</v>
      </c>
      <c r="D27" s="19">
        <v>22538</v>
      </c>
      <c r="E27" s="23" t="s">
        <v>24</v>
      </c>
      <c r="F27" s="23">
        <v>77999733028</v>
      </c>
      <c r="G27" s="23" t="s">
        <v>25</v>
      </c>
      <c r="H27" s="18">
        <v>80</v>
      </c>
      <c r="J27" s="18"/>
      <c r="K27" s="23" t="s">
        <v>18</v>
      </c>
      <c r="L27" s="23" t="s">
        <v>34</v>
      </c>
      <c r="N27" s="16"/>
      <c r="O27" s="17"/>
      <c r="P27" s="17">
        <v>80</v>
      </c>
      <c r="Q27" s="22"/>
      <c r="R27" s="23"/>
    </row>
    <row r="28" spans="1:18" ht="12.75">
      <c r="A28" s="22">
        <v>46269</v>
      </c>
      <c r="B28" s="23" t="s">
        <v>23</v>
      </c>
      <c r="C28" s="23" t="s">
        <v>107</v>
      </c>
      <c r="D28" s="19">
        <v>37495</v>
      </c>
      <c r="E28" s="23" t="s">
        <v>24</v>
      </c>
      <c r="F28" s="23">
        <v>11963686221</v>
      </c>
      <c r="G28" s="23" t="s">
        <v>16</v>
      </c>
      <c r="H28" s="18">
        <v>45</v>
      </c>
      <c r="I28" s="23" t="s">
        <v>21</v>
      </c>
      <c r="J28" s="18">
        <v>10</v>
      </c>
      <c r="K28" s="23" t="s">
        <v>18</v>
      </c>
      <c r="L28" s="23" t="s">
        <v>34</v>
      </c>
      <c r="N28" s="16"/>
      <c r="O28" s="17"/>
      <c r="P28" s="17">
        <v>55</v>
      </c>
      <c r="Q28" s="22"/>
      <c r="R28" s="23"/>
    </row>
    <row r="29" spans="1:18" ht="12.75">
      <c r="A29" s="22">
        <v>46269</v>
      </c>
      <c r="B29" s="23" t="s">
        <v>23</v>
      </c>
      <c r="C29" s="23" t="s">
        <v>108</v>
      </c>
      <c r="D29" s="19">
        <v>34699</v>
      </c>
      <c r="E29" s="23" t="s">
        <v>24</v>
      </c>
      <c r="F29" s="23">
        <v>11921470312</v>
      </c>
      <c r="G29" s="23" t="s">
        <v>16</v>
      </c>
      <c r="H29" s="18">
        <v>45</v>
      </c>
      <c r="J29" s="18"/>
      <c r="K29" s="23" t="s">
        <v>18</v>
      </c>
      <c r="L29" s="23" t="s">
        <v>28</v>
      </c>
      <c r="N29" s="16"/>
      <c r="O29" s="17"/>
      <c r="P29" s="17">
        <v>45</v>
      </c>
      <c r="Q29" s="22"/>
      <c r="R29" s="23"/>
    </row>
    <row r="30" spans="1:18" ht="12.75">
      <c r="A30" s="22">
        <v>46269</v>
      </c>
      <c r="B30" s="23" t="s">
        <v>23</v>
      </c>
      <c r="C30" s="23" t="s">
        <v>109</v>
      </c>
      <c r="D30" s="19"/>
      <c r="E30" s="23" t="s">
        <v>24</v>
      </c>
      <c r="G30" s="23" t="s">
        <v>16</v>
      </c>
      <c r="H30" s="18">
        <v>45</v>
      </c>
      <c r="I30" s="23" t="s">
        <v>41</v>
      </c>
      <c r="J30" s="18">
        <v>25</v>
      </c>
      <c r="K30" s="23" t="s">
        <v>18</v>
      </c>
      <c r="L30" s="23" t="s">
        <v>34</v>
      </c>
      <c r="N30" s="16"/>
      <c r="O30" s="17"/>
      <c r="P30" s="17">
        <v>70</v>
      </c>
      <c r="Q30" s="22"/>
      <c r="R30" s="23"/>
    </row>
    <row r="31" spans="1:18" ht="12.75">
      <c r="A31" s="22">
        <v>46269</v>
      </c>
      <c r="B31" s="23" t="s">
        <v>14</v>
      </c>
      <c r="C31" s="23" t="s">
        <v>110</v>
      </c>
      <c r="D31" s="19">
        <v>38957</v>
      </c>
      <c r="E31" s="23" t="s">
        <v>24</v>
      </c>
      <c r="F31" s="23">
        <v>11994135335</v>
      </c>
      <c r="G31" s="23" t="s">
        <v>16</v>
      </c>
      <c r="H31" s="18">
        <v>55</v>
      </c>
      <c r="J31" s="18"/>
      <c r="K31" s="23" t="s">
        <v>27</v>
      </c>
      <c r="L31" s="23" t="s">
        <v>34</v>
      </c>
      <c r="N31" s="16"/>
      <c r="O31" s="17"/>
      <c r="P31" s="17">
        <v>55</v>
      </c>
      <c r="Q31" s="22"/>
      <c r="R31" s="23"/>
    </row>
    <row r="32" spans="1:18" ht="12.75">
      <c r="A32" s="22">
        <v>46269</v>
      </c>
      <c r="B32" s="23" t="s">
        <v>23</v>
      </c>
      <c r="C32" s="23" t="s">
        <v>111</v>
      </c>
      <c r="D32" s="19"/>
      <c r="E32" s="23" t="s">
        <v>24</v>
      </c>
      <c r="G32" s="23" t="s">
        <v>32</v>
      </c>
      <c r="H32" s="18">
        <v>35</v>
      </c>
      <c r="I32" s="23" t="s">
        <v>12</v>
      </c>
      <c r="J32" s="18">
        <v>30</v>
      </c>
      <c r="K32" s="23" t="s">
        <v>18</v>
      </c>
      <c r="L32" s="23" t="s">
        <v>34</v>
      </c>
      <c r="N32" s="16"/>
      <c r="O32" s="17"/>
      <c r="P32" s="17">
        <v>65</v>
      </c>
      <c r="Q32" s="22"/>
      <c r="R32" s="23"/>
    </row>
    <row r="33" spans="1:18" ht="12.75">
      <c r="A33" s="22">
        <v>46269</v>
      </c>
      <c r="B33" s="23" t="s">
        <v>23</v>
      </c>
      <c r="C33" s="23" t="s">
        <v>112</v>
      </c>
      <c r="D33" s="19">
        <v>30972</v>
      </c>
      <c r="E33" s="23" t="s">
        <v>24</v>
      </c>
      <c r="F33" s="23">
        <v>11988001800</v>
      </c>
      <c r="G33" s="23" t="s">
        <v>25</v>
      </c>
      <c r="H33" s="18">
        <v>80</v>
      </c>
      <c r="J33" s="18"/>
      <c r="K33" s="23" t="s">
        <v>18</v>
      </c>
      <c r="L33" s="23" t="s">
        <v>34</v>
      </c>
      <c r="N33" s="16"/>
      <c r="O33" s="17"/>
      <c r="P33" s="17">
        <v>80</v>
      </c>
      <c r="Q33" s="22"/>
      <c r="R33" s="23"/>
    </row>
    <row r="34" spans="1:18" ht="12.75">
      <c r="A34" s="22">
        <v>46269</v>
      </c>
      <c r="B34" s="23" t="s">
        <v>14</v>
      </c>
      <c r="C34" s="23" t="s">
        <v>113</v>
      </c>
      <c r="D34" s="19"/>
      <c r="E34" s="23" t="s">
        <v>24</v>
      </c>
      <c r="G34" s="23" t="s">
        <v>16</v>
      </c>
      <c r="H34" s="18">
        <v>45</v>
      </c>
      <c r="J34" s="18"/>
      <c r="K34" s="23" t="s">
        <v>18</v>
      </c>
      <c r="L34" s="23" t="s">
        <v>34</v>
      </c>
      <c r="N34" s="16"/>
      <c r="O34" s="17"/>
      <c r="P34" s="17">
        <v>45</v>
      </c>
      <c r="Q34" s="22"/>
      <c r="R34" s="23"/>
    </row>
    <row r="35" spans="1:18" ht="12.75">
      <c r="A35" s="22">
        <v>46269</v>
      </c>
      <c r="B35" s="23" t="s">
        <v>14</v>
      </c>
      <c r="C35" s="23" t="s">
        <v>114</v>
      </c>
      <c r="D35" s="19"/>
      <c r="E35" s="23" t="s">
        <v>24</v>
      </c>
      <c r="G35" s="23" t="s">
        <v>32</v>
      </c>
      <c r="H35" s="18">
        <v>35</v>
      </c>
      <c r="J35" s="18"/>
      <c r="K35" s="23" t="s">
        <v>27</v>
      </c>
      <c r="L35" s="23" t="s">
        <v>27</v>
      </c>
      <c r="N35" s="16"/>
      <c r="O35" s="17"/>
      <c r="P35" s="17">
        <v>35</v>
      </c>
      <c r="Q35" s="22"/>
      <c r="R35" s="23"/>
    </row>
    <row r="36" spans="1:18" ht="12.75">
      <c r="A36" s="22">
        <v>46269</v>
      </c>
      <c r="B36" s="23" t="s">
        <v>14</v>
      </c>
      <c r="C36" s="23" t="s">
        <v>115</v>
      </c>
      <c r="D36" s="19"/>
      <c r="E36" s="23" t="s">
        <v>24</v>
      </c>
      <c r="G36" s="23" t="s">
        <v>16</v>
      </c>
      <c r="H36" s="18">
        <v>200</v>
      </c>
      <c r="J36" s="18"/>
      <c r="K36" s="23" t="s">
        <v>27</v>
      </c>
      <c r="L36" s="23" t="s">
        <v>27</v>
      </c>
      <c r="N36" s="16"/>
      <c r="O36" s="17"/>
      <c r="P36" s="17">
        <v>200</v>
      </c>
      <c r="Q36" s="22"/>
      <c r="R36" s="23"/>
    </row>
    <row r="37" spans="1:18" ht="12.75">
      <c r="A37" s="22">
        <v>46269</v>
      </c>
      <c r="B37" s="23" t="s">
        <v>14</v>
      </c>
      <c r="C37" s="23" t="s">
        <v>116</v>
      </c>
      <c r="D37" s="19"/>
      <c r="E37" s="23" t="s">
        <v>24</v>
      </c>
      <c r="G37" s="23" t="s">
        <v>16</v>
      </c>
      <c r="H37" s="18">
        <v>45</v>
      </c>
      <c r="J37" s="18"/>
      <c r="K37" s="23" t="s">
        <v>18</v>
      </c>
      <c r="L37" s="23" t="s">
        <v>28</v>
      </c>
      <c r="N37" s="16"/>
      <c r="O37" s="17"/>
      <c r="P37" s="17">
        <v>45</v>
      </c>
      <c r="Q37" s="22"/>
      <c r="R37" s="23"/>
    </row>
    <row r="38" spans="1:18" ht="12.75">
      <c r="A38" s="22">
        <v>46269</v>
      </c>
      <c r="B38" s="23" t="s">
        <v>14</v>
      </c>
      <c r="C38" s="23" t="s">
        <v>117</v>
      </c>
      <c r="D38" s="19"/>
      <c r="E38" s="23" t="s">
        <v>24</v>
      </c>
      <c r="G38" s="23" t="s">
        <v>38</v>
      </c>
      <c r="H38" s="18">
        <v>70</v>
      </c>
      <c r="J38" s="18"/>
      <c r="K38" s="23" t="s">
        <v>18</v>
      </c>
      <c r="L38" s="23" t="s">
        <v>34</v>
      </c>
      <c r="N38" s="16"/>
      <c r="O38" s="17"/>
      <c r="P38" s="17">
        <v>70</v>
      </c>
      <c r="Q38" s="22"/>
      <c r="R38" s="23"/>
    </row>
    <row r="39" spans="1:18" ht="12.75">
      <c r="A39" s="22">
        <v>46269</v>
      </c>
      <c r="B39" s="23" t="s">
        <v>14</v>
      </c>
      <c r="C39" s="23" t="s">
        <v>118</v>
      </c>
      <c r="D39" s="19"/>
      <c r="E39" s="23" t="s">
        <v>24</v>
      </c>
      <c r="G39" s="23" t="s">
        <v>38</v>
      </c>
      <c r="H39" s="18">
        <v>100</v>
      </c>
      <c r="J39" s="18"/>
      <c r="K39" s="23" t="s">
        <v>27</v>
      </c>
      <c r="L39" s="23" t="s">
        <v>27</v>
      </c>
      <c r="N39" s="16"/>
      <c r="O39" s="17"/>
      <c r="P39" s="17">
        <v>100</v>
      </c>
      <c r="Q39" s="22"/>
      <c r="R39" s="23"/>
    </row>
    <row r="40" spans="1:18" ht="12.75">
      <c r="A40" s="22">
        <v>46269</v>
      </c>
      <c r="B40" s="23" t="s">
        <v>14</v>
      </c>
      <c r="C40" s="23" t="s">
        <v>119</v>
      </c>
      <c r="D40" s="19"/>
      <c r="E40" s="23" t="s">
        <v>24</v>
      </c>
      <c r="G40" s="23" t="s">
        <v>16</v>
      </c>
      <c r="H40" s="18">
        <v>45</v>
      </c>
      <c r="J40" s="18"/>
      <c r="K40" s="23" t="s">
        <v>18</v>
      </c>
      <c r="L40" s="23" t="s">
        <v>19</v>
      </c>
      <c r="N40" s="16"/>
      <c r="O40" s="17"/>
      <c r="P40" s="17">
        <v>45</v>
      </c>
      <c r="Q40" s="22"/>
      <c r="R40" s="23"/>
    </row>
    <row r="41" spans="1:18" ht="12.75">
      <c r="A41" s="22">
        <v>46269</v>
      </c>
      <c r="B41" s="23" t="s">
        <v>14</v>
      </c>
      <c r="C41" s="23" t="s">
        <v>120</v>
      </c>
      <c r="D41" s="19"/>
      <c r="E41" s="23" t="s">
        <v>24</v>
      </c>
      <c r="G41" s="23" t="s">
        <v>16</v>
      </c>
      <c r="H41" s="18">
        <v>100</v>
      </c>
      <c r="J41" s="18"/>
      <c r="K41" s="23" t="s">
        <v>27</v>
      </c>
      <c r="L41" s="23" t="s">
        <v>27</v>
      </c>
      <c r="N41" s="16"/>
      <c r="O41" s="17"/>
      <c r="P41" s="17">
        <v>100</v>
      </c>
      <c r="Q41" s="22"/>
      <c r="R41" s="23"/>
    </row>
    <row r="42" spans="1:18" ht="12.75">
      <c r="A42" s="22">
        <v>46269</v>
      </c>
      <c r="B42" s="23" t="s">
        <v>14</v>
      </c>
      <c r="C42" s="23" t="s">
        <v>121</v>
      </c>
      <c r="D42" s="19"/>
      <c r="E42" s="23" t="s">
        <v>24</v>
      </c>
      <c r="G42" s="23" t="s">
        <v>16</v>
      </c>
      <c r="H42" s="18">
        <v>100</v>
      </c>
      <c r="J42" s="18"/>
      <c r="K42" s="23" t="s">
        <v>27</v>
      </c>
      <c r="L42" s="23" t="s">
        <v>27</v>
      </c>
      <c r="N42" s="16"/>
      <c r="O42" s="17"/>
      <c r="P42" s="17">
        <v>100</v>
      </c>
      <c r="Q42" s="22"/>
      <c r="R42" s="23"/>
    </row>
    <row r="43" spans="1:18" ht="12.75">
      <c r="A43" s="22">
        <v>46270</v>
      </c>
      <c r="B43" s="23" t="s">
        <v>23</v>
      </c>
      <c r="C43" s="23" t="s">
        <v>122</v>
      </c>
      <c r="D43" s="19">
        <v>36981</v>
      </c>
      <c r="E43" s="23" t="s">
        <v>24</v>
      </c>
      <c r="F43" s="23">
        <v>11969211468</v>
      </c>
      <c r="G43" s="23" t="s">
        <v>38</v>
      </c>
      <c r="H43" s="18">
        <v>70</v>
      </c>
      <c r="I43" s="23" t="s">
        <v>21</v>
      </c>
      <c r="J43" s="18">
        <v>10</v>
      </c>
      <c r="K43" s="23" t="s">
        <v>18</v>
      </c>
      <c r="L43" s="23" t="s">
        <v>19</v>
      </c>
      <c r="N43" s="16"/>
      <c r="O43" s="17"/>
      <c r="P43" s="17">
        <v>80</v>
      </c>
      <c r="Q43" s="22"/>
      <c r="R43" s="23"/>
    </row>
    <row r="44" spans="1:18" ht="12.75">
      <c r="A44" s="22">
        <v>46270</v>
      </c>
      <c r="B44" s="23" t="s">
        <v>23</v>
      </c>
      <c r="C44" s="23" t="s">
        <v>123</v>
      </c>
      <c r="D44" s="19">
        <v>30461</v>
      </c>
      <c r="E44" s="23" t="s">
        <v>24</v>
      </c>
      <c r="F44" s="23">
        <v>11985999346</v>
      </c>
      <c r="G44" s="23" t="s">
        <v>16</v>
      </c>
      <c r="H44" s="18">
        <v>45</v>
      </c>
      <c r="J44" s="18"/>
      <c r="K44" s="23" t="s">
        <v>18</v>
      </c>
      <c r="L44" s="23" t="s">
        <v>39</v>
      </c>
      <c r="N44" s="16"/>
      <c r="O44" s="17"/>
      <c r="P44" s="17">
        <v>45</v>
      </c>
      <c r="Q44" s="22"/>
      <c r="R44" s="23"/>
    </row>
    <row r="45" spans="1:18" ht="12.75">
      <c r="A45" s="22">
        <v>46270</v>
      </c>
      <c r="B45" s="23" t="s">
        <v>14</v>
      </c>
      <c r="C45" s="23" t="s">
        <v>124</v>
      </c>
      <c r="D45" s="19"/>
      <c r="E45" s="23" t="s">
        <v>24</v>
      </c>
      <c r="G45" s="23" t="s">
        <v>25</v>
      </c>
      <c r="H45" s="18">
        <v>80</v>
      </c>
      <c r="J45" s="18"/>
      <c r="K45" s="23" t="s">
        <v>18</v>
      </c>
      <c r="L45" s="23" t="s">
        <v>34</v>
      </c>
      <c r="N45" s="16"/>
      <c r="O45" s="17"/>
      <c r="P45" s="17">
        <v>80</v>
      </c>
      <c r="Q45" s="22"/>
      <c r="R45" s="23"/>
    </row>
    <row r="46" spans="1:18" ht="12.75">
      <c r="A46" s="22">
        <v>46270</v>
      </c>
      <c r="B46" s="23" t="s">
        <v>14</v>
      </c>
      <c r="C46" s="23" t="s">
        <v>125</v>
      </c>
      <c r="D46" s="19"/>
      <c r="E46" s="23" t="s">
        <v>24</v>
      </c>
      <c r="G46" s="23" t="s">
        <v>46</v>
      </c>
      <c r="H46" s="18">
        <v>90</v>
      </c>
      <c r="J46" s="18"/>
      <c r="K46" s="23" t="s">
        <v>27</v>
      </c>
      <c r="L46" s="23" t="s">
        <v>27</v>
      </c>
      <c r="N46" s="16"/>
      <c r="O46" s="17"/>
      <c r="P46" s="17">
        <v>90</v>
      </c>
      <c r="Q46" s="22"/>
      <c r="R46" s="23"/>
    </row>
    <row r="47" spans="1:18" ht="12.75">
      <c r="A47" s="22">
        <v>46270</v>
      </c>
      <c r="B47" s="23" t="s">
        <v>23</v>
      </c>
      <c r="C47" s="23" t="s">
        <v>126</v>
      </c>
      <c r="D47" s="19">
        <v>33764</v>
      </c>
      <c r="E47" s="23" t="s">
        <v>24</v>
      </c>
      <c r="F47" s="23">
        <v>11991040876</v>
      </c>
      <c r="G47" s="23" t="s">
        <v>32</v>
      </c>
      <c r="H47" s="18">
        <v>35</v>
      </c>
      <c r="I47" s="23" t="s">
        <v>12</v>
      </c>
      <c r="J47" s="18">
        <v>20</v>
      </c>
      <c r="K47" s="23" t="s">
        <v>18</v>
      </c>
      <c r="L47" s="23" t="s">
        <v>34</v>
      </c>
      <c r="N47" s="16"/>
      <c r="O47" s="17"/>
      <c r="P47" s="17">
        <v>55</v>
      </c>
      <c r="Q47" s="22"/>
      <c r="R47" s="23"/>
    </row>
    <row r="48" spans="1:18" ht="12.75">
      <c r="A48" s="22">
        <v>46270</v>
      </c>
      <c r="B48" s="23" t="s">
        <v>14</v>
      </c>
      <c r="C48" s="23" t="s">
        <v>127</v>
      </c>
      <c r="D48" s="19"/>
      <c r="E48" s="23" t="s">
        <v>24</v>
      </c>
      <c r="G48" s="23" t="s">
        <v>16</v>
      </c>
      <c r="H48" s="18">
        <v>45</v>
      </c>
      <c r="J48" s="18"/>
      <c r="K48" s="23" t="s">
        <v>18</v>
      </c>
      <c r="L48" s="23" t="s">
        <v>19</v>
      </c>
      <c r="N48" s="16"/>
      <c r="O48" s="17"/>
      <c r="P48" s="17">
        <v>45</v>
      </c>
      <c r="Q48" s="22"/>
      <c r="R48" s="23"/>
    </row>
    <row r="49" spans="1:18" ht="12.75">
      <c r="A49" s="22">
        <v>46270</v>
      </c>
      <c r="B49" s="23" t="s">
        <v>23</v>
      </c>
      <c r="C49" s="23" t="s">
        <v>128</v>
      </c>
      <c r="D49" s="19">
        <v>37032</v>
      </c>
      <c r="E49" s="23" t="s">
        <v>24</v>
      </c>
      <c r="F49" s="23">
        <v>11915526470</v>
      </c>
      <c r="G49" s="23" t="s">
        <v>16</v>
      </c>
      <c r="H49" s="18">
        <v>45</v>
      </c>
      <c r="J49" s="18"/>
      <c r="K49" s="23" t="s">
        <v>18</v>
      </c>
      <c r="L49" s="23" t="s">
        <v>28</v>
      </c>
      <c r="N49" s="16"/>
      <c r="O49" s="17"/>
      <c r="P49" s="17">
        <v>45</v>
      </c>
      <c r="Q49" s="22"/>
      <c r="R49" s="23"/>
    </row>
    <row r="50" spans="1:18" ht="12.75">
      <c r="A50" s="22">
        <v>46270</v>
      </c>
      <c r="B50" s="23" t="s">
        <v>23</v>
      </c>
      <c r="C50" s="23" t="s">
        <v>129</v>
      </c>
      <c r="D50" s="19">
        <v>35153</v>
      </c>
      <c r="E50" s="23" t="s">
        <v>24</v>
      </c>
      <c r="F50" s="23">
        <v>11949800158</v>
      </c>
      <c r="G50" s="23" t="s">
        <v>16</v>
      </c>
      <c r="H50" s="18">
        <v>45</v>
      </c>
      <c r="J50" s="18"/>
      <c r="K50" s="23" t="s">
        <v>18</v>
      </c>
      <c r="L50" s="23" t="s">
        <v>28</v>
      </c>
      <c r="N50" s="16"/>
      <c r="O50" s="17"/>
      <c r="P50" s="17">
        <v>45</v>
      </c>
      <c r="Q50" s="22"/>
      <c r="R50" s="23"/>
    </row>
    <row r="51" spans="1:18" ht="12.75">
      <c r="A51" s="22">
        <v>46270</v>
      </c>
      <c r="B51" s="23" t="s">
        <v>23</v>
      </c>
      <c r="C51" s="23" t="s">
        <v>130</v>
      </c>
      <c r="D51" s="19">
        <v>38774</v>
      </c>
      <c r="E51" s="23" t="s">
        <v>24</v>
      </c>
      <c r="F51" s="23">
        <v>11964662426</v>
      </c>
      <c r="G51" s="23" t="s">
        <v>16</v>
      </c>
      <c r="H51" s="18">
        <v>45</v>
      </c>
      <c r="J51" s="18"/>
      <c r="K51" s="23" t="s">
        <v>18</v>
      </c>
      <c r="L51" s="23" t="s">
        <v>39</v>
      </c>
      <c r="N51" s="16"/>
      <c r="O51" s="17"/>
      <c r="P51" s="17">
        <v>45</v>
      </c>
      <c r="Q51" s="22"/>
      <c r="R51" s="23"/>
    </row>
    <row r="52" spans="1:18" ht="12.75">
      <c r="A52" s="22">
        <v>46270</v>
      </c>
      <c r="B52" s="23" t="s">
        <v>14</v>
      </c>
      <c r="C52" s="23" t="s">
        <v>131</v>
      </c>
      <c r="D52" s="19">
        <v>35889</v>
      </c>
      <c r="E52" s="23" t="s">
        <v>24</v>
      </c>
      <c r="F52" s="23">
        <v>11970370085</v>
      </c>
      <c r="G52" s="23" t="s">
        <v>25</v>
      </c>
      <c r="H52" s="18">
        <v>80</v>
      </c>
      <c r="J52" s="18"/>
      <c r="K52" s="23" t="s">
        <v>18</v>
      </c>
      <c r="L52" s="23" t="s">
        <v>28</v>
      </c>
      <c r="N52" s="16"/>
      <c r="O52" s="17"/>
      <c r="P52" s="17">
        <v>80</v>
      </c>
      <c r="Q52" s="22"/>
      <c r="R52" s="23"/>
    </row>
    <row r="53" spans="1:18" ht="12.75">
      <c r="A53" s="22">
        <v>46270</v>
      </c>
      <c r="B53" s="23" t="s">
        <v>14</v>
      </c>
      <c r="C53" s="23" t="s">
        <v>132</v>
      </c>
      <c r="D53" s="19">
        <v>34844</v>
      </c>
      <c r="E53" s="23" t="s">
        <v>24</v>
      </c>
      <c r="F53" s="23">
        <v>11993702079</v>
      </c>
      <c r="G53" s="23" t="s">
        <v>16</v>
      </c>
      <c r="H53" s="18">
        <v>45</v>
      </c>
      <c r="I53" s="23" t="s">
        <v>12</v>
      </c>
      <c r="J53" s="18">
        <v>195</v>
      </c>
      <c r="K53" s="23" t="s">
        <v>27</v>
      </c>
      <c r="L53" s="23" t="s">
        <v>27</v>
      </c>
      <c r="N53" s="16"/>
      <c r="O53" s="17"/>
      <c r="P53" s="17">
        <v>240</v>
      </c>
      <c r="Q53" s="22"/>
      <c r="R53" s="23"/>
    </row>
    <row r="54" spans="1:18" ht="12.75">
      <c r="A54" s="22">
        <v>46270</v>
      </c>
      <c r="B54" s="23" t="s">
        <v>14</v>
      </c>
      <c r="C54" s="23" t="s">
        <v>133</v>
      </c>
      <c r="D54" s="19">
        <v>37148</v>
      </c>
      <c r="E54" s="23" t="s">
        <v>24</v>
      </c>
      <c r="F54" s="23">
        <v>11990004740</v>
      </c>
      <c r="G54" s="23" t="s">
        <v>16</v>
      </c>
      <c r="H54" s="18">
        <v>45</v>
      </c>
      <c r="I54" s="23" t="s">
        <v>21</v>
      </c>
      <c r="J54" s="18">
        <v>10</v>
      </c>
      <c r="K54" s="23" t="s">
        <v>18</v>
      </c>
      <c r="L54" s="23" t="s">
        <v>28</v>
      </c>
      <c r="N54" s="16"/>
      <c r="O54" s="17"/>
      <c r="P54" s="17">
        <v>55</v>
      </c>
      <c r="Q54" s="22"/>
      <c r="R54" s="23"/>
    </row>
    <row r="55" spans="1:18" ht="12.75">
      <c r="A55" s="22">
        <v>46270</v>
      </c>
      <c r="B55" s="23" t="s">
        <v>23</v>
      </c>
      <c r="C55" s="23" t="s">
        <v>134</v>
      </c>
      <c r="D55" s="19">
        <v>34304</v>
      </c>
      <c r="E55" s="23" t="s">
        <v>24</v>
      </c>
      <c r="F55" s="23">
        <v>11979644776</v>
      </c>
      <c r="G55" s="23" t="s">
        <v>25</v>
      </c>
      <c r="H55" s="18">
        <v>80</v>
      </c>
      <c r="I55" s="23" t="s">
        <v>21</v>
      </c>
      <c r="J55" s="18">
        <v>10</v>
      </c>
      <c r="K55" s="23" t="s">
        <v>18</v>
      </c>
      <c r="L55" s="23" t="s">
        <v>39</v>
      </c>
      <c r="N55" s="16"/>
      <c r="O55" s="17"/>
      <c r="P55" s="17">
        <v>90</v>
      </c>
      <c r="Q55" s="22"/>
      <c r="R55" s="23"/>
    </row>
    <row r="56" spans="1:18" ht="12.75">
      <c r="A56" s="22">
        <v>46270</v>
      </c>
      <c r="B56" s="23" t="s">
        <v>23</v>
      </c>
      <c r="C56" s="23" t="s">
        <v>135</v>
      </c>
      <c r="D56" s="19">
        <v>35961</v>
      </c>
      <c r="E56" s="23" t="s">
        <v>24</v>
      </c>
      <c r="F56" s="23">
        <v>11978147895</v>
      </c>
      <c r="G56" s="23" t="s">
        <v>16</v>
      </c>
      <c r="H56" s="18">
        <v>45</v>
      </c>
      <c r="J56" s="18"/>
      <c r="K56" s="23" t="s">
        <v>18</v>
      </c>
      <c r="L56" s="23" t="s">
        <v>39</v>
      </c>
      <c r="N56" s="16"/>
      <c r="O56" s="17"/>
      <c r="P56" s="17">
        <v>45</v>
      </c>
      <c r="Q56" s="22"/>
      <c r="R56" s="23"/>
    </row>
    <row r="57" spans="1:18" ht="12.75">
      <c r="A57" s="22">
        <v>46270</v>
      </c>
      <c r="B57" s="23" t="s">
        <v>23</v>
      </c>
      <c r="C57" s="23" t="s">
        <v>136</v>
      </c>
      <c r="D57" s="19">
        <v>37678</v>
      </c>
      <c r="E57" s="23" t="s">
        <v>24</v>
      </c>
      <c r="F57" s="23">
        <v>21976608617</v>
      </c>
      <c r="G57" s="23" t="s">
        <v>16</v>
      </c>
      <c r="H57" s="18">
        <v>45</v>
      </c>
      <c r="J57" s="18"/>
      <c r="K57" s="23" t="s">
        <v>18</v>
      </c>
      <c r="L57" s="23" t="s">
        <v>39</v>
      </c>
      <c r="N57" s="16"/>
      <c r="O57" s="17"/>
      <c r="P57" s="17">
        <v>45</v>
      </c>
      <c r="Q57" s="22"/>
      <c r="R57" s="23"/>
    </row>
    <row r="58" spans="1:18" ht="12.75">
      <c r="A58" s="22">
        <v>46270</v>
      </c>
      <c r="B58" s="23" t="s">
        <v>14</v>
      </c>
      <c r="C58" s="23" t="s">
        <v>137</v>
      </c>
      <c r="D58" s="19">
        <v>34989</v>
      </c>
      <c r="E58" s="23" t="s">
        <v>24</v>
      </c>
      <c r="F58" s="23">
        <v>11932152052</v>
      </c>
      <c r="G58" s="23" t="s">
        <v>16</v>
      </c>
      <c r="H58" s="18">
        <v>45</v>
      </c>
      <c r="J58" s="18"/>
      <c r="K58" s="23" t="s">
        <v>18</v>
      </c>
      <c r="L58" s="23" t="s">
        <v>34</v>
      </c>
      <c r="N58" s="16"/>
      <c r="O58" s="17"/>
      <c r="P58" s="17">
        <v>45</v>
      </c>
      <c r="Q58" s="22"/>
      <c r="R58" s="23"/>
    </row>
    <row r="59" spans="1:18" ht="12.75">
      <c r="A59" s="22">
        <v>46270</v>
      </c>
      <c r="B59" s="23" t="s">
        <v>14</v>
      </c>
      <c r="C59" s="23" t="s">
        <v>138</v>
      </c>
      <c r="D59" s="19">
        <v>41243</v>
      </c>
      <c r="E59" s="23" t="s">
        <v>24</v>
      </c>
      <c r="F59" s="23">
        <v>11984616960</v>
      </c>
      <c r="G59" s="23" t="s">
        <v>16</v>
      </c>
      <c r="H59" s="18">
        <v>45</v>
      </c>
      <c r="J59" s="18"/>
      <c r="K59" s="23" t="s">
        <v>18</v>
      </c>
      <c r="L59" s="23" t="s">
        <v>34</v>
      </c>
      <c r="N59" s="16"/>
      <c r="O59" s="17"/>
      <c r="P59" s="17">
        <v>45</v>
      </c>
      <c r="Q59" s="22"/>
      <c r="R59" s="23"/>
    </row>
    <row r="60" spans="1:18" ht="12.75">
      <c r="A60" s="22">
        <v>46270</v>
      </c>
      <c r="B60" s="23" t="s">
        <v>14</v>
      </c>
      <c r="C60" s="23" t="s">
        <v>139</v>
      </c>
      <c r="D60" s="19">
        <v>35324</v>
      </c>
      <c r="E60" s="23" t="s">
        <v>24</v>
      </c>
      <c r="F60" s="23">
        <v>11978778175</v>
      </c>
      <c r="G60" s="23" t="s">
        <v>16</v>
      </c>
      <c r="H60" s="18">
        <v>45</v>
      </c>
      <c r="J60" s="18"/>
      <c r="K60" s="23" t="s">
        <v>18</v>
      </c>
      <c r="L60" s="23" t="s">
        <v>34</v>
      </c>
      <c r="N60" s="16"/>
      <c r="O60" s="17"/>
      <c r="P60" s="17">
        <v>45</v>
      </c>
      <c r="Q60" s="22"/>
      <c r="R60" s="23"/>
    </row>
    <row r="61" spans="1:18" ht="12.75">
      <c r="A61" s="22">
        <v>46271</v>
      </c>
      <c r="B61" s="23" t="s">
        <v>14</v>
      </c>
      <c r="C61" s="23" t="s">
        <v>140</v>
      </c>
      <c r="D61" s="19">
        <v>32645</v>
      </c>
      <c r="E61" s="23" t="s">
        <v>24</v>
      </c>
      <c r="F61" s="23">
        <v>11990213156</v>
      </c>
      <c r="G61" s="23" t="s">
        <v>16</v>
      </c>
      <c r="H61" s="18">
        <v>45</v>
      </c>
      <c r="I61" s="23" t="s">
        <v>141</v>
      </c>
      <c r="J61" s="18">
        <v>60</v>
      </c>
      <c r="K61" s="23" t="s">
        <v>18</v>
      </c>
      <c r="L61" s="23" t="s">
        <v>34</v>
      </c>
      <c r="N61" s="16"/>
      <c r="O61" s="17"/>
      <c r="P61" s="17">
        <v>105</v>
      </c>
      <c r="Q61" s="22"/>
      <c r="R61" s="23"/>
    </row>
    <row r="62" spans="1:18" ht="12.75">
      <c r="A62" s="22">
        <v>46271</v>
      </c>
      <c r="B62" s="23" t="s">
        <v>14</v>
      </c>
      <c r="C62" s="23" t="s">
        <v>142</v>
      </c>
      <c r="D62" s="19">
        <v>36593</v>
      </c>
      <c r="E62" s="23" t="s">
        <v>24</v>
      </c>
      <c r="F62" s="23">
        <v>11968102200</v>
      </c>
      <c r="G62" s="23" t="s">
        <v>16</v>
      </c>
      <c r="H62" s="18">
        <v>45</v>
      </c>
      <c r="J62" s="18"/>
      <c r="K62" s="23" t="s">
        <v>18</v>
      </c>
      <c r="L62" s="23" t="s">
        <v>34</v>
      </c>
      <c r="N62" s="16"/>
      <c r="O62" s="17"/>
      <c r="P62" s="17">
        <v>45</v>
      </c>
      <c r="Q62" s="22"/>
      <c r="R62" s="23"/>
    </row>
    <row r="63" spans="1:18" ht="12.75">
      <c r="A63" s="22">
        <v>46271</v>
      </c>
      <c r="B63" s="23" t="s">
        <v>23</v>
      </c>
      <c r="C63" s="23" t="s">
        <v>143</v>
      </c>
      <c r="D63" s="19">
        <v>35346</v>
      </c>
      <c r="E63" s="23" t="s">
        <v>24</v>
      </c>
      <c r="F63" s="23">
        <v>11954243714</v>
      </c>
      <c r="G63" s="23" t="s">
        <v>16</v>
      </c>
      <c r="H63" s="18">
        <v>45</v>
      </c>
      <c r="I63" s="23" t="s">
        <v>21</v>
      </c>
      <c r="J63" s="18">
        <v>10</v>
      </c>
      <c r="K63" s="23" t="s">
        <v>18</v>
      </c>
      <c r="L63" s="23" t="s">
        <v>28</v>
      </c>
      <c r="N63" s="16"/>
      <c r="O63" s="17"/>
      <c r="P63" s="17">
        <v>55</v>
      </c>
      <c r="Q63" s="22"/>
      <c r="R63" s="23"/>
    </row>
    <row r="64" spans="1:18" ht="12.75">
      <c r="A64" s="22">
        <v>46271</v>
      </c>
      <c r="B64" s="23" t="s">
        <v>23</v>
      </c>
      <c r="C64" s="23" t="s">
        <v>144</v>
      </c>
      <c r="D64" s="19">
        <v>35346</v>
      </c>
      <c r="E64" s="23" t="s">
        <v>24</v>
      </c>
      <c r="F64" s="23">
        <v>11996231672</v>
      </c>
      <c r="G64" s="23" t="s">
        <v>16</v>
      </c>
      <c r="H64" s="18">
        <v>45</v>
      </c>
      <c r="I64" s="23" t="s">
        <v>21</v>
      </c>
      <c r="J64" s="18">
        <v>10</v>
      </c>
      <c r="K64" s="23" t="s">
        <v>18</v>
      </c>
      <c r="L64" s="23" t="s">
        <v>39</v>
      </c>
      <c r="N64" s="16"/>
      <c r="O64" s="17"/>
      <c r="P64" s="17">
        <v>55</v>
      </c>
      <c r="Q64" s="22"/>
      <c r="R64" s="23"/>
    </row>
    <row r="65" spans="1:18" ht="12.75">
      <c r="A65" s="22">
        <v>46271</v>
      </c>
      <c r="B65" s="23" t="s">
        <v>14</v>
      </c>
      <c r="C65" s="23" t="s">
        <v>145</v>
      </c>
      <c r="D65" s="19">
        <v>29185</v>
      </c>
      <c r="E65" s="23" t="s">
        <v>24</v>
      </c>
      <c r="F65" s="23">
        <v>11981917436</v>
      </c>
      <c r="G65" s="23" t="s">
        <v>46</v>
      </c>
      <c r="H65" s="18">
        <v>30</v>
      </c>
      <c r="J65" s="18"/>
      <c r="K65" s="23" t="s">
        <v>18</v>
      </c>
      <c r="L65" s="23" t="s">
        <v>34</v>
      </c>
      <c r="N65" s="16"/>
      <c r="O65" s="17"/>
      <c r="P65" s="17">
        <v>30</v>
      </c>
      <c r="Q65" s="22"/>
      <c r="R65" s="23"/>
    </row>
    <row r="66" spans="1:18" ht="12.75">
      <c r="A66" s="22">
        <v>46273</v>
      </c>
      <c r="B66" s="23" t="s">
        <v>14</v>
      </c>
      <c r="C66" s="23" t="s">
        <v>146</v>
      </c>
      <c r="D66" s="19"/>
      <c r="E66" s="23" t="s">
        <v>24</v>
      </c>
      <c r="F66" s="23">
        <v>1197073395</v>
      </c>
      <c r="G66" s="23" t="s">
        <v>38</v>
      </c>
      <c r="H66" s="18">
        <v>70</v>
      </c>
      <c r="J66" s="18"/>
      <c r="K66" s="23" t="s">
        <v>18</v>
      </c>
      <c r="L66" s="23" t="s">
        <v>19</v>
      </c>
      <c r="N66" s="16"/>
      <c r="O66" s="17"/>
      <c r="P66" s="17">
        <v>70</v>
      </c>
      <c r="Q66" s="22"/>
      <c r="R66" s="23"/>
    </row>
    <row r="67" spans="1:18" ht="12.75">
      <c r="A67" s="22">
        <v>46273</v>
      </c>
      <c r="B67" s="23" t="s">
        <v>14</v>
      </c>
      <c r="C67" s="23" t="s">
        <v>147</v>
      </c>
      <c r="D67" s="19">
        <v>34983</v>
      </c>
      <c r="E67" s="23" t="s">
        <v>24</v>
      </c>
      <c r="F67" s="23">
        <v>11982755035</v>
      </c>
      <c r="G67" s="23" t="s">
        <v>38</v>
      </c>
      <c r="H67" s="18">
        <v>70</v>
      </c>
      <c r="J67" s="18"/>
      <c r="K67" s="23" t="s">
        <v>18</v>
      </c>
      <c r="L67" s="23" t="s">
        <v>34</v>
      </c>
      <c r="N67" s="16"/>
      <c r="O67" s="17"/>
      <c r="P67" s="17">
        <v>70</v>
      </c>
      <c r="Q67" s="22"/>
      <c r="R67" s="23"/>
    </row>
    <row r="68" spans="1:18" ht="12.75">
      <c r="A68" s="22">
        <v>46273</v>
      </c>
      <c r="B68" s="23" t="s">
        <v>14</v>
      </c>
      <c r="C68" s="23" t="s">
        <v>148</v>
      </c>
      <c r="D68" s="19">
        <v>29115</v>
      </c>
      <c r="E68" s="23" t="s">
        <v>24</v>
      </c>
      <c r="F68" s="23">
        <v>11963562729</v>
      </c>
      <c r="G68" s="23" t="s">
        <v>16</v>
      </c>
      <c r="H68" s="18">
        <v>45</v>
      </c>
      <c r="I68" s="23" t="s">
        <v>21</v>
      </c>
      <c r="J68" s="18">
        <v>10</v>
      </c>
      <c r="K68" s="23" t="s">
        <v>18</v>
      </c>
      <c r="L68" s="23" t="s">
        <v>34</v>
      </c>
      <c r="N68" s="16"/>
      <c r="O68" s="17"/>
      <c r="P68" s="17">
        <v>55</v>
      </c>
      <c r="Q68" s="22"/>
      <c r="R68" s="23"/>
    </row>
    <row r="69" spans="1:18" ht="12.75">
      <c r="A69" s="22">
        <v>46273</v>
      </c>
      <c r="B69" s="23" t="s">
        <v>23</v>
      </c>
      <c r="C69" s="23" t="s">
        <v>149</v>
      </c>
      <c r="D69" s="19"/>
      <c r="E69" s="23" t="s">
        <v>24</v>
      </c>
      <c r="G69" s="23" t="s">
        <v>25</v>
      </c>
      <c r="H69" s="18">
        <v>80</v>
      </c>
      <c r="J69" s="18"/>
      <c r="K69" s="23" t="s">
        <v>27</v>
      </c>
      <c r="L69" s="23" t="s">
        <v>27</v>
      </c>
      <c r="N69" s="16"/>
      <c r="O69" s="17"/>
      <c r="P69" s="17">
        <v>80</v>
      </c>
      <c r="Q69" s="22"/>
      <c r="R69" s="23"/>
    </row>
    <row r="70" spans="1:18" ht="12.75">
      <c r="A70" s="22">
        <v>46273</v>
      </c>
      <c r="B70" s="23" t="s">
        <v>14</v>
      </c>
      <c r="C70" s="23" t="s">
        <v>150</v>
      </c>
      <c r="D70" s="19">
        <v>34213</v>
      </c>
      <c r="E70" s="23" t="s">
        <v>24</v>
      </c>
      <c r="F70" s="23">
        <v>11947547972</v>
      </c>
      <c r="G70" s="23" t="s">
        <v>25</v>
      </c>
      <c r="H70" s="18">
        <v>80</v>
      </c>
      <c r="J70" s="18"/>
      <c r="K70" s="23" t="s">
        <v>18</v>
      </c>
      <c r="L70" s="23" t="s">
        <v>34</v>
      </c>
      <c r="N70" s="16"/>
      <c r="O70" s="17"/>
      <c r="P70" s="17">
        <v>80</v>
      </c>
      <c r="Q70" s="22"/>
      <c r="R70" s="23"/>
    </row>
    <row r="71" spans="1:18" ht="12.75">
      <c r="A71" s="22">
        <v>46274</v>
      </c>
      <c r="B71" s="23" t="s">
        <v>23</v>
      </c>
      <c r="C71" s="23" t="s">
        <v>151</v>
      </c>
      <c r="D71" s="19"/>
      <c r="E71" s="23" t="s">
        <v>24</v>
      </c>
      <c r="F71" s="23">
        <v>11976252001</v>
      </c>
      <c r="G71" s="23" t="s">
        <v>16</v>
      </c>
      <c r="H71" s="18">
        <v>44.65</v>
      </c>
      <c r="J71" s="18"/>
      <c r="K71" s="23" t="s">
        <v>18</v>
      </c>
      <c r="L71" s="23" t="s">
        <v>39</v>
      </c>
      <c r="N71" s="16"/>
      <c r="O71" s="17"/>
      <c r="P71" s="17">
        <v>44.7</v>
      </c>
      <c r="Q71" s="22"/>
      <c r="R71" s="23"/>
    </row>
    <row r="72" spans="1:18" ht="12.75">
      <c r="A72" s="22">
        <v>46273</v>
      </c>
      <c r="B72" s="23" t="s">
        <v>14</v>
      </c>
      <c r="C72" s="23" t="s">
        <v>152</v>
      </c>
      <c r="D72" s="19">
        <v>39677</v>
      </c>
      <c r="E72" s="23" t="s">
        <v>24</v>
      </c>
      <c r="F72" s="23">
        <v>11965795779</v>
      </c>
      <c r="G72" s="23" t="s">
        <v>16</v>
      </c>
      <c r="H72" s="18">
        <v>45</v>
      </c>
      <c r="J72" s="18"/>
      <c r="K72" s="23" t="s">
        <v>18</v>
      </c>
      <c r="L72" s="23" t="s">
        <v>34</v>
      </c>
      <c r="N72" s="16"/>
      <c r="O72" s="17"/>
      <c r="P72" s="17">
        <v>45</v>
      </c>
      <c r="Q72" s="22"/>
      <c r="R72" s="23"/>
    </row>
    <row r="73" spans="1:18" ht="12.75">
      <c r="A73" s="22">
        <v>46273</v>
      </c>
      <c r="B73" s="23" t="s">
        <v>14</v>
      </c>
      <c r="C73" s="23" t="s">
        <v>153</v>
      </c>
      <c r="D73" s="19">
        <v>43180</v>
      </c>
      <c r="E73" s="23" t="s">
        <v>15</v>
      </c>
      <c r="G73" s="23" t="s">
        <v>16</v>
      </c>
      <c r="H73" s="18">
        <v>45</v>
      </c>
      <c r="J73" s="18"/>
      <c r="K73" s="23" t="s">
        <v>18</v>
      </c>
      <c r="L73" s="23" t="s">
        <v>39</v>
      </c>
      <c r="N73" s="16"/>
      <c r="O73" s="17"/>
      <c r="P73" s="17">
        <v>45</v>
      </c>
      <c r="Q73" s="22"/>
      <c r="R73" s="23"/>
    </row>
    <row r="74" spans="1:18" ht="12.75">
      <c r="A74" s="22">
        <v>46273</v>
      </c>
      <c r="B74" s="23" t="s">
        <v>23</v>
      </c>
      <c r="C74" s="23" t="s">
        <v>154</v>
      </c>
      <c r="D74" s="19"/>
      <c r="E74" s="23" t="s">
        <v>24</v>
      </c>
      <c r="F74" s="23">
        <v>119617793</v>
      </c>
      <c r="G74" s="23" t="s">
        <v>25</v>
      </c>
      <c r="H74" s="18">
        <v>80</v>
      </c>
      <c r="I74" s="23" t="s">
        <v>141</v>
      </c>
      <c r="J74" s="18">
        <v>70</v>
      </c>
      <c r="K74" s="23" t="s">
        <v>18</v>
      </c>
      <c r="L74" s="23" t="s">
        <v>28</v>
      </c>
      <c r="N74" s="16"/>
      <c r="O74" s="17"/>
      <c r="P74" s="17">
        <v>150</v>
      </c>
      <c r="Q74" s="22"/>
      <c r="R74" s="23"/>
    </row>
    <row r="75" spans="1:18" ht="12.75">
      <c r="A75" s="22">
        <v>46274</v>
      </c>
      <c r="B75" s="23" t="s">
        <v>14</v>
      </c>
      <c r="C75" s="23" t="s">
        <v>155</v>
      </c>
      <c r="D75" s="19"/>
      <c r="E75" s="23" t="s">
        <v>24</v>
      </c>
      <c r="F75" s="23">
        <v>11948276973</v>
      </c>
      <c r="G75" s="23" t="s">
        <v>16</v>
      </c>
      <c r="H75" s="18">
        <v>45</v>
      </c>
      <c r="I75" s="23" t="s">
        <v>21</v>
      </c>
      <c r="J75" s="18">
        <v>10</v>
      </c>
      <c r="K75" s="23" t="s">
        <v>18</v>
      </c>
      <c r="L75" s="23" t="s">
        <v>34</v>
      </c>
      <c r="N75" s="16"/>
      <c r="O75" s="17"/>
      <c r="P75" s="17">
        <v>55</v>
      </c>
      <c r="Q75" s="22"/>
      <c r="R75" s="23"/>
    </row>
    <row r="76" spans="1:18" ht="12.75">
      <c r="A76" s="22">
        <v>46274</v>
      </c>
      <c r="B76" s="23" t="s">
        <v>23</v>
      </c>
      <c r="C76" s="23" t="s">
        <v>156</v>
      </c>
      <c r="D76" s="19"/>
      <c r="E76" s="23" t="s">
        <v>24</v>
      </c>
      <c r="F76" s="23">
        <v>11963101550</v>
      </c>
      <c r="G76" s="23" t="s">
        <v>25</v>
      </c>
      <c r="H76" s="18">
        <v>80</v>
      </c>
      <c r="J76" s="18"/>
      <c r="K76" s="23" t="s">
        <v>18</v>
      </c>
      <c r="L76" s="23" t="s">
        <v>34</v>
      </c>
      <c r="N76" s="16"/>
      <c r="O76" s="17"/>
      <c r="P76" s="17">
        <v>80</v>
      </c>
      <c r="Q76" s="22"/>
      <c r="R76" s="23"/>
    </row>
    <row r="77" spans="1:18" ht="12.75">
      <c r="A77" s="22">
        <v>46274</v>
      </c>
      <c r="B77" s="23" t="s">
        <v>14</v>
      </c>
      <c r="C77" s="23" t="s">
        <v>157</v>
      </c>
      <c r="D77" s="19"/>
      <c r="E77" s="23" t="s">
        <v>24</v>
      </c>
      <c r="G77" s="23" t="s">
        <v>32</v>
      </c>
      <c r="H77" s="18">
        <v>35</v>
      </c>
      <c r="J77" s="18"/>
      <c r="K77" s="23" t="s">
        <v>27</v>
      </c>
      <c r="L77" s="23" t="s">
        <v>27</v>
      </c>
      <c r="N77" s="16"/>
      <c r="O77" s="17"/>
      <c r="P77" s="17">
        <v>35</v>
      </c>
      <c r="Q77" s="22"/>
      <c r="R77" s="23"/>
    </row>
    <row r="78" spans="1:18" ht="12.75">
      <c r="A78" s="22">
        <v>46274</v>
      </c>
      <c r="B78" s="23" t="s">
        <v>14</v>
      </c>
      <c r="C78" s="23" t="s">
        <v>158</v>
      </c>
      <c r="D78" s="19">
        <v>33112</v>
      </c>
      <c r="E78" s="23" t="s">
        <v>24</v>
      </c>
      <c r="G78" s="23" t="s">
        <v>16</v>
      </c>
      <c r="H78" s="18">
        <v>45</v>
      </c>
      <c r="I78" s="23" t="s">
        <v>21</v>
      </c>
      <c r="J78" s="18">
        <v>10</v>
      </c>
      <c r="K78" s="23" t="s">
        <v>18</v>
      </c>
      <c r="L78" s="23" t="s">
        <v>34</v>
      </c>
      <c r="N78" s="16"/>
      <c r="O78" s="17"/>
      <c r="P78" s="17">
        <v>55</v>
      </c>
      <c r="Q78" s="22"/>
      <c r="R78" s="23"/>
    </row>
    <row r="79" spans="1:18" ht="12.75">
      <c r="A79" s="22">
        <v>46274</v>
      </c>
      <c r="B79" s="23" t="s">
        <v>14</v>
      </c>
      <c r="C79" s="23" t="s">
        <v>159</v>
      </c>
      <c r="D79" s="19">
        <v>32039</v>
      </c>
      <c r="E79" s="23" t="s">
        <v>24</v>
      </c>
      <c r="F79" s="23">
        <v>11952032420</v>
      </c>
      <c r="G79" s="23" t="s">
        <v>16</v>
      </c>
      <c r="H79" s="18">
        <v>45</v>
      </c>
      <c r="J79" s="18"/>
      <c r="K79" s="23" t="s">
        <v>18</v>
      </c>
      <c r="L79" s="23" t="s">
        <v>34</v>
      </c>
      <c r="N79" s="16"/>
      <c r="O79" s="17"/>
      <c r="P79" s="17">
        <v>45</v>
      </c>
      <c r="Q79" s="22"/>
      <c r="R79" s="23"/>
    </row>
    <row r="80" spans="1:18" ht="12.75">
      <c r="A80" s="22">
        <v>46274</v>
      </c>
      <c r="B80" s="23" t="s">
        <v>23</v>
      </c>
      <c r="C80" s="23" t="s">
        <v>160</v>
      </c>
      <c r="D80" s="19">
        <v>36855</v>
      </c>
      <c r="E80" s="23" t="s">
        <v>24</v>
      </c>
      <c r="F80" s="23">
        <v>11984708838</v>
      </c>
      <c r="G80" s="23" t="s">
        <v>16</v>
      </c>
      <c r="H80" s="18">
        <v>45</v>
      </c>
      <c r="I80" s="23" t="s">
        <v>21</v>
      </c>
      <c r="J80" s="18">
        <v>10</v>
      </c>
      <c r="K80" s="23" t="s">
        <v>18</v>
      </c>
      <c r="L80" s="23" t="s">
        <v>34</v>
      </c>
      <c r="N80" s="16"/>
      <c r="O80" s="17"/>
      <c r="P80" s="17">
        <v>55</v>
      </c>
      <c r="Q80" s="22"/>
      <c r="R80" s="23"/>
    </row>
    <row r="81" spans="1:18" ht="12.75">
      <c r="A81" s="22">
        <v>46274</v>
      </c>
      <c r="B81" s="23" t="s">
        <v>14</v>
      </c>
      <c r="C81" s="23" t="s">
        <v>161</v>
      </c>
      <c r="D81" s="19"/>
      <c r="E81" s="23" t="s">
        <v>24</v>
      </c>
      <c r="F81" s="23">
        <v>11932238080</v>
      </c>
      <c r="G81" s="23" t="s">
        <v>16</v>
      </c>
      <c r="H81" s="18">
        <v>45</v>
      </c>
      <c r="J81" s="18"/>
      <c r="K81" s="23" t="s">
        <v>18</v>
      </c>
      <c r="L81" s="23" t="s">
        <v>28</v>
      </c>
      <c r="N81" s="16"/>
      <c r="O81" s="17"/>
      <c r="P81" s="17">
        <v>45</v>
      </c>
      <c r="Q81" s="22"/>
      <c r="R81" s="23"/>
    </row>
    <row r="82" spans="1:18" ht="12.75">
      <c r="A82" s="22">
        <v>46274</v>
      </c>
      <c r="B82" s="23" t="s">
        <v>23</v>
      </c>
      <c r="C82" s="23" t="s">
        <v>162</v>
      </c>
      <c r="D82" s="19">
        <v>33525</v>
      </c>
      <c r="E82" s="23" t="s">
        <v>24</v>
      </c>
      <c r="F82" s="23">
        <v>11951069136</v>
      </c>
      <c r="G82" s="23" t="s">
        <v>25</v>
      </c>
      <c r="H82" s="18">
        <v>80</v>
      </c>
      <c r="J82" s="18"/>
      <c r="K82" s="23" t="s">
        <v>27</v>
      </c>
      <c r="L82" s="23" t="s">
        <v>27</v>
      </c>
      <c r="N82" s="16"/>
      <c r="O82" s="17"/>
      <c r="P82" s="17">
        <v>80</v>
      </c>
      <c r="Q82" s="22"/>
      <c r="R82" s="23"/>
    </row>
    <row r="83" spans="1:18" ht="12.75">
      <c r="A83" s="22">
        <v>46274</v>
      </c>
      <c r="B83" s="23" t="s">
        <v>14</v>
      </c>
      <c r="C83" s="23" t="s">
        <v>163</v>
      </c>
      <c r="D83" s="19">
        <v>28179</v>
      </c>
      <c r="E83" s="23" t="s">
        <v>24</v>
      </c>
      <c r="G83" s="23" t="s">
        <v>16</v>
      </c>
      <c r="H83" s="18">
        <v>45</v>
      </c>
      <c r="J83" s="18"/>
      <c r="K83" s="23" t="s">
        <v>27</v>
      </c>
      <c r="L83" s="23" t="s">
        <v>27</v>
      </c>
      <c r="N83" s="16"/>
      <c r="O83" s="17"/>
      <c r="P83" s="17">
        <v>45</v>
      </c>
      <c r="Q83" s="22"/>
      <c r="R83" s="23"/>
    </row>
    <row r="84" spans="1:18" ht="12.75">
      <c r="A84" s="22">
        <v>46274</v>
      </c>
      <c r="B84" s="23" t="s">
        <v>14</v>
      </c>
      <c r="C84" s="23" t="s">
        <v>164</v>
      </c>
      <c r="D84" s="19">
        <v>35311</v>
      </c>
      <c r="E84" s="23" t="s">
        <v>24</v>
      </c>
      <c r="F84" s="23">
        <v>11915132069</v>
      </c>
      <c r="G84" s="23" t="s">
        <v>16</v>
      </c>
      <c r="H84" s="18">
        <v>45</v>
      </c>
      <c r="I84" s="23" t="s">
        <v>87</v>
      </c>
      <c r="J84" s="18">
        <v>15</v>
      </c>
      <c r="K84" s="23" t="s">
        <v>18</v>
      </c>
      <c r="L84" s="23" t="s">
        <v>34</v>
      </c>
      <c r="N84" s="16"/>
      <c r="O84" s="17"/>
      <c r="P84" s="17">
        <v>60</v>
      </c>
      <c r="Q84" s="22"/>
      <c r="R84" s="23"/>
    </row>
    <row r="85" spans="1:18" ht="12.75">
      <c r="A85" s="22">
        <v>46275</v>
      </c>
      <c r="B85" s="23" t="s">
        <v>14</v>
      </c>
      <c r="C85" s="23" t="s">
        <v>165</v>
      </c>
      <c r="D85" s="19">
        <v>34705</v>
      </c>
      <c r="E85" s="23" t="s">
        <v>24</v>
      </c>
      <c r="F85" s="23">
        <v>11970388527</v>
      </c>
      <c r="G85" s="23" t="s">
        <v>16</v>
      </c>
      <c r="H85" s="18">
        <v>45</v>
      </c>
      <c r="I85" s="23" t="s">
        <v>21</v>
      </c>
      <c r="J85" s="18">
        <v>10</v>
      </c>
      <c r="K85" s="23" t="s">
        <v>18</v>
      </c>
      <c r="L85" s="23" t="s">
        <v>34</v>
      </c>
      <c r="N85" s="16"/>
      <c r="O85" s="17"/>
      <c r="P85" s="17">
        <v>55</v>
      </c>
      <c r="Q85" s="22"/>
      <c r="R85" s="23"/>
    </row>
    <row r="86" spans="1:18" ht="12.75">
      <c r="A86" s="22">
        <v>46275</v>
      </c>
      <c r="B86" s="23" t="s">
        <v>23</v>
      </c>
      <c r="C86" s="23" t="s">
        <v>166</v>
      </c>
      <c r="D86" s="19">
        <v>37235</v>
      </c>
      <c r="E86" s="23" t="s">
        <v>15</v>
      </c>
      <c r="F86" s="23">
        <v>1192030764</v>
      </c>
      <c r="G86" s="23" t="s">
        <v>16</v>
      </c>
      <c r="H86" s="18">
        <v>45</v>
      </c>
      <c r="J86" s="18"/>
      <c r="K86" s="23" t="s">
        <v>18</v>
      </c>
      <c r="L86" s="23" t="s">
        <v>39</v>
      </c>
      <c r="N86" s="16"/>
      <c r="O86" s="17"/>
      <c r="P86" s="17">
        <v>45</v>
      </c>
      <c r="Q86" s="22"/>
      <c r="R86" s="23"/>
    </row>
    <row r="87" spans="1:18" ht="12.75">
      <c r="A87" s="22">
        <v>46275</v>
      </c>
      <c r="B87" s="23" t="s">
        <v>23</v>
      </c>
      <c r="C87" s="23" t="s">
        <v>167</v>
      </c>
      <c r="D87" s="19">
        <v>29147</v>
      </c>
      <c r="E87" s="23" t="s">
        <v>15</v>
      </c>
      <c r="F87" s="23">
        <v>11998099274</v>
      </c>
      <c r="G87" s="23" t="s">
        <v>25</v>
      </c>
      <c r="H87" s="18">
        <v>80</v>
      </c>
      <c r="J87" s="18"/>
      <c r="K87" s="23" t="s">
        <v>18</v>
      </c>
      <c r="L87" s="23" t="s">
        <v>39</v>
      </c>
      <c r="N87" s="16"/>
      <c r="O87" s="17"/>
      <c r="P87" s="17">
        <v>80</v>
      </c>
      <c r="Q87" s="22"/>
      <c r="R87" s="23"/>
    </row>
    <row r="88" spans="1:18" ht="12.75">
      <c r="A88" s="22">
        <v>46275</v>
      </c>
      <c r="B88" s="23" t="s">
        <v>14</v>
      </c>
      <c r="C88" s="23" t="s">
        <v>168</v>
      </c>
      <c r="D88" s="19">
        <v>37255</v>
      </c>
      <c r="E88" s="23" t="s">
        <v>24</v>
      </c>
      <c r="F88" s="23">
        <v>11958764480</v>
      </c>
      <c r="G88" s="23" t="s">
        <v>16</v>
      </c>
      <c r="H88" s="18">
        <v>45</v>
      </c>
      <c r="J88" s="18"/>
      <c r="K88" s="23" t="s">
        <v>18</v>
      </c>
      <c r="L88" s="23" t="s">
        <v>39</v>
      </c>
      <c r="N88" s="16"/>
      <c r="O88" s="17"/>
      <c r="P88" s="17">
        <v>45</v>
      </c>
      <c r="Q88" s="22"/>
      <c r="R88" s="23"/>
    </row>
    <row r="89" spans="1:18" ht="12.75">
      <c r="A89" s="22">
        <v>46275</v>
      </c>
      <c r="B89" s="23" t="s">
        <v>23</v>
      </c>
      <c r="C89" s="23" t="s">
        <v>169</v>
      </c>
      <c r="D89" s="19">
        <v>33922</v>
      </c>
      <c r="E89" s="23" t="s">
        <v>24</v>
      </c>
      <c r="F89" s="23">
        <v>77988077846</v>
      </c>
      <c r="G89" s="23" t="s">
        <v>32</v>
      </c>
      <c r="H89" s="18">
        <v>35</v>
      </c>
      <c r="I89" s="23" t="s">
        <v>12</v>
      </c>
      <c r="J89" s="18">
        <v>20</v>
      </c>
      <c r="K89" s="23" t="s">
        <v>27</v>
      </c>
      <c r="L89" s="23" t="s">
        <v>27</v>
      </c>
      <c r="N89" s="16"/>
      <c r="O89" s="17"/>
      <c r="P89" s="17">
        <v>55</v>
      </c>
      <c r="Q89" s="22"/>
      <c r="R89" s="23"/>
    </row>
    <row r="90" spans="1:18" ht="12.75">
      <c r="A90" s="22">
        <v>46275</v>
      </c>
      <c r="B90" s="23" t="s">
        <v>14</v>
      </c>
      <c r="C90" s="23" t="s">
        <v>170</v>
      </c>
      <c r="D90" s="19">
        <v>34707</v>
      </c>
      <c r="E90" s="23" t="s">
        <v>24</v>
      </c>
      <c r="F90" s="23">
        <v>11990241143</v>
      </c>
      <c r="G90" s="23" t="s">
        <v>38</v>
      </c>
      <c r="H90" s="18">
        <v>70</v>
      </c>
      <c r="J90" s="18"/>
      <c r="K90" s="23" t="s">
        <v>18</v>
      </c>
      <c r="L90" s="23" t="s">
        <v>27</v>
      </c>
      <c r="N90" s="16"/>
      <c r="O90" s="17"/>
      <c r="P90" s="17">
        <v>70</v>
      </c>
      <c r="Q90" s="22"/>
      <c r="R90" s="23"/>
    </row>
    <row r="91" spans="1:18" ht="12.75">
      <c r="A91" s="22">
        <v>46275</v>
      </c>
      <c r="B91" s="23" t="s">
        <v>14</v>
      </c>
      <c r="C91" s="23" t="s">
        <v>98</v>
      </c>
      <c r="D91" s="19"/>
      <c r="E91" s="23" t="s">
        <v>24</v>
      </c>
      <c r="F91" s="23">
        <v>11976436368</v>
      </c>
      <c r="G91" s="23" t="s">
        <v>25</v>
      </c>
      <c r="H91" s="18">
        <v>80</v>
      </c>
      <c r="J91" s="18"/>
      <c r="K91" s="23" t="s">
        <v>27</v>
      </c>
      <c r="L91" s="23" t="s">
        <v>27</v>
      </c>
      <c r="N91" s="16"/>
      <c r="O91" s="17"/>
      <c r="P91" s="17">
        <v>80</v>
      </c>
      <c r="Q91" s="22"/>
      <c r="R91" s="23"/>
    </row>
    <row r="92" spans="1:18" ht="12.75">
      <c r="A92" s="22">
        <v>46275</v>
      </c>
      <c r="B92" s="23" t="s">
        <v>23</v>
      </c>
      <c r="C92" s="23" t="s">
        <v>171</v>
      </c>
      <c r="D92" s="19">
        <v>35649</v>
      </c>
      <c r="E92" s="23" t="s">
        <v>24</v>
      </c>
      <c r="F92" s="23">
        <v>11913244499</v>
      </c>
      <c r="G92" s="23" t="s">
        <v>16</v>
      </c>
      <c r="H92" s="18">
        <v>45</v>
      </c>
      <c r="J92" s="18"/>
      <c r="K92" s="23" t="s">
        <v>18</v>
      </c>
      <c r="L92" s="23" t="s">
        <v>28</v>
      </c>
      <c r="N92" s="16"/>
      <c r="O92" s="17"/>
      <c r="P92" s="17">
        <v>45</v>
      </c>
      <c r="Q92" s="22"/>
      <c r="R92" s="23"/>
    </row>
    <row r="93" spans="1:18" ht="12.75">
      <c r="A93" s="22">
        <v>46275</v>
      </c>
      <c r="B93" s="23" t="s">
        <v>14</v>
      </c>
      <c r="C93" s="23" t="s">
        <v>172</v>
      </c>
      <c r="D93" s="19">
        <v>45335</v>
      </c>
      <c r="E93" s="23" t="s">
        <v>24</v>
      </c>
      <c r="F93" s="23">
        <v>11954680425</v>
      </c>
      <c r="G93" s="23" t="s">
        <v>16</v>
      </c>
      <c r="H93" s="18">
        <v>45</v>
      </c>
      <c r="J93" s="18"/>
      <c r="K93" s="23" t="s">
        <v>18</v>
      </c>
      <c r="L93" s="23" t="s">
        <v>34</v>
      </c>
      <c r="N93" s="16"/>
      <c r="O93" s="17"/>
      <c r="P93" s="17">
        <v>45</v>
      </c>
      <c r="Q93" s="22"/>
      <c r="R93" s="23"/>
    </row>
    <row r="94" spans="1:18" ht="12.75">
      <c r="A94" s="22">
        <v>46275</v>
      </c>
      <c r="B94" s="23" t="s">
        <v>14</v>
      </c>
      <c r="C94" s="23" t="s">
        <v>173</v>
      </c>
      <c r="D94" s="19"/>
      <c r="E94" s="23" t="s">
        <v>24</v>
      </c>
      <c r="G94" s="23" t="s">
        <v>16</v>
      </c>
      <c r="H94" s="18">
        <v>45</v>
      </c>
      <c r="J94" s="18"/>
      <c r="K94" s="23" t="s">
        <v>18</v>
      </c>
      <c r="L94" s="23" t="s">
        <v>34</v>
      </c>
      <c r="N94" s="16"/>
      <c r="O94" s="17"/>
      <c r="P94" s="17">
        <v>45</v>
      </c>
      <c r="Q94" s="22"/>
      <c r="R94" s="23"/>
    </row>
    <row r="95" spans="1:18" ht="12.75">
      <c r="A95" s="22">
        <v>46275</v>
      </c>
      <c r="B95" s="23" t="s">
        <v>14</v>
      </c>
      <c r="C95" s="23" t="s">
        <v>174</v>
      </c>
      <c r="D95" s="19"/>
      <c r="E95" s="23" t="s">
        <v>24</v>
      </c>
      <c r="G95" s="23" t="s">
        <v>38</v>
      </c>
      <c r="H95" s="18">
        <v>70</v>
      </c>
      <c r="J95" s="18"/>
      <c r="K95" s="23" t="s">
        <v>27</v>
      </c>
      <c r="L95" s="23" t="s">
        <v>27</v>
      </c>
      <c r="N95" s="16"/>
      <c r="O95" s="17"/>
      <c r="P95" s="17">
        <v>70</v>
      </c>
      <c r="Q95" s="22"/>
      <c r="R95" s="23"/>
    </row>
    <row r="96" spans="1:18" ht="12.75">
      <c r="A96" s="22">
        <v>46276</v>
      </c>
      <c r="B96" s="23" t="s">
        <v>14</v>
      </c>
      <c r="C96" s="23" t="s">
        <v>114</v>
      </c>
      <c r="D96" s="19"/>
      <c r="E96" s="23" t="s">
        <v>24</v>
      </c>
      <c r="G96" s="23" t="s">
        <v>16</v>
      </c>
      <c r="H96" s="18">
        <v>45</v>
      </c>
      <c r="I96" s="23" t="s">
        <v>30</v>
      </c>
      <c r="J96" s="18">
        <v>40</v>
      </c>
      <c r="K96" s="23" t="s">
        <v>27</v>
      </c>
      <c r="L96" s="23" t="s">
        <v>27</v>
      </c>
      <c r="N96" s="16"/>
      <c r="O96" s="17"/>
      <c r="P96" s="17">
        <v>85</v>
      </c>
      <c r="Q96" s="22"/>
      <c r="R96" s="23"/>
    </row>
    <row r="97" spans="1:18" ht="12.75">
      <c r="A97" s="22">
        <v>46276</v>
      </c>
      <c r="B97" s="23" t="s">
        <v>23</v>
      </c>
      <c r="C97" s="23" t="s">
        <v>175</v>
      </c>
      <c r="D97" s="19"/>
      <c r="E97" s="23" t="s">
        <v>24</v>
      </c>
      <c r="G97" s="23" t="s">
        <v>38</v>
      </c>
      <c r="H97" s="18">
        <v>70</v>
      </c>
      <c r="J97" s="18"/>
      <c r="K97" s="23" t="s">
        <v>18</v>
      </c>
      <c r="L97" s="23" t="s">
        <v>39</v>
      </c>
      <c r="N97" s="16"/>
      <c r="O97" s="17"/>
      <c r="P97" s="17">
        <v>70</v>
      </c>
      <c r="Q97" s="22"/>
      <c r="R97" s="23"/>
    </row>
    <row r="98" spans="1:18" ht="12.75">
      <c r="A98" s="22">
        <v>46276</v>
      </c>
      <c r="B98" s="23" t="s">
        <v>23</v>
      </c>
      <c r="C98" s="23" t="s">
        <v>176</v>
      </c>
      <c r="D98" s="19">
        <v>36634</v>
      </c>
      <c r="E98" s="23" t="s">
        <v>24</v>
      </c>
      <c r="F98" s="23">
        <v>11999645370</v>
      </c>
      <c r="G98" s="23" t="s">
        <v>16</v>
      </c>
      <c r="H98" s="18">
        <v>45</v>
      </c>
      <c r="J98" s="18"/>
      <c r="K98" s="23" t="s">
        <v>18</v>
      </c>
      <c r="L98" s="23" t="s">
        <v>28</v>
      </c>
      <c r="N98" s="16"/>
      <c r="O98" s="17"/>
      <c r="P98" s="17">
        <v>45</v>
      </c>
      <c r="Q98" s="22"/>
      <c r="R98" s="23"/>
    </row>
    <row r="99" spans="1:18" ht="12.75">
      <c r="A99" s="22">
        <v>46276</v>
      </c>
      <c r="B99" s="23" t="s">
        <v>14</v>
      </c>
      <c r="C99" s="23" t="s">
        <v>177</v>
      </c>
      <c r="D99" s="19"/>
      <c r="E99" s="23" t="s">
        <v>24</v>
      </c>
      <c r="G99" s="23" t="s">
        <v>16</v>
      </c>
      <c r="H99" s="18">
        <v>45</v>
      </c>
      <c r="J99" s="18"/>
      <c r="K99" s="23" t="s">
        <v>18</v>
      </c>
      <c r="L99" s="23" t="s">
        <v>34</v>
      </c>
      <c r="N99" s="16"/>
      <c r="O99" s="17"/>
      <c r="P99" s="17">
        <v>45</v>
      </c>
      <c r="Q99" s="22"/>
      <c r="R99" s="23"/>
    </row>
    <row r="100" spans="1:18" ht="12.75">
      <c r="A100" s="22">
        <v>46276</v>
      </c>
      <c r="B100" s="23" t="s">
        <v>23</v>
      </c>
      <c r="C100" s="23" t="s">
        <v>178</v>
      </c>
      <c r="D100" s="19">
        <v>34215</v>
      </c>
      <c r="E100" s="23" t="s">
        <v>24</v>
      </c>
      <c r="F100" s="23">
        <v>11951488924</v>
      </c>
      <c r="G100" s="23" t="s">
        <v>32</v>
      </c>
      <c r="H100" s="18">
        <v>35</v>
      </c>
      <c r="J100" s="18"/>
      <c r="K100" s="23" t="s">
        <v>27</v>
      </c>
      <c r="L100" s="23" t="s">
        <v>27</v>
      </c>
      <c r="N100" s="16"/>
      <c r="O100" s="17"/>
      <c r="P100" s="17">
        <v>35</v>
      </c>
      <c r="Q100" s="22"/>
      <c r="R100" s="23"/>
    </row>
    <row r="101" spans="1:18" ht="12.75">
      <c r="A101" s="22">
        <v>46276</v>
      </c>
      <c r="B101" s="23" t="s">
        <v>23</v>
      </c>
      <c r="C101" s="23" t="s">
        <v>179</v>
      </c>
      <c r="D101" s="19"/>
      <c r="E101" s="23" t="s">
        <v>24</v>
      </c>
      <c r="G101" s="23" t="s">
        <v>46</v>
      </c>
      <c r="H101" s="18">
        <v>30</v>
      </c>
      <c r="J101" s="18"/>
      <c r="K101" s="23" t="s">
        <v>18</v>
      </c>
      <c r="L101" s="23" t="s">
        <v>39</v>
      </c>
      <c r="N101" s="16"/>
      <c r="O101" s="17"/>
      <c r="P101" s="17">
        <v>30</v>
      </c>
      <c r="Q101" s="22"/>
      <c r="R101" s="23"/>
    </row>
    <row r="102" spans="1:18" ht="12.75">
      <c r="A102" s="22">
        <v>46276</v>
      </c>
      <c r="B102" s="23" t="s">
        <v>14</v>
      </c>
      <c r="C102" s="23" t="s">
        <v>132</v>
      </c>
      <c r="D102" s="19">
        <v>34844</v>
      </c>
      <c r="E102" s="23" t="s">
        <v>24</v>
      </c>
      <c r="G102" s="23" t="s">
        <v>25</v>
      </c>
      <c r="H102" s="18">
        <v>80</v>
      </c>
      <c r="I102" s="23" t="s">
        <v>141</v>
      </c>
      <c r="J102" s="18">
        <v>60</v>
      </c>
      <c r="K102" s="23" t="s">
        <v>27</v>
      </c>
      <c r="L102" s="23" t="s">
        <v>27</v>
      </c>
      <c r="N102" s="16"/>
      <c r="O102" s="17"/>
      <c r="P102" s="17">
        <v>140</v>
      </c>
      <c r="Q102" s="22"/>
      <c r="R102" s="23"/>
    </row>
    <row r="103" spans="1:18" ht="12.75">
      <c r="A103" s="22">
        <v>46276</v>
      </c>
      <c r="B103" s="23" t="s">
        <v>23</v>
      </c>
      <c r="C103" s="23" t="s">
        <v>180</v>
      </c>
      <c r="D103" s="19">
        <v>26858</v>
      </c>
      <c r="E103" s="23" t="s">
        <v>24</v>
      </c>
      <c r="F103" s="23">
        <v>11982317749</v>
      </c>
      <c r="G103" s="23" t="s">
        <v>16</v>
      </c>
      <c r="H103" s="18">
        <v>45</v>
      </c>
      <c r="J103" s="18"/>
      <c r="K103" s="23" t="s">
        <v>18</v>
      </c>
      <c r="L103" s="23" t="s">
        <v>28</v>
      </c>
      <c r="N103" s="16"/>
      <c r="O103" s="17"/>
      <c r="P103" s="17">
        <v>45</v>
      </c>
      <c r="Q103" s="22"/>
      <c r="R103" s="23"/>
    </row>
    <row r="104" spans="1:18" ht="12.75">
      <c r="A104" s="22">
        <v>46276</v>
      </c>
      <c r="B104" s="23" t="s">
        <v>23</v>
      </c>
      <c r="C104" s="23" t="s">
        <v>181</v>
      </c>
      <c r="D104" s="19">
        <v>37883</v>
      </c>
      <c r="E104" s="23" t="s">
        <v>24</v>
      </c>
      <c r="F104" s="23">
        <v>41195254527</v>
      </c>
      <c r="G104" s="23" t="s">
        <v>16</v>
      </c>
      <c r="H104" s="18">
        <v>45</v>
      </c>
      <c r="J104" s="18"/>
      <c r="K104" s="23" t="s">
        <v>18</v>
      </c>
      <c r="L104" s="23" t="s">
        <v>28</v>
      </c>
      <c r="N104" s="16"/>
      <c r="O104" s="17"/>
      <c r="P104" s="17">
        <v>45</v>
      </c>
      <c r="Q104" s="22"/>
      <c r="R104" s="23"/>
    </row>
    <row r="105" spans="1:18" ht="12.75">
      <c r="A105" s="22">
        <v>46276</v>
      </c>
      <c r="B105" s="23" t="s">
        <v>14</v>
      </c>
      <c r="C105" s="23" t="s">
        <v>110</v>
      </c>
      <c r="D105" s="19"/>
      <c r="E105" s="23" t="s">
        <v>24</v>
      </c>
      <c r="G105" s="23" t="s">
        <v>16</v>
      </c>
      <c r="H105" s="18">
        <v>45</v>
      </c>
      <c r="J105" s="18"/>
      <c r="K105" s="23" t="s">
        <v>27</v>
      </c>
      <c r="L105" s="23" t="s">
        <v>27</v>
      </c>
      <c r="N105" s="16"/>
      <c r="O105" s="17"/>
      <c r="P105" s="17">
        <v>45</v>
      </c>
      <c r="Q105" s="22"/>
      <c r="R105" s="23"/>
    </row>
    <row r="106" spans="1:18" ht="12.75">
      <c r="A106" s="22">
        <v>46276</v>
      </c>
      <c r="B106" s="23" t="s">
        <v>14</v>
      </c>
      <c r="C106" s="23" t="s">
        <v>182</v>
      </c>
      <c r="D106" s="19"/>
      <c r="E106" s="23" t="s">
        <v>24</v>
      </c>
      <c r="F106" s="23">
        <v>11988095150</v>
      </c>
      <c r="G106" s="23" t="s">
        <v>16</v>
      </c>
      <c r="H106" s="18">
        <v>45</v>
      </c>
      <c r="J106" s="18"/>
      <c r="K106" s="23" t="s">
        <v>18</v>
      </c>
      <c r="L106" s="23" t="s">
        <v>34</v>
      </c>
      <c r="N106" s="16"/>
      <c r="O106" s="17"/>
      <c r="P106" s="17">
        <v>45</v>
      </c>
      <c r="Q106" s="22"/>
      <c r="R106" s="23"/>
    </row>
    <row r="107" spans="1:18" ht="12.75">
      <c r="A107" s="22">
        <v>46276</v>
      </c>
      <c r="B107" s="23" t="s">
        <v>23</v>
      </c>
      <c r="C107" s="23" t="s">
        <v>183</v>
      </c>
      <c r="D107" s="19">
        <v>29633</v>
      </c>
      <c r="E107" s="23" t="s">
        <v>24</v>
      </c>
      <c r="F107" s="23">
        <v>11965103355</v>
      </c>
      <c r="G107" s="23" t="s">
        <v>16</v>
      </c>
      <c r="H107" s="18">
        <v>45</v>
      </c>
      <c r="J107" s="18"/>
      <c r="K107" s="23" t="s">
        <v>18</v>
      </c>
      <c r="L107" s="23" t="s">
        <v>34</v>
      </c>
      <c r="N107" s="16"/>
      <c r="O107" s="17"/>
      <c r="P107" s="17">
        <v>45</v>
      </c>
      <c r="Q107" s="22"/>
      <c r="R107" s="23"/>
    </row>
    <row r="108" spans="1:18" ht="12.75">
      <c r="A108" s="22">
        <v>46276</v>
      </c>
      <c r="B108" s="23" t="s">
        <v>14</v>
      </c>
      <c r="C108" s="23" t="s">
        <v>184</v>
      </c>
      <c r="D108" s="19">
        <v>36041</v>
      </c>
      <c r="E108" s="23" t="s">
        <v>24</v>
      </c>
      <c r="F108" s="23">
        <v>11974384088</v>
      </c>
      <c r="G108" s="23" t="s">
        <v>16</v>
      </c>
      <c r="H108" s="18">
        <v>45</v>
      </c>
      <c r="J108" s="18"/>
      <c r="K108" s="23" t="s">
        <v>18</v>
      </c>
      <c r="L108" s="23" t="s">
        <v>34</v>
      </c>
      <c r="N108" s="16"/>
      <c r="O108" s="17"/>
      <c r="P108" s="17">
        <v>45</v>
      </c>
      <c r="Q108" s="22"/>
      <c r="R108" s="23"/>
    </row>
    <row r="109" spans="1:18" ht="12.75">
      <c r="A109" s="22">
        <v>46276</v>
      </c>
      <c r="B109" s="23" t="s">
        <v>23</v>
      </c>
      <c r="C109" s="23" t="s">
        <v>185</v>
      </c>
      <c r="D109" s="19">
        <v>45395</v>
      </c>
      <c r="E109" s="23" t="s">
        <v>24</v>
      </c>
      <c r="F109" s="23">
        <v>11917859473</v>
      </c>
      <c r="G109" s="23" t="s">
        <v>16</v>
      </c>
      <c r="H109" s="18">
        <v>45</v>
      </c>
      <c r="J109" s="18"/>
      <c r="K109" s="23" t="s">
        <v>18</v>
      </c>
      <c r="L109" s="23" t="s">
        <v>19</v>
      </c>
      <c r="N109" s="16"/>
      <c r="O109" s="17"/>
      <c r="P109" s="17">
        <v>45</v>
      </c>
      <c r="Q109" s="22"/>
      <c r="R109" s="23"/>
    </row>
    <row r="110" spans="1:18" ht="12.75">
      <c r="A110" s="22">
        <v>46276</v>
      </c>
      <c r="B110" s="23" t="s">
        <v>14</v>
      </c>
      <c r="C110" s="23" t="s">
        <v>120</v>
      </c>
      <c r="D110" s="19"/>
      <c r="E110" s="23" t="s">
        <v>24</v>
      </c>
      <c r="G110" s="23" t="s">
        <v>16</v>
      </c>
      <c r="H110" s="18">
        <v>45</v>
      </c>
      <c r="J110" s="18"/>
      <c r="K110" s="23" t="s">
        <v>27</v>
      </c>
      <c r="L110" s="23" t="s">
        <v>27</v>
      </c>
      <c r="N110" s="16"/>
      <c r="O110" s="17"/>
      <c r="P110" s="17">
        <v>45</v>
      </c>
      <c r="Q110" s="22"/>
      <c r="R110" s="23"/>
    </row>
    <row r="111" spans="1:18" ht="12.75">
      <c r="A111" s="22">
        <v>46276</v>
      </c>
      <c r="B111" s="23" t="s">
        <v>14</v>
      </c>
      <c r="C111" s="23" t="s">
        <v>186</v>
      </c>
      <c r="D111" s="19"/>
      <c r="E111" s="23" t="s">
        <v>24</v>
      </c>
      <c r="G111" s="23" t="s">
        <v>16</v>
      </c>
      <c r="H111" s="18">
        <v>45</v>
      </c>
      <c r="J111" s="18"/>
      <c r="K111" s="23" t="s">
        <v>27</v>
      </c>
      <c r="L111" s="23" t="s">
        <v>27</v>
      </c>
      <c r="N111" s="16"/>
      <c r="O111" s="17"/>
      <c r="P111" s="17">
        <v>45</v>
      </c>
      <c r="Q111" s="22"/>
      <c r="R111" s="23"/>
    </row>
    <row r="112" spans="1:18" ht="12.75">
      <c r="A112" s="22">
        <v>46276</v>
      </c>
      <c r="B112" s="23" t="s">
        <v>23</v>
      </c>
      <c r="C112" s="23" t="s">
        <v>187</v>
      </c>
      <c r="D112" s="19">
        <v>35768</v>
      </c>
      <c r="E112" s="23" t="s">
        <v>24</v>
      </c>
      <c r="F112" s="23">
        <v>11985693394</v>
      </c>
      <c r="G112" s="23" t="s">
        <v>25</v>
      </c>
      <c r="H112" s="18">
        <v>80</v>
      </c>
      <c r="J112" s="18"/>
      <c r="K112" s="23" t="s">
        <v>27</v>
      </c>
      <c r="L112" s="23" t="s">
        <v>27</v>
      </c>
      <c r="N112" s="16"/>
      <c r="O112" s="17"/>
      <c r="P112" s="17">
        <v>80</v>
      </c>
      <c r="Q112" s="22"/>
      <c r="R112" s="23"/>
    </row>
    <row r="113" spans="1:18" ht="12.75">
      <c r="A113" s="22">
        <v>46276</v>
      </c>
      <c r="B113" s="23" t="s">
        <v>14</v>
      </c>
      <c r="C113" s="23" t="s">
        <v>188</v>
      </c>
      <c r="D113" s="19">
        <v>35442</v>
      </c>
      <c r="E113" s="23" t="s">
        <v>24</v>
      </c>
      <c r="F113" s="23">
        <v>11981771943</v>
      </c>
      <c r="G113" s="23" t="s">
        <v>38</v>
      </c>
      <c r="H113" s="18">
        <v>70</v>
      </c>
      <c r="I113" s="23" t="s">
        <v>21</v>
      </c>
      <c r="J113" s="18">
        <v>10</v>
      </c>
      <c r="K113" s="23" t="s">
        <v>18</v>
      </c>
      <c r="L113" s="23" t="s">
        <v>28</v>
      </c>
      <c r="N113" s="16"/>
      <c r="O113" s="17"/>
      <c r="P113" s="17">
        <v>80</v>
      </c>
      <c r="Q113" s="22"/>
      <c r="R113" s="23"/>
    </row>
    <row r="114" spans="1:18" ht="12.75">
      <c r="A114" s="22">
        <v>46276</v>
      </c>
      <c r="B114" s="23" t="s">
        <v>23</v>
      </c>
      <c r="C114" s="23" t="s">
        <v>189</v>
      </c>
      <c r="D114" s="19">
        <v>37700</v>
      </c>
      <c r="E114" s="23" t="s">
        <v>24</v>
      </c>
      <c r="F114" s="23">
        <v>11983406887</v>
      </c>
      <c r="G114" s="23" t="s">
        <v>25</v>
      </c>
      <c r="H114" s="18">
        <v>80</v>
      </c>
      <c r="J114" s="18"/>
      <c r="K114" s="23" t="s">
        <v>18</v>
      </c>
      <c r="L114" s="23" t="s">
        <v>28</v>
      </c>
      <c r="N114" s="16"/>
      <c r="O114" s="17"/>
      <c r="P114" s="17">
        <v>80</v>
      </c>
      <c r="Q114" s="22"/>
      <c r="R114" s="23"/>
    </row>
    <row r="115" spans="1:18" ht="12.75">
      <c r="A115" s="22">
        <v>46276</v>
      </c>
      <c r="B115" s="23" t="s">
        <v>14</v>
      </c>
      <c r="C115" s="23" t="s">
        <v>190</v>
      </c>
      <c r="D115" s="19">
        <v>36881</v>
      </c>
      <c r="E115" s="23" t="s">
        <v>24</v>
      </c>
      <c r="F115" s="23">
        <v>11951213301</v>
      </c>
      <c r="G115" s="23" t="s">
        <v>16</v>
      </c>
      <c r="H115" s="18">
        <v>45</v>
      </c>
      <c r="J115" s="18"/>
      <c r="K115" s="23" t="s">
        <v>18</v>
      </c>
      <c r="L115" s="23" t="s">
        <v>34</v>
      </c>
      <c r="N115" s="16"/>
      <c r="O115" s="17"/>
      <c r="P115" s="17">
        <v>45</v>
      </c>
      <c r="Q115" s="22"/>
      <c r="R115" s="23"/>
    </row>
    <row r="116" spans="1:18" ht="12.75">
      <c r="A116" s="22">
        <v>46276</v>
      </c>
      <c r="B116" s="23" t="s">
        <v>14</v>
      </c>
      <c r="C116" s="23" t="s">
        <v>191</v>
      </c>
      <c r="D116" s="19">
        <v>34004</v>
      </c>
      <c r="E116" s="23" t="s">
        <v>24</v>
      </c>
      <c r="G116" s="23" t="s">
        <v>38</v>
      </c>
      <c r="H116" s="18">
        <v>70</v>
      </c>
      <c r="J116" s="18"/>
      <c r="K116" s="23" t="s">
        <v>27</v>
      </c>
      <c r="L116" s="23" t="s">
        <v>27</v>
      </c>
      <c r="N116" s="16"/>
      <c r="O116" s="17"/>
      <c r="P116" s="17">
        <v>70</v>
      </c>
      <c r="Q116" s="22"/>
      <c r="R116" s="23"/>
    </row>
    <row r="117" spans="1:18" ht="12.75">
      <c r="A117" s="22">
        <v>46277</v>
      </c>
      <c r="B117" s="23" t="s">
        <v>14</v>
      </c>
      <c r="C117" s="23" t="s">
        <v>192</v>
      </c>
      <c r="D117" s="19"/>
      <c r="E117" s="23" t="s">
        <v>24</v>
      </c>
      <c r="G117" s="23" t="s">
        <v>16</v>
      </c>
      <c r="H117" s="18">
        <v>45</v>
      </c>
      <c r="J117" s="18"/>
      <c r="K117" s="23" t="s">
        <v>18</v>
      </c>
      <c r="L117" s="23" t="s">
        <v>34</v>
      </c>
      <c r="N117" s="16"/>
      <c r="O117" s="17"/>
      <c r="P117" s="17">
        <v>45</v>
      </c>
      <c r="Q117" s="22"/>
      <c r="R117" s="23"/>
    </row>
    <row r="118" spans="1:18" ht="12.75">
      <c r="A118" s="22">
        <v>46277</v>
      </c>
      <c r="B118" s="23" t="s">
        <v>23</v>
      </c>
      <c r="C118" s="23" t="s">
        <v>193</v>
      </c>
      <c r="D118" s="19">
        <v>28765</v>
      </c>
      <c r="E118" s="23" t="s">
        <v>24</v>
      </c>
      <c r="F118" s="23">
        <v>11983492025</v>
      </c>
      <c r="G118" s="23" t="s">
        <v>16</v>
      </c>
      <c r="H118" s="18">
        <v>45</v>
      </c>
      <c r="J118" s="18"/>
      <c r="K118" s="23" t="s">
        <v>18</v>
      </c>
      <c r="L118" s="23" t="s">
        <v>28</v>
      </c>
      <c r="N118" s="16"/>
      <c r="O118" s="17"/>
      <c r="P118" s="17">
        <v>45</v>
      </c>
      <c r="Q118" s="22"/>
      <c r="R118" s="23"/>
    </row>
    <row r="119" spans="1:18" ht="12.75">
      <c r="A119" s="22">
        <v>46277</v>
      </c>
      <c r="B119" s="23" t="s">
        <v>14</v>
      </c>
      <c r="C119" s="23" t="s">
        <v>194</v>
      </c>
      <c r="D119" s="19">
        <v>39657</v>
      </c>
      <c r="E119" s="23" t="s">
        <v>24</v>
      </c>
      <c r="F119" s="23">
        <v>11957470599</v>
      </c>
      <c r="G119" s="23" t="s">
        <v>16</v>
      </c>
      <c r="H119" s="18">
        <v>45</v>
      </c>
      <c r="I119" s="23" t="s">
        <v>21</v>
      </c>
      <c r="J119" s="18">
        <v>10</v>
      </c>
      <c r="K119" s="23" t="s">
        <v>18</v>
      </c>
      <c r="L119" s="23" t="s">
        <v>34</v>
      </c>
      <c r="N119" s="16"/>
      <c r="O119" s="17"/>
      <c r="P119" s="17">
        <v>55</v>
      </c>
      <c r="Q119" s="22"/>
      <c r="R119" s="23"/>
    </row>
    <row r="120" spans="1:18" ht="12.75">
      <c r="A120" s="22">
        <v>46277</v>
      </c>
      <c r="B120" s="23" t="s">
        <v>14</v>
      </c>
      <c r="C120" s="23" t="s">
        <v>194</v>
      </c>
      <c r="D120" s="19">
        <v>36004</v>
      </c>
      <c r="E120" s="23" t="s">
        <v>24</v>
      </c>
      <c r="F120" s="23">
        <v>11957470599</v>
      </c>
      <c r="G120" s="23" t="s">
        <v>16</v>
      </c>
      <c r="H120" s="18">
        <v>45</v>
      </c>
      <c r="I120" s="23" t="s">
        <v>21</v>
      </c>
      <c r="J120" s="18">
        <v>10</v>
      </c>
      <c r="K120" s="23" t="s">
        <v>18</v>
      </c>
      <c r="L120" s="23" t="s">
        <v>34</v>
      </c>
      <c r="N120" s="16"/>
      <c r="O120" s="17"/>
      <c r="P120" s="17">
        <v>55</v>
      </c>
      <c r="Q120" s="22"/>
      <c r="R120" s="23"/>
    </row>
    <row r="121" spans="1:18" ht="12.75">
      <c r="A121" s="22">
        <v>46277</v>
      </c>
      <c r="B121" s="23" t="s">
        <v>14</v>
      </c>
      <c r="C121" s="23" t="s">
        <v>195</v>
      </c>
      <c r="D121" s="19">
        <v>26329</v>
      </c>
      <c r="E121" s="23" t="s">
        <v>24</v>
      </c>
      <c r="F121" s="23">
        <v>11976164732</v>
      </c>
      <c r="G121" s="23" t="s">
        <v>16</v>
      </c>
      <c r="H121" s="18">
        <v>45</v>
      </c>
      <c r="J121" s="18"/>
      <c r="K121" s="23" t="s">
        <v>18</v>
      </c>
      <c r="L121" s="23" t="s">
        <v>34</v>
      </c>
      <c r="N121" s="16"/>
      <c r="O121" s="17"/>
      <c r="P121" s="17">
        <v>45</v>
      </c>
      <c r="Q121" s="22"/>
      <c r="R121" s="23"/>
    </row>
    <row r="122" spans="1:18" ht="12.75">
      <c r="A122" s="22">
        <v>46277</v>
      </c>
      <c r="B122" s="23" t="s">
        <v>23</v>
      </c>
      <c r="C122" s="23" t="s">
        <v>196</v>
      </c>
      <c r="D122" s="19">
        <v>37886</v>
      </c>
      <c r="E122" s="23" t="s">
        <v>24</v>
      </c>
      <c r="F122" s="23">
        <v>11940625488</v>
      </c>
      <c r="G122" s="23" t="s">
        <v>16</v>
      </c>
      <c r="H122" s="18">
        <v>45</v>
      </c>
      <c r="J122" s="18"/>
      <c r="K122" s="23" t="s">
        <v>27</v>
      </c>
      <c r="L122" s="23" t="s">
        <v>27</v>
      </c>
      <c r="N122" s="16"/>
      <c r="O122" s="17"/>
      <c r="P122" s="17">
        <v>45</v>
      </c>
      <c r="Q122" s="22"/>
      <c r="R122" s="23"/>
    </row>
    <row r="123" spans="1:18" ht="12.75">
      <c r="A123" s="22">
        <v>46277</v>
      </c>
      <c r="B123" s="23" t="s">
        <v>14</v>
      </c>
      <c r="C123" s="23" t="s">
        <v>125</v>
      </c>
      <c r="D123" s="19"/>
      <c r="E123" s="23" t="s">
        <v>24</v>
      </c>
      <c r="G123" s="23" t="s">
        <v>46</v>
      </c>
      <c r="H123" s="18">
        <v>30</v>
      </c>
      <c r="J123" s="18"/>
      <c r="K123" s="23" t="s">
        <v>27</v>
      </c>
      <c r="L123" s="23" t="s">
        <v>27</v>
      </c>
      <c r="N123" s="16"/>
      <c r="O123" s="17"/>
      <c r="P123" s="17">
        <v>30</v>
      </c>
      <c r="Q123" s="22"/>
      <c r="R123" s="23"/>
    </row>
    <row r="124" spans="1:18" ht="12.75">
      <c r="A124" s="22">
        <v>46277</v>
      </c>
      <c r="B124" s="23" t="s">
        <v>14</v>
      </c>
      <c r="C124" s="23" t="s">
        <v>197</v>
      </c>
      <c r="D124" s="19">
        <v>33769</v>
      </c>
      <c r="E124" s="23" t="s">
        <v>15</v>
      </c>
      <c r="F124" s="23">
        <v>11997764203</v>
      </c>
      <c r="G124" s="23" t="s">
        <v>16</v>
      </c>
      <c r="H124" s="18">
        <v>45</v>
      </c>
      <c r="J124" s="18"/>
      <c r="K124" s="23" t="s">
        <v>18</v>
      </c>
      <c r="L124" s="23" t="s">
        <v>39</v>
      </c>
      <c r="N124" s="16"/>
      <c r="O124" s="17"/>
      <c r="P124" s="17">
        <v>45</v>
      </c>
      <c r="Q124" s="22"/>
      <c r="R124" s="23"/>
    </row>
    <row r="125" spans="1:18" ht="12.75">
      <c r="A125" s="22">
        <v>46277</v>
      </c>
      <c r="B125" s="23" t="s">
        <v>23</v>
      </c>
      <c r="C125" s="23" t="s">
        <v>198</v>
      </c>
      <c r="D125" s="19">
        <v>42089</v>
      </c>
      <c r="E125" s="23" t="s">
        <v>24</v>
      </c>
      <c r="F125" s="23">
        <v>11961727793</v>
      </c>
      <c r="G125" s="23" t="s">
        <v>16</v>
      </c>
      <c r="H125" s="18">
        <v>45</v>
      </c>
      <c r="J125" s="18"/>
      <c r="K125" s="23" t="s">
        <v>18</v>
      </c>
      <c r="L125" s="23" t="s">
        <v>28</v>
      </c>
      <c r="N125" s="16"/>
      <c r="O125" s="17"/>
      <c r="P125" s="17">
        <v>45</v>
      </c>
      <c r="Q125" s="22"/>
      <c r="R125" s="23"/>
    </row>
    <row r="126" spans="1:18" ht="12.75">
      <c r="A126" s="22">
        <v>46277</v>
      </c>
      <c r="B126" s="23" t="s">
        <v>23</v>
      </c>
      <c r="C126" s="23" t="s">
        <v>199</v>
      </c>
      <c r="D126" s="19">
        <v>34937</v>
      </c>
      <c r="E126" s="23" t="s">
        <v>24</v>
      </c>
      <c r="F126" s="23">
        <v>11951658079</v>
      </c>
      <c r="G126" s="23" t="s">
        <v>16</v>
      </c>
      <c r="H126" s="18">
        <v>45</v>
      </c>
      <c r="I126" s="23" t="s">
        <v>32</v>
      </c>
      <c r="J126" s="18">
        <v>35</v>
      </c>
      <c r="K126" s="23" t="s">
        <v>18</v>
      </c>
      <c r="L126" s="23" t="s">
        <v>28</v>
      </c>
      <c r="N126" s="16"/>
      <c r="O126" s="17"/>
      <c r="P126" s="17">
        <v>80</v>
      </c>
      <c r="Q126" s="22"/>
      <c r="R126" s="23"/>
    </row>
    <row r="127" spans="1:18" ht="12.75">
      <c r="A127" s="22">
        <v>46277</v>
      </c>
      <c r="B127" s="23" t="s">
        <v>14</v>
      </c>
      <c r="C127" s="23" t="s">
        <v>200</v>
      </c>
      <c r="D127" s="19"/>
      <c r="E127" s="23" t="s">
        <v>24</v>
      </c>
      <c r="G127" s="23" t="s">
        <v>16</v>
      </c>
      <c r="H127" s="18">
        <v>45</v>
      </c>
      <c r="J127" s="18"/>
      <c r="K127" s="23" t="s">
        <v>18</v>
      </c>
      <c r="L127" s="23" t="s">
        <v>34</v>
      </c>
      <c r="N127" s="16"/>
      <c r="O127" s="17"/>
      <c r="P127" s="17">
        <v>45</v>
      </c>
      <c r="Q127" s="22"/>
      <c r="R127" s="23"/>
    </row>
    <row r="128" spans="1:18" ht="12.75">
      <c r="A128" s="22">
        <v>46277</v>
      </c>
      <c r="B128" s="23" t="s">
        <v>23</v>
      </c>
      <c r="C128" s="23" t="s">
        <v>201</v>
      </c>
      <c r="D128" s="19">
        <v>41530</v>
      </c>
      <c r="E128" s="23" t="s">
        <v>24</v>
      </c>
      <c r="F128" s="23">
        <v>11987715843</v>
      </c>
      <c r="G128" s="23" t="s">
        <v>16</v>
      </c>
      <c r="H128" s="18">
        <v>45</v>
      </c>
      <c r="I128" s="23" t="s">
        <v>21</v>
      </c>
      <c r="J128" s="18">
        <v>10</v>
      </c>
      <c r="K128" s="23" t="s">
        <v>18</v>
      </c>
      <c r="L128" s="23" t="s">
        <v>34</v>
      </c>
      <c r="N128" s="16"/>
      <c r="O128" s="17"/>
      <c r="P128" s="17">
        <v>55</v>
      </c>
      <c r="Q128" s="22"/>
      <c r="R128" s="23"/>
    </row>
    <row r="129" spans="1:18" ht="12.75">
      <c r="A129" s="22">
        <v>46277</v>
      </c>
      <c r="B129" s="23" t="s">
        <v>14</v>
      </c>
      <c r="C129" s="23" t="s">
        <v>202</v>
      </c>
      <c r="D129" s="19"/>
      <c r="E129" s="23" t="s">
        <v>24</v>
      </c>
      <c r="G129" s="23" t="s">
        <v>16</v>
      </c>
      <c r="H129" s="18">
        <v>45</v>
      </c>
      <c r="J129" s="18"/>
      <c r="K129" s="23" t="s">
        <v>18</v>
      </c>
      <c r="L129" s="23" t="s">
        <v>39</v>
      </c>
      <c r="N129" s="16"/>
      <c r="O129" s="17"/>
      <c r="P129" s="17">
        <v>45</v>
      </c>
      <c r="Q129" s="22"/>
      <c r="R129" s="23"/>
    </row>
    <row r="130" spans="1:18" ht="12.75">
      <c r="A130" s="22">
        <v>46277</v>
      </c>
      <c r="B130" s="23" t="s">
        <v>14</v>
      </c>
      <c r="C130" s="23" t="s">
        <v>203</v>
      </c>
      <c r="D130" s="19">
        <v>36306</v>
      </c>
      <c r="E130" s="23" t="s">
        <v>24</v>
      </c>
      <c r="F130" s="23">
        <v>11985735698</v>
      </c>
      <c r="G130" s="23" t="s">
        <v>16</v>
      </c>
      <c r="H130" s="18">
        <v>45</v>
      </c>
      <c r="I130" s="23" t="s">
        <v>21</v>
      </c>
      <c r="J130" s="18">
        <v>10</v>
      </c>
      <c r="K130" s="23" t="s">
        <v>18</v>
      </c>
      <c r="L130" s="23" t="s">
        <v>39</v>
      </c>
      <c r="N130" s="16"/>
      <c r="O130" s="17"/>
      <c r="P130" s="17">
        <v>55</v>
      </c>
      <c r="Q130" s="22"/>
      <c r="R130" s="23"/>
    </row>
    <row r="131" spans="1:18" ht="12.75">
      <c r="A131" s="22">
        <v>46277</v>
      </c>
      <c r="B131" s="23" t="s">
        <v>23</v>
      </c>
      <c r="C131" s="23" t="s">
        <v>204</v>
      </c>
      <c r="D131" s="19">
        <v>35964</v>
      </c>
      <c r="E131" s="23" t="s">
        <v>24</v>
      </c>
      <c r="F131" s="23">
        <v>11975951494</v>
      </c>
      <c r="G131" s="23" t="s">
        <v>25</v>
      </c>
      <c r="H131" s="18">
        <v>80</v>
      </c>
      <c r="J131" s="18"/>
      <c r="K131" s="23" t="s">
        <v>27</v>
      </c>
      <c r="L131" s="23" t="s">
        <v>27</v>
      </c>
      <c r="N131" s="16"/>
      <c r="O131" s="17"/>
      <c r="P131" s="17">
        <v>80</v>
      </c>
      <c r="Q131" s="22"/>
      <c r="R131" s="23"/>
    </row>
    <row r="132" spans="1:18" ht="12.75">
      <c r="A132" s="22">
        <v>46277</v>
      </c>
      <c r="B132" s="23" t="s">
        <v>23</v>
      </c>
      <c r="C132" s="23" t="s">
        <v>135</v>
      </c>
      <c r="D132" s="19">
        <v>35961</v>
      </c>
      <c r="E132" s="23" t="s">
        <v>24</v>
      </c>
      <c r="F132" s="23">
        <v>11978147895</v>
      </c>
      <c r="G132" s="23" t="s">
        <v>16</v>
      </c>
      <c r="H132" s="18">
        <v>45</v>
      </c>
      <c r="J132" s="18"/>
      <c r="K132" s="23" t="s">
        <v>18</v>
      </c>
      <c r="L132" s="23" t="s">
        <v>39</v>
      </c>
      <c r="N132" s="16"/>
      <c r="O132" s="17"/>
      <c r="P132" s="17">
        <v>45</v>
      </c>
      <c r="Q132" s="22"/>
      <c r="R132" s="23"/>
    </row>
    <row r="133" spans="1:18" ht="12.75">
      <c r="A133" s="22">
        <v>46277</v>
      </c>
      <c r="B133" s="23" t="s">
        <v>14</v>
      </c>
      <c r="C133" s="23" t="s">
        <v>205</v>
      </c>
      <c r="D133" s="19">
        <v>37623</v>
      </c>
      <c r="E133" s="23" t="s">
        <v>24</v>
      </c>
      <c r="F133" s="23">
        <v>11948551271</v>
      </c>
      <c r="G133" s="23" t="s">
        <v>25</v>
      </c>
      <c r="H133" s="18">
        <v>80</v>
      </c>
      <c r="J133" s="18"/>
      <c r="K133" s="23" t="s">
        <v>18</v>
      </c>
      <c r="L133" s="23" t="s">
        <v>19</v>
      </c>
      <c r="N133" s="16"/>
      <c r="O133" s="17"/>
      <c r="P133" s="17">
        <v>80</v>
      </c>
      <c r="Q133" s="22"/>
      <c r="R133" s="23"/>
    </row>
    <row r="134" spans="1:18" ht="12.75">
      <c r="A134" s="22">
        <v>46277</v>
      </c>
      <c r="B134" s="23" t="s">
        <v>23</v>
      </c>
      <c r="C134" s="23" t="s">
        <v>206</v>
      </c>
      <c r="D134" s="19">
        <v>44470</v>
      </c>
      <c r="E134" s="23" t="s">
        <v>24</v>
      </c>
      <c r="F134" s="23">
        <v>38991252863</v>
      </c>
      <c r="G134" s="23" t="s">
        <v>16</v>
      </c>
      <c r="H134" s="18">
        <v>45</v>
      </c>
      <c r="J134" s="18"/>
      <c r="K134" s="23" t="s">
        <v>18</v>
      </c>
      <c r="L134" s="23" t="s">
        <v>39</v>
      </c>
      <c r="N134" s="16"/>
      <c r="O134" s="17"/>
      <c r="P134" s="17">
        <v>45</v>
      </c>
      <c r="Q134" s="22"/>
      <c r="R134" s="23"/>
    </row>
    <row r="135" spans="1:18" ht="12.75">
      <c r="A135" s="22">
        <v>46277</v>
      </c>
      <c r="B135" s="23" t="s">
        <v>14</v>
      </c>
      <c r="C135" s="23" t="s">
        <v>113</v>
      </c>
      <c r="D135" s="19"/>
      <c r="E135" s="23" t="s">
        <v>24</v>
      </c>
      <c r="G135" s="23" t="s">
        <v>16</v>
      </c>
      <c r="H135" s="18">
        <v>45</v>
      </c>
      <c r="J135" s="18"/>
      <c r="K135" s="23" t="s">
        <v>27</v>
      </c>
      <c r="L135" s="23" t="s">
        <v>27</v>
      </c>
      <c r="N135" s="16"/>
      <c r="O135" s="17"/>
      <c r="P135" s="17">
        <v>45</v>
      </c>
      <c r="Q135" s="22"/>
      <c r="R135" s="23"/>
    </row>
    <row r="136" spans="1:18" ht="12.75">
      <c r="A136" s="22">
        <v>46277</v>
      </c>
      <c r="B136" s="23" t="s">
        <v>23</v>
      </c>
      <c r="C136" s="23" t="s">
        <v>89</v>
      </c>
      <c r="D136" s="19">
        <v>32050</v>
      </c>
      <c r="E136" s="23" t="s">
        <v>24</v>
      </c>
      <c r="F136" s="23">
        <v>11989643287</v>
      </c>
      <c r="G136" s="23" t="s">
        <v>32</v>
      </c>
      <c r="H136" s="18">
        <v>35</v>
      </c>
      <c r="I136" s="23" t="s">
        <v>12</v>
      </c>
      <c r="J136" s="18">
        <v>20</v>
      </c>
      <c r="K136" s="23" t="s">
        <v>18</v>
      </c>
      <c r="L136" s="23" t="s">
        <v>28</v>
      </c>
      <c r="N136" s="16"/>
      <c r="O136" s="17"/>
      <c r="P136" s="17">
        <v>55</v>
      </c>
      <c r="Q136" s="22"/>
      <c r="R136" s="23"/>
    </row>
    <row r="137" spans="1:18" ht="12.75">
      <c r="A137" s="22">
        <v>46277</v>
      </c>
      <c r="B137" s="23" t="s">
        <v>23</v>
      </c>
      <c r="C137" s="23" t="s">
        <v>89</v>
      </c>
      <c r="D137" s="19">
        <v>32050</v>
      </c>
      <c r="E137" s="23" t="s">
        <v>24</v>
      </c>
      <c r="F137" s="23">
        <v>11989643287</v>
      </c>
      <c r="G137" s="23" t="s">
        <v>46</v>
      </c>
      <c r="H137" s="18">
        <v>30</v>
      </c>
      <c r="I137" s="23" t="s">
        <v>12</v>
      </c>
      <c r="J137" s="18">
        <v>20</v>
      </c>
      <c r="K137" s="23" t="s">
        <v>18</v>
      </c>
      <c r="L137" s="23" t="s">
        <v>28</v>
      </c>
      <c r="N137" s="16"/>
      <c r="O137" s="17"/>
      <c r="P137" s="17">
        <v>50</v>
      </c>
      <c r="Q137" s="22"/>
      <c r="R137" s="23"/>
    </row>
    <row r="138" spans="1:18" ht="12.75">
      <c r="A138" s="22">
        <v>46277</v>
      </c>
      <c r="B138" s="23" t="s">
        <v>23</v>
      </c>
      <c r="C138" s="23" t="s">
        <v>207</v>
      </c>
      <c r="D138" s="19">
        <v>34134</v>
      </c>
      <c r="E138" s="23" t="s">
        <v>24</v>
      </c>
      <c r="F138" s="23">
        <v>11951689244</v>
      </c>
      <c r="G138" s="23" t="s">
        <v>16</v>
      </c>
      <c r="H138" s="18">
        <v>45</v>
      </c>
      <c r="J138" s="18"/>
      <c r="K138" s="23" t="s">
        <v>18</v>
      </c>
      <c r="L138" s="23" t="s">
        <v>39</v>
      </c>
      <c r="N138" s="16"/>
      <c r="O138" s="17"/>
      <c r="P138" s="17">
        <v>45</v>
      </c>
      <c r="Q138" s="22"/>
      <c r="R138" s="23"/>
    </row>
    <row r="139" spans="1:18" ht="12.75">
      <c r="A139" s="22">
        <v>46277</v>
      </c>
      <c r="B139" s="23" t="s">
        <v>23</v>
      </c>
      <c r="C139" s="23" t="s">
        <v>208</v>
      </c>
      <c r="D139" s="19">
        <v>31831</v>
      </c>
      <c r="E139" s="23" t="s">
        <v>24</v>
      </c>
      <c r="F139" s="23">
        <v>11992020639</v>
      </c>
      <c r="G139" s="23" t="s">
        <v>46</v>
      </c>
      <c r="H139" s="18">
        <v>30</v>
      </c>
      <c r="J139" s="18"/>
      <c r="K139" s="23" t="s">
        <v>18</v>
      </c>
      <c r="L139" s="23" t="s">
        <v>39</v>
      </c>
      <c r="N139" s="16"/>
      <c r="O139" s="17"/>
      <c r="P139" s="17">
        <v>30</v>
      </c>
      <c r="Q139" s="22"/>
      <c r="R139" s="23"/>
    </row>
    <row r="140" spans="1:18" ht="12.75">
      <c r="A140" s="22">
        <v>46277</v>
      </c>
      <c r="B140" s="23" t="s">
        <v>23</v>
      </c>
      <c r="C140" s="23" t="s">
        <v>209</v>
      </c>
      <c r="D140" s="19">
        <v>40711</v>
      </c>
      <c r="E140" s="23" t="s">
        <v>24</v>
      </c>
      <c r="F140" s="23">
        <v>11991340505</v>
      </c>
      <c r="G140" s="23" t="s">
        <v>16</v>
      </c>
      <c r="H140" s="18">
        <v>45</v>
      </c>
      <c r="J140" s="18"/>
      <c r="K140" s="23" t="s">
        <v>18</v>
      </c>
      <c r="L140" s="23" t="s">
        <v>19</v>
      </c>
      <c r="N140" s="16"/>
      <c r="O140" s="17"/>
      <c r="P140" s="17">
        <v>45</v>
      </c>
      <c r="Q140" s="22"/>
      <c r="R140" s="23"/>
    </row>
    <row r="141" spans="1:18" ht="12.75">
      <c r="A141" s="22">
        <v>46278</v>
      </c>
      <c r="B141" s="23" t="s">
        <v>14</v>
      </c>
      <c r="C141" s="23" t="s">
        <v>210</v>
      </c>
      <c r="D141" s="19"/>
      <c r="E141" s="23" t="s">
        <v>24</v>
      </c>
      <c r="G141" s="23" t="s">
        <v>38</v>
      </c>
      <c r="H141" s="18">
        <v>70</v>
      </c>
      <c r="J141" s="18"/>
      <c r="K141" s="23" t="s">
        <v>18</v>
      </c>
      <c r="L141" s="23" t="s">
        <v>34</v>
      </c>
      <c r="N141" s="16"/>
      <c r="O141" s="17"/>
      <c r="P141" s="17">
        <v>70</v>
      </c>
      <c r="Q141" s="22"/>
      <c r="R141" s="23"/>
    </row>
    <row r="142" spans="1:18" ht="12.75">
      <c r="A142" s="22">
        <v>46278</v>
      </c>
      <c r="B142" s="23" t="s">
        <v>14</v>
      </c>
      <c r="C142" s="23" t="s">
        <v>211</v>
      </c>
      <c r="D142" s="19">
        <v>36736</v>
      </c>
      <c r="E142" s="23" t="s">
        <v>24</v>
      </c>
      <c r="F142" s="23">
        <v>11947610335</v>
      </c>
      <c r="G142" s="23" t="s">
        <v>16</v>
      </c>
      <c r="H142" s="18">
        <v>45</v>
      </c>
      <c r="J142" s="18"/>
      <c r="K142" s="23" t="s">
        <v>18</v>
      </c>
      <c r="L142" s="23" t="s">
        <v>34</v>
      </c>
      <c r="N142" s="16"/>
      <c r="O142" s="17"/>
      <c r="P142" s="17">
        <v>45</v>
      </c>
      <c r="Q142" s="22"/>
      <c r="R142" s="23"/>
    </row>
    <row r="143" spans="1:18" ht="12.75">
      <c r="A143" s="22">
        <v>46278</v>
      </c>
      <c r="B143" s="23" t="s">
        <v>14</v>
      </c>
      <c r="C143" s="23" t="s">
        <v>212</v>
      </c>
      <c r="D143" s="19">
        <v>35788</v>
      </c>
      <c r="E143" s="23" t="s">
        <v>24</v>
      </c>
      <c r="F143" s="23">
        <v>11957321678</v>
      </c>
      <c r="G143" s="23" t="s">
        <v>25</v>
      </c>
      <c r="H143" s="18">
        <v>80</v>
      </c>
      <c r="J143" s="18"/>
      <c r="K143" s="23" t="s">
        <v>18</v>
      </c>
      <c r="L143" s="23" t="s">
        <v>34</v>
      </c>
      <c r="N143" s="16"/>
      <c r="O143" s="17"/>
      <c r="P143" s="17">
        <v>80</v>
      </c>
      <c r="Q143" s="22"/>
      <c r="R143" s="23"/>
    </row>
    <row r="144" spans="1:18" ht="12.75">
      <c r="A144" s="22">
        <v>46278</v>
      </c>
      <c r="B144" s="23" t="s">
        <v>14</v>
      </c>
      <c r="C144" s="23" t="s">
        <v>213</v>
      </c>
      <c r="D144" s="19">
        <v>35788</v>
      </c>
      <c r="E144" s="23" t="s">
        <v>24</v>
      </c>
      <c r="F144" s="23">
        <v>11912299595</v>
      </c>
      <c r="G144" s="23" t="s">
        <v>16</v>
      </c>
      <c r="H144" s="18">
        <v>45</v>
      </c>
      <c r="J144" s="18"/>
      <c r="K144" s="23" t="s">
        <v>18</v>
      </c>
      <c r="L144" s="23" t="s">
        <v>34</v>
      </c>
      <c r="N144" s="16"/>
      <c r="O144" s="17"/>
      <c r="P144" s="17">
        <v>45</v>
      </c>
      <c r="Q144" s="22"/>
      <c r="R144" s="23"/>
    </row>
    <row r="145" spans="1:18" ht="12.75">
      <c r="A145" s="22">
        <v>46278</v>
      </c>
      <c r="B145" s="23" t="s">
        <v>14</v>
      </c>
      <c r="C145" s="23" t="s">
        <v>214</v>
      </c>
      <c r="D145" s="19"/>
      <c r="E145" s="23" t="s">
        <v>24</v>
      </c>
      <c r="G145" s="23" t="s">
        <v>16</v>
      </c>
      <c r="H145" s="18">
        <v>45</v>
      </c>
      <c r="J145" s="18"/>
      <c r="K145" s="23" t="s">
        <v>18</v>
      </c>
      <c r="L145" s="23" t="s">
        <v>34</v>
      </c>
      <c r="N145" s="16"/>
      <c r="O145" s="17"/>
      <c r="P145" s="17">
        <v>45</v>
      </c>
      <c r="Q145" s="22"/>
      <c r="R145" s="23"/>
    </row>
    <row r="146" spans="1:18" ht="12.75">
      <c r="A146" s="22">
        <v>46279</v>
      </c>
      <c r="B146" s="23" t="s">
        <v>23</v>
      </c>
      <c r="C146" s="23" t="s">
        <v>215</v>
      </c>
      <c r="D146" s="19">
        <v>36810</v>
      </c>
      <c r="E146" s="23" t="s">
        <v>24</v>
      </c>
      <c r="F146" s="23">
        <v>11993587918</v>
      </c>
      <c r="G146" s="23" t="s">
        <v>16</v>
      </c>
      <c r="H146" s="18">
        <v>45</v>
      </c>
      <c r="J146" s="18"/>
      <c r="K146" s="23" t="s">
        <v>18</v>
      </c>
      <c r="L146" s="23" t="s">
        <v>39</v>
      </c>
      <c r="N146" s="16"/>
      <c r="O146" s="17"/>
      <c r="P146" s="17">
        <v>45</v>
      </c>
      <c r="Q146" s="22"/>
      <c r="R146" s="23"/>
    </row>
    <row r="147" spans="1:18" ht="12.75">
      <c r="A147" s="22">
        <v>46279</v>
      </c>
      <c r="B147" s="23" t="s">
        <v>23</v>
      </c>
      <c r="C147" s="23" t="s">
        <v>216</v>
      </c>
      <c r="D147" s="19">
        <v>29784</v>
      </c>
      <c r="E147" s="23" t="s">
        <v>24</v>
      </c>
      <c r="F147" s="23">
        <v>11914298129</v>
      </c>
      <c r="G147" s="23" t="s">
        <v>16</v>
      </c>
      <c r="H147" s="18">
        <v>45</v>
      </c>
      <c r="J147" s="18"/>
      <c r="K147" s="23" t="s">
        <v>18</v>
      </c>
      <c r="L147" s="23" t="s">
        <v>34</v>
      </c>
      <c r="N147" s="16"/>
      <c r="O147" s="17"/>
      <c r="P147" s="17">
        <v>45</v>
      </c>
      <c r="Q147" s="22"/>
      <c r="R147" s="23"/>
    </row>
    <row r="148" spans="1:18" ht="12.75">
      <c r="A148" s="22">
        <v>46279</v>
      </c>
      <c r="B148" s="23" t="s">
        <v>23</v>
      </c>
      <c r="C148" s="23" t="s">
        <v>217</v>
      </c>
      <c r="D148" s="19"/>
      <c r="E148" s="23" t="s">
        <v>24</v>
      </c>
      <c r="F148" s="23">
        <v>11933659059</v>
      </c>
      <c r="G148" s="23" t="s">
        <v>25</v>
      </c>
      <c r="H148" s="18">
        <v>80</v>
      </c>
      <c r="J148" s="18"/>
      <c r="K148" s="23" t="s">
        <v>18</v>
      </c>
      <c r="L148" s="23" t="s">
        <v>39</v>
      </c>
      <c r="N148" s="16"/>
      <c r="O148" s="17"/>
      <c r="P148" s="17">
        <v>80</v>
      </c>
      <c r="Q148" s="22"/>
      <c r="R148" s="23"/>
    </row>
    <row r="149" spans="1:18" ht="12.75">
      <c r="A149" s="22">
        <v>46279</v>
      </c>
      <c r="B149" s="23" t="s">
        <v>23</v>
      </c>
      <c r="C149" s="23" t="s">
        <v>151</v>
      </c>
      <c r="D149" s="19">
        <v>26785</v>
      </c>
      <c r="E149" s="23" t="s">
        <v>24</v>
      </c>
      <c r="F149" s="23">
        <v>11976252001</v>
      </c>
      <c r="G149" s="23" t="s">
        <v>16</v>
      </c>
      <c r="H149" s="18">
        <v>45</v>
      </c>
      <c r="J149" s="18"/>
      <c r="K149" s="23" t="s">
        <v>18</v>
      </c>
      <c r="L149" s="23" t="s">
        <v>28</v>
      </c>
      <c r="N149" s="16"/>
      <c r="O149" s="17"/>
      <c r="P149" s="17">
        <v>45</v>
      </c>
      <c r="Q149" s="22"/>
      <c r="R149" s="23"/>
    </row>
    <row r="150" spans="1:18" ht="12.75">
      <c r="A150" s="22">
        <v>46280</v>
      </c>
      <c r="B150" s="23" t="s">
        <v>14</v>
      </c>
      <c r="C150" s="23" t="s">
        <v>218</v>
      </c>
      <c r="D150" s="19"/>
      <c r="E150" s="23" t="s">
        <v>24</v>
      </c>
      <c r="G150" s="23" t="s">
        <v>25</v>
      </c>
      <c r="H150" s="18">
        <v>80</v>
      </c>
      <c r="J150" s="18"/>
      <c r="K150" s="23" t="s">
        <v>27</v>
      </c>
      <c r="L150" s="23" t="s">
        <v>27</v>
      </c>
      <c r="N150" s="16"/>
      <c r="O150" s="17"/>
      <c r="P150" s="17">
        <v>80</v>
      </c>
      <c r="Q150" s="22"/>
      <c r="R150" s="23"/>
    </row>
    <row r="151" spans="1:18" ht="12.75">
      <c r="A151" s="22">
        <v>46280</v>
      </c>
      <c r="B151" s="23" t="s">
        <v>14</v>
      </c>
      <c r="C151" s="23" t="s">
        <v>219</v>
      </c>
      <c r="D151" s="19">
        <v>35792</v>
      </c>
      <c r="E151" s="23" t="s">
        <v>24</v>
      </c>
      <c r="F151" s="23">
        <v>11966074874</v>
      </c>
      <c r="G151" s="23" t="s">
        <v>16</v>
      </c>
      <c r="H151" s="18">
        <v>45</v>
      </c>
      <c r="J151" s="18"/>
      <c r="K151" s="23" t="s">
        <v>18</v>
      </c>
      <c r="L151" s="23" t="s">
        <v>34</v>
      </c>
      <c r="N151" s="16"/>
      <c r="O151" s="17"/>
      <c r="P151" s="17">
        <v>45</v>
      </c>
      <c r="Q151" s="22"/>
      <c r="R151" s="23"/>
    </row>
    <row r="152" spans="1:18" ht="12.75">
      <c r="A152" s="22">
        <v>46280</v>
      </c>
      <c r="B152" s="23" t="s">
        <v>23</v>
      </c>
      <c r="C152" s="23" t="s">
        <v>220</v>
      </c>
      <c r="D152" s="19"/>
      <c r="E152" s="23" t="s">
        <v>24</v>
      </c>
      <c r="F152" s="23">
        <v>48988257334</v>
      </c>
      <c r="G152" s="23" t="s">
        <v>16</v>
      </c>
      <c r="H152" s="18">
        <v>45</v>
      </c>
      <c r="J152" s="18"/>
      <c r="K152" s="23" t="s">
        <v>18</v>
      </c>
      <c r="L152" s="23" t="s">
        <v>34</v>
      </c>
      <c r="N152" s="16"/>
      <c r="O152" s="17"/>
      <c r="P152" s="17">
        <v>45</v>
      </c>
      <c r="Q152" s="22"/>
      <c r="R152" s="23"/>
    </row>
    <row r="153" spans="1:18" ht="12.75">
      <c r="A153" s="22">
        <v>46280</v>
      </c>
      <c r="B153" s="23" t="s">
        <v>23</v>
      </c>
      <c r="C153" s="23" t="s">
        <v>221</v>
      </c>
      <c r="D153" s="19">
        <v>35938</v>
      </c>
      <c r="E153" s="23" t="s">
        <v>24</v>
      </c>
      <c r="F153" s="23">
        <v>11954398450</v>
      </c>
      <c r="G153" s="23" t="s">
        <v>25</v>
      </c>
      <c r="H153" s="18">
        <v>80</v>
      </c>
      <c r="J153" s="18"/>
      <c r="K153" s="23" t="s">
        <v>18</v>
      </c>
      <c r="L153" s="23" t="s">
        <v>28</v>
      </c>
      <c r="N153" s="16"/>
      <c r="O153" s="17"/>
      <c r="P153" s="17">
        <v>80</v>
      </c>
      <c r="Q153" s="22"/>
      <c r="R153" s="23"/>
    </row>
    <row r="154" spans="1:18" ht="12.75">
      <c r="A154" s="22">
        <v>46280</v>
      </c>
      <c r="B154" s="23" t="s">
        <v>14</v>
      </c>
      <c r="C154" s="23" t="s">
        <v>222</v>
      </c>
      <c r="D154" s="19"/>
      <c r="E154" s="23" t="s">
        <v>24</v>
      </c>
      <c r="F154" s="23">
        <v>1111111111</v>
      </c>
      <c r="G154" s="23" t="s">
        <v>16</v>
      </c>
      <c r="H154" s="18">
        <v>45</v>
      </c>
      <c r="J154" s="18"/>
      <c r="K154" s="23" t="s">
        <v>18</v>
      </c>
      <c r="L154" s="23" t="s">
        <v>34</v>
      </c>
      <c r="N154" s="16"/>
      <c r="O154" s="17"/>
      <c r="P154" s="17">
        <v>45</v>
      </c>
      <c r="Q154" s="22"/>
      <c r="R154" s="23"/>
    </row>
    <row r="155" spans="1:18" ht="12.75">
      <c r="A155" s="22">
        <v>46280</v>
      </c>
      <c r="B155" s="23" t="s">
        <v>23</v>
      </c>
      <c r="C155" s="23" t="s">
        <v>223</v>
      </c>
      <c r="D155" s="19">
        <v>35532</v>
      </c>
      <c r="E155" s="23" t="s">
        <v>24</v>
      </c>
      <c r="F155" s="23">
        <v>11966006161</v>
      </c>
      <c r="G155" s="23" t="s">
        <v>16</v>
      </c>
      <c r="H155" s="18">
        <v>45</v>
      </c>
      <c r="I155" s="23" t="s">
        <v>21</v>
      </c>
      <c r="J155" s="18">
        <v>10</v>
      </c>
      <c r="K155" s="23" t="s">
        <v>18</v>
      </c>
      <c r="L155" s="23" t="s">
        <v>28</v>
      </c>
      <c r="N155" s="16"/>
      <c r="O155" s="17"/>
      <c r="P155" s="17">
        <v>55</v>
      </c>
      <c r="Q155" s="22"/>
      <c r="R155" s="23"/>
    </row>
    <row r="156" spans="1:18" ht="12.75">
      <c r="A156" s="22">
        <v>46280</v>
      </c>
      <c r="B156" s="23" t="s">
        <v>14</v>
      </c>
      <c r="C156" s="23" t="s">
        <v>224</v>
      </c>
      <c r="D156" s="19">
        <v>31042</v>
      </c>
      <c r="E156" s="23" t="s">
        <v>24</v>
      </c>
      <c r="F156" s="23">
        <v>11973109654</v>
      </c>
      <c r="G156" s="23" t="s">
        <v>16</v>
      </c>
      <c r="H156" s="18">
        <v>45</v>
      </c>
      <c r="J156" s="18"/>
      <c r="K156" s="23" t="s">
        <v>18</v>
      </c>
      <c r="L156" s="23" t="s">
        <v>28</v>
      </c>
      <c r="N156" s="16"/>
      <c r="O156" s="17"/>
      <c r="P156" s="17">
        <v>45</v>
      </c>
      <c r="Q156" s="22"/>
      <c r="R156" s="23"/>
    </row>
    <row r="157" spans="1:18" ht="12.75">
      <c r="A157" s="22">
        <v>46280</v>
      </c>
      <c r="B157" s="23" t="s">
        <v>14</v>
      </c>
      <c r="C157" s="23" t="s">
        <v>173</v>
      </c>
      <c r="D157" s="19">
        <v>31209</v>
      </c>
      <c r="E157" s="23" t="s">
        <v>24</v>
      </c>
      <c r="F157" s="23">
        <v>11910346719</v>
      </c>
      <c r="G157" s="23" t="s">
        <v>16</v>
      </c>
      <c r="H157" s="18">
        <v>45</v>
      </c>
      <c r="I157" s="23" t="s">
        <v>141</v>
      </c>
      <c r="J157" s="18">
        <v>60</v>
      </c>
      <c r="K157" s="23" t="s">
        <v>18</v>
      </c>
      <c r="L157" s="23" t="s">
        <v>34</v>
      </c>
      <c r="N157" s="16"/>
      <c r="O157" s="17"/>
      <c r="P157" s="17">
        <v>105</v>
      </c>
      <c r="Q157" s="22"/>
      <c r="R157" s="23"/>
    </row>
    <row r="158" spans="1:18" ht="12.75">
      <c r="A158" s="22">
        <v>46280</v>
      </c>
      <c r="B158" s="23" t="s">
        <v>14</v>
      </c>
      <c r="C158" s="23" t="s">
        <v>225</v>
      </c>
      <c r="D158" s="19">
        <v>36483</v>
      </c>
      <c r="E158" s="23" t="s">
        <v>24</v>
      </c>
      <c r="F158" s="23">
        <v>11967607241</v>
      </c>
      <c r="G158" s="23" t="s">
        <v>16</v>
      </c>
      <c r="H158" s="18">
        <v>45</v>
      </c>
      <c r="J158" s="18"/>
      <c r="K158" s="23" t="s">
        <v>18</v>
      </c>
      <c r="L158" s="23" t="s">
        <v>34</v>
      </c>
      <c r="N158" s="16"/>
      <c r="O158" s="17"/>
      <c r="P158" s="17">
        <v>45</v>
      </c>
      <c r="Q158" s="22"/>
      <c r="R158" s="23"/>
    </row>
    <row r="159" spans="1:18" ht="12.75">
      <c r="A159" s="22">
        <v>46280</v>
      </c>
      <c r="B159" s="23" t="s">
        <v>23</v>
      </c>
      <c r="C159" s="23" t="s">
        <v>102</v>
      </c>
      <c r="D159" s="19">
        <v>33525</v>
      </c>
      <c r="E159" s="23" t="s">
        <v>24</v>
      </c>
      <c r="F159" s="23">
        <v>11951069136</v>
      </c>
      <c r="G159" s="23" t="s">
        <v>25</v>
      </c>
      <c r="H159" s="18">
        <v>80</v>
      </c>
      <c r="J159" s="18"/>
      <c r="K159" s="23" t="s">
        <v>27</v>
      </c>
      <c r="L159" s="23" t="s">
        <v>27</v>
      </c>
      <c r="N159" s="16"/>
      <c r="O159" s="17"/>
      <c r="P159" s="17">
        <v>80</v>
      </c>
      <c r="Q159" s="22"/>
      <c r="R159" s="23"/>
    </row>
    <row r="160" spans="1:18" ht="12.75">
      <c r="A160" s="22">
        <v>46280</v>
      </c>
      <c r="B160" s="23" t="s">
        <v>23</v>
      </c>
      <c r="C160" s="23" t="s">
        <v>226</v>
      </c>
      <c r="D160" s="19">
        <v>32768</v>
      </c>
      <c r="E160" s="23" t="s">
        <v>24</v>
      </c>
      <c r="F160" s="23">
        <v>11944626898</v>
      </c>
      <c r="G160" s="23" t="s">
        <v>16</v>
      </c>
      <c r="H160" s="18">
        <v>45</v>
      </c>
      <c r="I160" s="23" t="s">
        <v>21</v>
      </c>
      <c r="J160" s="18">
        <v>10</v>
      </c>
      <c r="K160" s="23" t="s">
        <v>18</v>
      </c>
      <c r="L160" s="23" t="s">
        <v>39</v>
      </c>
      <c r="N160" s="16"/>
      <c r="O160" s="17"/>
      <c r="P160" s="17">
        <v>55</v>
      </c>
      <c r="Q160" s="22"/>
      <c r="R160" s="23"/>
    </row>
    <row r="161" spans="1:26" ht="12.75">
      <c r="A161" s="22">
        <v>46280</v>
      </c>
      <c r="B161" s="23" t="s">
        <v>14</v>
      </c>
      <c r="C161" s="23" t="s">
        <v>227</v>
      </c>
      <c r="D161" s="19">
        <v>26900</v>
      </c>
      <c r="E161" s="23" t="s">
        <v>24</v>
      </c>
      <c r="F161" s="23">
        <v>11948588636</v>
      </c>
      <c r="G161" s="23" t="s">
        <v>16</v>
      </c>
      <c r="H161" s="18">
        <v>45</v>
      </c>
      <c r="J161" s="18"/>
      <c r="K161" s="23" t="s">
        <v>18</v>
      </c>
      <c r="L161" s="23" t="s">
        <v>34</v>
      </c>
      <c r="N161" s="16"/>
      <c r="O161" s="17"/>
      <c r="P161" s="17">
        <v>45</v>
      </c>
      <c r="Q161" s="22"/>
      <c r="R161" s="23"/>
    </row>
    <row r="162" spans="1:26" ht="12.75">
      <c r="A162" s="22">
        <v>46281</v>
      </c>
      <c r="B162" s="23" t="s">
        <v>23</v>
      </c>
      <c r="C162" s="23" t="s">
        <v>228</v>
      </c>
      <c r="D162" s="19">
        <v>27618</v>
      </c>
      <c r="E162" s="23" t="s">
        <v>24</v>
      </c>
      <c r="F162" s="23">
        <v>11986439041</v>
      </c>
      <c r="G162" s="23" t="s">
        <v>16</v>
      </c>
      <c r="H162" s="18">
        <v>45</v>
      </c>
      <c r="I162" s="23" t="s">
        <v>229</v>
      </c>
      <c r="J162" s="18">
        <v>0.01</v>
      </c>
      <c r="K162" s="23" t="s">
        <v>18</v>
      </c>
      <c r="L162" s="23" t="s">
        <v>39</v>
      </c>
      <c r="N162" s="16"/>
      <c r="O162" s="17"/>
      <c r="P162" s="17">
        <v>45.01</v>
      </c>
      <c r="Q162" s="22"/>
      <c r="R162" s="23"/>
      <c r="Z162" s="23" t="s">
        <v>230</v>
      </c>
    </row>
    <row r="163" spans="1:26" ht="12.75">
      <c r="A163" s="22">
        <v>46281</v>
      </c>
      <c r="B163" s="23" t="s">
        <v>23</v>
      </c>
      <c r="C163" s="23" t="s">
        <v>231</v>
      </c>
      <c r="D163" s="19">
        <v>39590</v>
      </c>
      <c r="E163" s="23" t="s">
        <v>15</v>
      </c>
      <c r="F163" s="23">
        <v>11981988305</v>
      </c>
      <c r="G163" s="23" t="s">
        <v>16</v>
      </c>
      <c r="H163" s="18">
        <v>45</v>
      </c>
      <c r="J163" s="18"/>
      <c r="K163" s="23" t="s">
        <v>18</v>
      </c>
      <c r="L163" s="23" t="s">
        <v>28</v>
      </c>
      <c r="N163" s="16"/>
      <c r="O163" s="17"/>
      <c r="P163" s="17">
        <v>45</v>
      </c>
      <c r="Q163" s="22"/>
      <c r="R163" s="23"/>
      <c r="Z163" s="23" t="s">
        <v>232</v>
      </c>
    </row>
    <row r="164" spans="1:26" ht="12.75">
      <c r="A164" s="22">
        <v>46281</v>
      </c>
      <c r="B164" s="23" t="s">
        <v>23</v>
      </c>
      <c r="C164" s="23" t="s">
        <v>233</v>
      </c>
      <c r="D164" s="19">
        <v>34600</v>
      </c>
      <c r="E164" s="23" t="s">
        <v>24</v>
      </c>
      <c r="F164" s="23">
        <v>11983367411</v>
      </c>
      <c r="G164" s="23" t="s">
        <v>16</v>
      </c>
      <c r="H164" s="18">
        <v>45</v>
      </c>
      <c r="I164" s="23" t="s">
        <v>229</v>
      </c>
      <c r="J164" s="18" t="s">
        <v>234</v>
      </c>
      <c r="K164" s="23" t="s">
        <v>18</v>
      </c>
      <c r="L164" s="23" t="s">
        <v>28</v>
      </c>
      <c r="N164" s="16"/>
      <c r="O164" s="17"/>
      <c r="P164" s="17">
        <v>45.01</v>
      </c>
      <c r="Q164" s="22"/>
      <c r="R164" s="23"/>
      <c r="Z164" s="23" t="s">
        <v>235</v>
      </c>
    </row>
    <row r="165" spans="1:26" ht="12.75">
      <c r="A165" s="22">
        <v>46281</v>
      </c>
      <c r="B165" s="23" t="s">
        <v>14</v>
      </c>
      <c r="C165" s="23" t="s">
        <v>157</v>
      </c>
      <c r="D165" s="19"/>
      <c r="E165" s="23" t="s">
        <v>24</v>
      </c>
      <c r="G165" s="23" t="s">
        <v>16</v>
      </c>
      <c r="H165" s="18">
        <v>45</v>
      </c>
      <c r="J165" s="18"/>
      <c r="K165" s="23" t="s">
        <v>27</v>
      </c>
      <c r="L165" s="23" t="s">
        <v>27</v>
      </c>
      <c r="N165" s="16"/>
      <c r="O165" s="17"/>
      <c r="P165" s="17">
        <v>45</v>
      </c>
      <c r="Q165" s="22"/>
      <c r="R165" s="23"/>
      <c r="Z165" s="23" t="s">
        <v>236</v>
      </c>
    </row>
    <row r="166" spans="1:26" ht="12.75">
      <c r="A166" s="22">
        <v>46281</v>
      </c>
      <c r="B166" s="23" t="s">
        <v>23</v>
      </c>
      <c r="C166" s="23" t="s">
        <v>237</v>
      </c>
      <c r="D166" s="19">
        <v>30371</v>
      </c>
      <c r="E166" s="23" t="s">
        <v>24</v>
      </c>
      <c r="F166" s="23">
        <v>11944581484</v>
      </c>
      <c r="G166" s="23" t="s">
        <v>25</v>
      </c>
      <c r="H166" s="18">
        <v>80</v>
      </c>
      <c r="I166" s="23" t="s">
        <v>229</v>
      </c>
      <c r="J166" s="18" t="s">
        <v>234</v>
      </c>
      <c r="K166" s="23" t="s">
        <v>27</v>
      </c>
      <c r="L166" s="23" t="s">
        <v>27</v>
      </c>
      <c r="N166" s="16"/>
      <c r="O166" s="17"/>
      <c r="P166" s="17">
        <v>80.010000000000005</v>
      </c>
      <c r="Q166" s="22"/>
      <c r="R166" s="23"/>
      <c r="Z166" s="23" t="s">
        <v>238</v>
      </c>
    </row>
    <row r="167" spans="1:26" ht="12.75">
      <c r="A167" s="22">
        <v>46281</v>
      </c>
      <c r="B167" s="23" t="s">
        <v>14</v>
      </c>
      <c r="C167" s="23" t="s">
        <v>222</v>
      </c>
      <c r="D167" s="19"/>
      <c r="E167" s="23" t="s">
        <v>24</v>
      </c>
      <c r="F167" s="23">
        <v>1111111111</v>
      </c>
      <c r="G167" s="23" t="s">
        <v>16</v>
      </c>
      <c r="H167" s="18">
        <v>45</v>
      </c>
      <c r="J167" s="18"/>
      <c r="K167" s="23" t="s">
        <v>18</v>
      </c>
      <c r="L167" s="23" t="s">
        <v>34</v>
      </c>
      <c r="N167" s="16"/>
      <c r="O167" s="17"/>
      <c r="P167" s="17">
        <v>45</v>
      </c>
      <c r="Q167" s="22"/>
      <c r="R167" s="23"/>
      <c r="Z167" s="23" t="s">
        <v>239</v>
      </c>
    </row>
    <row r="168" spans="1:26" ht="12.75">
      <c r="A168" s="22">
        <v>46281</v>
      </c>
      <c r="B168" s="23" t="s">
        <v>14</v>
      </c>
      <c r="C168" s="23" t="s">
        <v>114</v>
      </c>
      <c r="D168" s="19"/>
      <c r="E168" s="23" t="s">
        <v>24</v>
      </c>
      <c r="G168" s="23" t="s">
        <v>16</v>
      </c>
      <c r="H168" s="18">
        <v>45</v>
      </c>
      <c r="J168" s="18"/>
      <c r="K168" s="23" t="s">
        <v>27</v>
      </c>
      <c r="L168" s="23" t="s">
        <v>27</v>
      </c>
      <c r="N168" s="16"/>
      <c r="O168" s="17"/>
      <c r="P168" s="17">
        <v>45</v>
      </c>
      <c r="Q168" s="22"/>
      <c r="R168" s="23"/>
      <c r="Z168" s="23" t="s">
        <v>240</v>
      </c>
    </row>
    <row r="169" spans="1:26" ht="12.75">
      <c r="A169" s="22">
        <v>46281</v>
      </c>
      <c r="B169" s="23" t="s">
        <v>23</v>
      </c>
      <c r="C169" s="23" t="s">
        <v>163</v>
      </c>
      <c r="D169" s="19">
        <v>28179</v>
      </c>
      <c r="E169" s="23" t="s">
        <v>24</v>
      </c>
      <c r="G169" s="23" t="s">
        <v>16</v>
      </c>
      <c r="H169" s="18">
        <v>45</v>
      </c>
      <c r="J169" s="18"/>
      <c r="K169" s="23" t="s">
        <v>27</v>
      </c>
      <c r="L169" s="23" t="s">
        <v>27</v>
      </c>
      <c r="N169" s="16"/>
      <c r="O169" s="17"/>
      <c r="P169" s="17">
        <v>45</v>
      </c>
      <c r="Q169" s="22"/>
      <c r="R169" s="23"/>
      <c r="Z169" s="23" t="s">
        <v>241</v>
      </c>
    </row>
    <row r="170" spans="1:26" ht="12.75">
      <c r="A170" s="22">
        <v>46281</v>
      </c>
      <c r="B170" s="23" t="s">
        <v>14</v>
      </c>
      <c r="C170" s="23" t="s">
        <v>242</v>
      </c>
      <c r="D170" s="19">
        <v>38433</v>
      </c>
      <c r="E170" s="23" t="s">
        <v>24</v>
      </c>
      <c r="F170" s="23">
        <v>11987898309</v>
      </c>
      <c r="G170" s="23" t="s">
        <v>16</v>
      </c>
      <c r="H170" s="18">
        <v>45</v>
      </c>
      <c r="I170" s="23" t="s">
        <v>229</v>
      </c>
      <c r="J170" s="18" t="s">
        <v>234</v>
      </c>
      <c r="K170" s="23" t="s">
        <v>18</v>
      </c>
      <c r="L170" s="23" t="s">
        <v>39</v>
      </c>
      <c r="N170" s="16"/>
      <c r="O170" s="17"/>
      <c r="P170" s="17">
        <v>45.01</v>
      </c>
      <c r="Q170" s="22"/>
      <c r="R170" s="23"/>
      <c r="Z170" s="23" t="s">
        <v>243</v>
      </c>
    </row>
    <row r="171" spans="1:26" ht="12.75">
      <c r="A171" s="22">
        <v>46281</v>
      </c>
      <c r="B171" s="23" t="s">
        <v>23</v>
      </c>
      <c r="C171" s="23" t="s">
        <v>244</v>
      </c>
      <c r="D171" s="19">
        <v>43181</v>
      </c>
      <c r="E171" s="23" t="s">
        <v>24</v>
      </c>
      <c r="F171" s="23">
        <v>11940587197</v>
      </c>
      <c r="G171" s="23" t="s">
        <v>16</v>
      </c>
      <c r="H171" s="18">
        <v>45</v>
      </c>
      <c r="J171" s="18"/>
      <c r="K171" s="23" t="s">
        <v>18</v>
      </c>
      <c r="L171" s="23" t="s">
        <v>34</v>
      </c>
      <c r="N171" s="16"/>
      <c r="O171" s="17"/>
      <c r="P171" s="17">
        <v>45</v>
      </c>
      <c r="Q171" s="22"/>
      <c r="R171" s="23"/>
      <c r="Z171" s="23" t="s">
        <v>245</v>
      </c>
    </row>
    <row r="172" spans="1:26" ht="12.75">
      <c r="A172" s="22">
        <v>46282</v>
      </c>
      <c r="B172" s="23" t="s">
        <v>14</v>
      </c>
      <c r="C172" s="23" t="s">
        <v>101</v>
      </c>
      <c r="D172" s="19">
        <v>38070</v>
      </c>
      <c r="E172" s="23" t="s">
        <v>24</v>
      </c>
      <c r="F172" s="23">
        <v>11993117433</v>
      </c>
      <c r="G172" s="23" t="s">
        <v>16</v>
      </c>
      <c r="H172" s="18">
        <v>45</v>
      </c>
      <c r="I172" s="23" t="s">
        <v>21</v>
      </c>
      <c r="J172" s="18">
        <v>10</v>
      </c>
      <c r="K172" s="23" t="s">
        <v>18</v>
      </c>
      <c r="L172" s="23" t="s">
        <v>34</v>
      </c>
      <c r="N172" s="16"/>
      <c r="O172" s="17"/>
      <c r="P172" s="17">
        <v>55</v>
      </c>
      <c r="Q172" s="22"/>
      <c r="R172" s="23"/>
      <c r="Z172" s="23" t="s">
        <v>246</v>
      </c>
    </row>
    <row r="173" spans="1:26" ht="12.75">
      <c r="A173" s="22">
        <v>46282</v>
      </c>
      <c r="B173" s="23" t="s">
        <v>14</v>
      </c>
      <c r="C173" s="23" t="s">
        <v>247</v>
      </c>
      <c r="D173" s="19">
        <v>33866</v>
      </c>
      <c r="E173" s="23" t="s">
        <v>24</v>
      </c>
      <c r="F173" s="23">
        <v>11965753992</v>
      </c>
      <c r="G173" s="23" t="s">
        <v>38</v>
      </c>
      <c r="H173" s="18">
        <v>70</v>
      </c>
      <c r="I173" s="23" t="s">
        <v>141</v>
      </c>
      <c r="J173" s="18">
        <v>60</v>
      </c>
      <c r="K173" s="23" t="s">
        <v>18</v>
      </c>
      <c r="L173" s="23" t="s">
        <v>34</v>
      </c>
      <c r="N173" s="16"/>
      <c r="O173" s="17"/>
      <c r="P173" s="17">
        <v>130</v>
      </c>
      <c r="Q173" s="22"/>
      <c r="R173" s="23"/>
      <c r="Z173" s="23" t="s">
        <v>248</v>
      </c>
    </row>
    <row r="174" spans="1:26" ht="12.75">
      <c r="A174" s="22">
        <v>46282</v>
      </c>
      <c r="B174" s="23" t="s">
        <v>14</v>
      </c>
      <c r="C174" s="23" t="s">
        <v>98</v>
      </c>
      <c r="D174" s="19"/>
      <c r="E174" s="23" t="s">
        <v>24</v>
      </c>
      <c r="F174" s="23">
        <v>11976436368</v>
      </c>
      <c r="G174" s="23" t="s">
        <v>25</v>
      </c>
      <c r="H174" s="18">
        <v>80</v>
      </c>
      <c r="J174" s="18"/>
      <c r="K174" s="23" t="s">
        <v>18</v>
      </c>
      <c r="L174" s="23" t="s">
        <v>19</v>
      </c>
      <c r="N174" s="16"/>
      <c r="O174" s="17"/>
      <c r="P174" s="17">
        <v>80</v>
      </c>
      <c r="Q174" s="22"/>
      <c r="R174" s="23"/>
      <c r="Z174" s="23" t="s">
        <v>249</v>
      </c>
    </row>
    <row r="175" spans="1:26" ht="12.75">
      <c r="A175" s="22">
        <v>46282</v>
      </c>
      <c r="B175" s="23" t="s">
        <v>23</v>
      </c>
      <c r="C175" s="23" t="s">
        <v>250</v>
      </c>
      <c r="D175" s="19">
        <v>34004</v>
      </c>
      <c r="E175" s="23" t="s">
        <v>24</v>
      </c>
      <c r="F175" s="23">
        <v>11990063816</v>
      </c>
      <c r="G175" s="23" t="s">
        <v>38</v>
      </c>
      <c r="H175" s="18">
        <v>70</v>
      </c>
      <c r="J175" s="18"/>
      <c r="K175" s="23" t="s">
        <v>27</v>
      </c>
      <c r="L175" s="23" t="s">
        <v>27</v>
      </c>
      <c r="N175" s="16"/>
      <c r="O175" s="17"/>
      <c r="P175" s="17">
        <v>70</v>
      </c>
      <c r="Q175" s="22"/>
      <c r="R175" s="23"/>
      <c r="Z175" s="23" t="s">
        <v>251</v>
      </c>
    </row>
    <row r="176" spans="1:26" ht="12.75">
      <c r="A176" s="22">
        <v>46282</v>
      </c>
      <c r="B176" s="23" t="s">
        <v>14</v>
      </c>
      <c r="C176" s="23" t="s">
        <v>252</v>
      </c>
      <c r="D176" s="19">
        <v>35255</v>
      </c>
      <c r="E176" s="23" t="s">
        <v>24</v>
      </c>
      <c r="F176" s="23">
        <v>11932450077</v>
      </c>
      <c r="G176" s="23" t="s">
        <v>16</v>
      </c>
      <c r="H176" s="18">
        <v>45</v>
      </c>
      <c r="J176" s="18"/>
      <c r="K176" s="23" t="s">
        <v>18</v>
      </c>
      <c r="L176" s="23" t="s">
        <v>34</v>
      </c>
      <c r="N176" s="16"/>
      <c r="O176" s="17"/>
      <c r="P176" s="17">
        <v>45</v>
      </c>
      <c r="Q176" s="22"/>
      <c r="R176" s="23"/>
      <c r="Z176" s="23" t="s">
        <v>253</v>
      </c>
    </row>
    <row r="177" spans="1:26" ht="12.75">
      <c r="A177" s="22">
        <v>46282</v>
      </c>
      <c r="B177" s="23" t="s">
        <v>14</v>
      </c>
      <c r="C177" s="23" t="s">
        <v>169</v>
      </c>
      <c r="D177" s="19">
        <v>33922</v>
      </c>
      <c r="E177" s="23" t="s">
        <v>24</v>
      </c>
      <c r="F177" s="23">
        <v>77988077846</v>
      </c>
      <c r="G177" s="23" t="s">
        <v>25</v>
      </c>
      <c r="H177" s="18">
        <v>80</v>
      </c>
      <c r="J177" s="18"/>
      <c r="K177" s="23" t="s">
        <v>27</v>
      </c>
      <c r="L177" s="23" t="s">
        <v>27</v>
      </c>
      <c r="N177" s="16"/>
      <c r="O177" s="17"/>
      <c r="P177" s="17">
        <v>80</v>
      </c>
      <c r="Q177" s="22"/>
      <c r="R177" s="23"/>
      <c r="Z177" s="23" t="s">
        <v>254</v>
      </c>
    </row>
    <row r="178" spans="1:26" ht="12.75">
      <c r="A178" s="22">
        <v>46282</v>
      </c>
      <c r="B178" s="23" t="s">
        <v>14</v>
      </c>
      <c r="C178" s="23" t="s">
        <v>116</v>
      </c>
      <c r="D178" s="19">
        <v>37814</v>
      </c>
      <c r="E178" s="23" t="s">
        <v>24</v>
      </c>
      <c r="F178" s="23">
        <v>11981737024</v>
      </c>
      <c r="G178" s="23" t="s">
        <v>25</v>
      </c>
      <c r="H178" s="18">
        <v>80</v>
      </c>
      <c r="J178" s="18"/>
      <c r="K178" s="23" t="s">
        <v>18</v>
      </c>
      <c r="L178" s="23" t="s">
        <v>28</v>
      </c>
      <c r="N178" s="16"/>
      <c r="O178" s="17"/>
      <c r="P178" s="17">
        <v>80</v>
      </c>
      <c r="Q178" s="22"/>
      <c r="R178" s="23"/>
      <c r="Z178" s="23" t="s">
        <v>255</v>
      </c>
    </row>
    <row r="179" spans="1:26" ht="12.75">
      <c r="A179" s="22">
        <v>46282</v>
      </c>
      <c r="B179" s="23" t="s">
        <v>14</v>
      </c>
      <c r="C179" s="23" t="s">
        <v>155</v>
      </c>
      <c r="D179" s="19">
        <v>33852</v>
      </c>
      <c r="E179" s="23" t="s">
        <v>24</v>
      </c>
      <c r="F179" s="23">
        <v>11948276973</v>
      </c>
      <c r="G179" s="23" t="s">
        <v>16</v>
      </c>
      <c r="H179" s="18">
        <v>45</v>
      </c>
      <c r="J179" s="18"/>
      <c r="K179" s="23" t="s">
        <v>18</v>
      </c>
      <c r="L179" s="23" t="s">
        <v>34</v>
      </c>
      <c r="N179" s="16"/>
      <c r="O179" s="17"/>
      <c r="P179" s="17">
        <v>45</v>
      </c>
      <c r="Q179" s="22"/>
      <c r="R179" s="23"/>
      <c r="Z179" s="23" t="s">
        <v>256</v>
      </c>
    </row>
    <row r="180" spans="1:26" ht="12.75">
      <c r="A180" s="22">
        <v>46282</v>
      </c>
      <c r="B180" s="23" t="s">
        <v>23</v>
      </c>
      <c r="C180" s="23" t="s">
        <v>88</v>
      </c>
      <c r="D180" s="19">
        <v>38294</v>
      </c>
      <c r="E180" s="23" t="s">
        <v>24</v>
      </c>
      <c r="F180" s="23">
        <v>11987247433</v>
      </c>
      <c r="G180" s="23" t="s">
        <v>16</v>
      </c>
      <c r="H180" s="18">
        <v>45</v>
      </c>
      <c r="I180" s="23" t="s">
        <v>21</v>
      </c>
      <c r="J180" s="18">
        <v>10</v>
      </c>
      <c r="K180" s="23" t="s">
        <v>18</v>
      </c>
      <c r="L180" s="23" t="s">
        <v>39</v>
      </c>
      <c r="N180" s="16"/>
      <c r="O180" s="17"/>
      <c r="P180" s="17">
        <v>55</v>
      </c>
      <c r="Q180" s="22"/>
      <c r="R180" s="23"/>
      <c r="Z180" s="23" t="s">
        <v>257</v>
      </c>
    </row>
    <row r="181" spans="1:26" ht="12.75">
      <c r="A181" s="22">
        <v>46282</v>
      </c>
      <c r="B181" s="23" t="s">
        <v>23</v>
      </c>
      <c r="C181" s="23" t="s">
        <v>258</v>
      </c>
      <c r="D181" s="19">
        <v>40801</v>
      </c>
      <c r="E181" s="23" t="s">
        <v>24</v>
      </c>
      <c r="F181" s="23">
        <v>11969426830</v>
      </c>
      <c r="G181" s="23" t="s">
        <v>16</v>
      </c>
      <c r="H181" s="18">
        <v>45</v>
      </c>
      <c r="J181" s="18"/>
      <c r="K181" s="23" t="s">
        <v>18</v>
      </c>
      <c r="L181" s="23" t="s">
        <v>34</v>
      </c>
      <c r="N181" s="16"/>
      <c r="O181" s="17"/>
      <c r="P181" s="17">
        <v>45</v>
      </c>
      <c r="Q181" s="22"/>
      <c r="R181" s="23"/>
      <c r="Z181" s="23" t="s">
        <v>259</v>
      </c>
    </row>
    <row r="182" spans="1:26" ht="12.75">
      <c r="A182" s="22">
        <v>46282</v>
      </c>
      <c r="B182" s="23" t="s">
        <v>14</v>
      </c>
      <c r="C182" s="23" t="s">
        <v>260</v>
      </c>
      <c r="D182" s="19">
        <v>28121</v>
      </c>
      <c r="E182" s="23" t="s">
        <v>24</v>
      </c>
      <c r="F182" s="23">
        <v>11946222359</v>
      </c>
      <c r="G182" s="23" t="s">
        <v>38</v>
      </c>
      <c r="H182" s="18">
        <v>70</v>
      </c>
      <c r="J182" s="18"/>
      <c r="K182" s="23" t="s">
        <v>18</v>
      </c>
      <c r="L182" s="23" t="s">
        <v>39</v>
      </c>
      <c r="N182" s="16"/>
      <c r="O182" s="17"/>
      <c r="P182" s="17">
        <v>70</v>
      </c>
      <c r="Q182" s="22"/>
      <c r="R182" s="23"/>
      <c r="Z182" s="23" t="s">
        <v>261</v>
      </c>
    </row>
    <row r="183" spans="1:26" ht="12.75">
      <c r="A183" s="22">
        <v>46283</v>
      </c>
      <c r="B183" s="23" t="s">
        <v>14</v>
      </c>
      <c r="C183" s="23" t="s">
        <v>262</v>
      </c>
      <c r="D183" s="19"/>
      <c r="E183" s="23" t="s">
        <v>24</v>
      </c>
      <c r="F183" s="23">
        <v>1175951494</v>
      </c>
      <c r="G183" s="23" t="s">
        <v>25</v>
      </c>
      <c r="H183" s="18">
        <v>80</v>
      </c>
      <c r="J183" s="18"/>
      <c r="K183" s="23" t="s">
        <v>27</v>
      </c>
      <c r="L183" s="23" t="s">
        <v>27</v>
      </c>
      <c r="N183" s="16"/>
      <c r="O183" s="17"/>
      <c r="P183" s="17">
        <v>80</v>
      </c>
      <c r="Q183" s="22"/>
      <c r="R183" s="23"/>
      <c r="Z183" s="23" t="s">
        <v>263</v>
      </c>
    </row>
    <row r="184" spans="1:26" ht="12.75">
      <c r="A184" s="22">
        <v>46283</v>
      </c>
      <c r="B184" s="23" t="s">
        <v>14</v>
      </c>
      <c r="C184" s="23" t="s">
        <v>114</v>
      </c>
      <c r="E184" s="23" t="s">
        <v>24</v>
      </c>
      <c r="G184" s="23" t="s">
        <v>16</v>
      </c>
      <c r="H184" s="23">
        <v>45</v>
      </c>
      <c r="K184" s="23" t="s">
        <v>27</v>
      </c>
      <c r="L184" s="23" t="s">
        <v>27</v>
      </c>
      <c r="P184" s="23">
        <v>45</v>
      </c>
      <c r="Z184" s="23" t="s">
        <v>264</v>
      </c>
    </row>
    <row r="185" spans="1:26" ht="12.75">
      <c r="A185" s="22">
        <v>46283</v>
      </c>
      <c r="B185" s="23" t="s">
        <v>14</v>
      </c>
      <c r="C185" s="23" t="s">
        <v>265</v>
      </c>
      <c r="E185" s="23" t="s">
        <v>24</v>
      </c>
      <c r="G185" s="23" t="s">
        <v>25</v>
      </c>
      <c r="H185" s="23">
        <v>80</v>
      </c>
      <c r="K185" s="23" t="s">
        <v>27</v>
      </c>
      <c r="L185" s="23" t="s">
        <v>27</v>
      </c>
      <c r="P185" s="23">
        <v>80</v>
      </c>
      <c r="Z185" s="23" t="s">
        <v>266</v>
      </c>
    </row>
    <row r="186" spans="1:26" ht="12.75">
      <c r="A186" s="22">
        <v>46283</v>
      </c>
      <c r="B186" s="23" t="s">
        <v>14</v>
      </c>
      <c r="C186" s="23" t="s">
        <v>267</v>
      </c>
      <c r="E186" s="23" t="s">
        <v>24</v>
      </c>
      <c r="F186" s="23">
        <v>11976700211</v>
      </c>
      <c r="G186" s="23" t="s">
        <v>16</v>
      </c>
      <c r="H186" s="23">
        <v>45</v>
      </c>
      <c r="K186" s="23" t="s">
        <v>18</v>
      </c>
      <c r="L186" s="23" t="s">
        <v>34</v>
      </c>
      <c r="P186" s="23">
        <v>45</v>
      </c>
      <c r="Z186" s="23" t="s">
        <v>268</v>
      </c>
    </row>
    <row r="187" spans="1:26" ht="12.75">
      <c r="A187" s="22">
        <v>46283</v>
      </c>
      <c r="B187" s="23" t="s">
        <v>23</v>
      </c>
      <c r="C187" s="23" t="s">
        <v>86</v>
      </c>
      <c r="D187" s="24">
        <v>34215</v>
      </c>
      <c r="E187" s="23" t="s">
        <v>24</v>
      </c>
      <c r="F187" s="23">
        <v>11951488924</v>
      </c>
      <c r="G187" s="23" t="s">
        <v>25</v>
      </c>
      <c r="H187" s="23">
        <v>80</v>
      </c>
      <c r="K187" s="23" t="s">
        <v>27</v>
      </c>
      <c r="L187" s="23" t="s">
        <v>27</v>
      </c>
      <c r="P187" s="23">
        <v>80</v>
      </c>
      <c r="Z187" s="23" t="s">
        <v>269</v>
      </c>
    </row>
    <row r="188" spans="1:26" ht="12.75">
      <c r="A188" s="22">
        <v>46283</v>
      </c>
      <c r="B188" s="23" t="s">
        <v>23</v>
      </c>
      <c r="C188" s="23" t="s">
        <v>270</v>
      </c>
      <c r="D188" s="19">
        <v>32101</v>
      </c>
      <c r="E188" s="23" t="s">
        <v>24</v>
      </c>
      <c r="F188" s="23">
        <v>11959165167</v>
      </c>
      <c r="G188" s="23" t="s">
        <v>38</v>
      </c>
      <c r="H188" s="18">
        <v>70</v>
      </c>
      <c r="J188" s="18"/>
      <c r="K188" s="23" t="s">
        <v>18</v>
      </c>
      <c r="L188" s="23" t="s">
        <v>39</v>
      </c>
      <c r="N188" s="16"/>
      <c r="O188" s="17"/>
      <c r="P188" s="17">
        <v>70</v>
      </c>
      <c r="Q188" s="22"/>
      <c r="R188" s="23"/>
      <c r="Z188" s="23" t="s">
        <v>271</v>
      </c>
    </row>
    <row r="189" spans="1:26" ht="12.75">
      <c r="A189" s="22">
        <v>46283</v>
      </c>
      <c r="B189" s="23" t="s">
        <v>23</v>
      </c>
      <c r="C189" s="23" t="s">
        <v>272</v>
      </c>
      <c r="D189" s="19">
        <v>32262</v>
      </c>
      <c r="E189" s="23" t="s">
        <v>24</v>
      </c>
      <c r="F189" s="23">
        <v>11973273492</v>
      </c>
      <c r="G189" s="23" t="s">
        <v>25</v>
      </c>
      <c r="H189" s="18">
        <v>80</v>
      </c>
      <c r="J189" s="18"/>
      <c r="K189" s="23" t="s">
        <v>18</v>
      </c>
      <c r="L189" s="23" t="s">
        <v>28</v>
      </c>
      <c r="N189" s="16"/>
      <c r="O189" s="17"/>
      <c r="P189" s="17">
        <v>80</v>
      </c>
      <c r="Q189" s="22"/>
      <c r="R189" s="23"/>
      <c r="Z189" s="23" t="s">
        <v>273</v>
      </c>
    </row>
    <row r="190" spans="1:26" ht="12.75">
      <c r="A190" s="22">
        <v>46283</v>
      </c>
      <c r="B190" s="23" t="s">
        <v>14</v>
      </c>
      <c r="C190" s="23" t="s">
        <v>117</v>
      </c>
      <c r="D190" s="19"/>
      <c r="E190" s="23" t="s">
        <v>24</v>
      </c>
      <c r="G190" s="23" t="s">
        <v>38</v>
      </c>
      <c r="H190" s="18">
        <v>70</v>
      </c>
      <c r="J190" s="18"/>
      <c r="K190" s="23" t="s">
        <v>18</v>
      </c>
      <c r="L190" s="23" t="s">
        <v>34</v>
      </c>
      <c r="N190" s="16"/>
      <c r="O190" s="17"/>
      <c r="P190" s="17">
        <v>70</v>
      </c>
      <c r="Q190" s="22"/>
      <c r="R190" s="23"/>
      <c r="Z190" s="23" t="s">
        <v>274</v>
      </c>
    </row>
    <row r="191" spans="1:26" ht="12.75">
      <c r="A191" s="22">
        <v>46283</v>
      </c>
      <c r="B191" s="23" t="s">
        <v>14</v>
      </c>
      <c r="C191" s="23" t="s">
        <v>224</v>
      </c>
      <c r="D191" s="19">
        <v>31042</v>
      </c>
      <c r="E191" s="23" t="s">
        <v>24</v>
      </c>
      <c r="F191" s="23">
        <v>11973109654</v>
      </c>
      <c r="G191" s="23" t="s">
        <v>16</v>
      </c>
      <c r="H191" s="18">
        <v>45</v>
      </c>
      <c r="J191" s="18"/>
      <c r="K191" s="23" t="s">
        <v>18</v>
      </c>
      <c r="L191" s="23" t="s">
        <v>28</v>
      </c>
      <c r="N191" s="16"/>
      <c r="O191" s="17"/>
      <c r="P191" s="17">
        <v>45</v>
      </c>
      <c r="Q191" s="22"/>
      <c r="R191" s="23"/>
      <c r="Z191" s="23" t="s">
        <v>275</v>
      </c>
    </row>
    <row r="192" spans="1:26" ht="12.75">
      <c r="A192" s="22">
        <v>46283</v>
      </c>
      <c r="B192" s="23" t="s">
        <v>23</v>
      </c>
      <c r="C192" s="23" t="s">
        <v>126</v>
      </c>
      <c r="D192" s="19">
        <v>33764</v>
      </c>
      <c r="E192" s="23" t="s">
        <v>24</v>
      </c>
      <c r="F192" s="23">
        <v>11991040876</v>
      </c>
      <c r="G192" s="23" t="s">
        <v>32</v>
      </c>
      <c r="H192" s="18">
        <v>35</v>
      </c>
      <c r="J192" s="18"/>
      <c r="K192" s="23" t="s">
        <v>18</v>
      </c>
      <c r="L192" s="23" t="s">
        <v>19</v>
      </c>
      <c r="N192" s="16"/>
      <c r="O192" s="17"/>
      <c r="P192" s="17">
        <v>35</v>
      </c>
      <c r="Q192" s="22"/>
      <c r="R192" s="23"/>
      <c r="Z192" s="23" t="s">
        <v>276</v>
      </c>
    </row>
    <row r="193" spans="1:26" ht="12.75">
      <c r="A193" s="22">
        <v>46283</v>
      </c>
      <c r="B193" s="23" t="s">
        <v>23</v>
      </c>
      <c r="C193" s="23" t="s">
        <v>277</v>
      </c>
      <c r="D193" s="19"/>
      <c r="E193" s="23" t="s">
        <v>24</v>
      </c>
      <c r="G193" s="23" t="s">
        <v>43</v>
      </c>
      <c r="H193" s="18">
        <v>25</v>
      </c>
      <c r="I193" s="23" t="s">
        <v>21</v>
      </c>
      <c r="J193" s="18">
        <v>10</v>
      </c>
      <c r="K193" s="23" t="s">
        <v>18</v>
      </c>
      <c r="L193" s="23" t="s">
        <v>39</v>
      </c>
      <c r="N193" s="16"/>
      <c r="O193" s="17"/>
      <c r="P193" s="17">
        <v>35</v>
      </c>
      <c r="Q193" s="22"/>
      <c r="R193" s="23"/>
      <c r="Z193" s="23" t="s">
        <v>278</v>
      </c>
    </row>
    <row r="194" spans="1:26" ht="12.75">
      <c r="A194" s="22">
        <v>46283</v>
      </c>
      <c r="B194" s="23" t="s">
        <v>23</v>
      </c>
      <c r="C194" s="23" t="s">
        <v>279</v>
      </c>
      <c r="D194" s="19">
        <v>28568</v>
      </c>
      <c r="E194" s="23" t="s">
        <v>24</v>
      </c>
      <c r="F194" s="23">
        <v>11976517551</v>
      </c>
      <c r="G194" s="23" t="s">
        <v>25</v>
      </c>
      <c r="H194" s="18">
        <v>80</v>
      </c>
      <c r="J194" s="18"/>
      <c r="K194" s="23" t="s">
        <v>27</v>
      </c>
      <c r="L194" s="23" t="s">
        <v>27</v>
      </c>
      <c r="N194" s="16"/>
      <c r="O194" s="17"/>
      <c r="P194" s="17">
        <v>80</v>
      </c>
      <c r="Q194" s="22"/>
      <c r="R194" s="23"/>
      <c r="Z194" s="23" t="s">
        <v>280</v>
      </c>
    </row>
    <row r="195" spans="1:26" ht="12.75">
      <c r="A195" s="22">
        <v>46283</v>
      </c>
      <c r="B195" s="23" t="s">
        <v>14</v>
      </c>
      <c r="C195" s="23" t="s">
        <v>133</v>
      </c>
      <c r="D195" s="19">
        <v>37148</v>
      </c>
      <c r="E195" s="23" t="s">
        <v>24</v>
      </c>
      <c r="F195" s="23">
        <v>11990004740</v>
      </c>
      <c r="G195" s="23" t="s">
        <v>16</v>
      </c>
      <c r="H195" s="18">
        <v>45</v>
      </c>
      <c r="I195" s="23" t="s">
        <v>21</v>
      </c>
      <c r="J195" s="18">
        <v>10</v>
      </c>
      <c r="K195" s="23" t="s">
        <v>18</v>
      </c>
      <c r="L195" s="23" t="s">
        <v>34</v>
      </c>
      <c r="N195" s="16"/>
      <c r="O195" s="17"/>
      <c r="P195" s="17">
        <v>55</v>
      </c>
      <c r="Q195" s="22"/>
      <c r="R195" s="23"/>
      <c r="Z195" s="23" t="s">
        <v>281</v>
      </c>
    </row>
    <row r="196" spans="1:26" ht="12.75">
      <c r="A196" s="22">
        <v>46283</v>
      </c>
      <c r="B196" s="23" t="s">
        <v>23</v>
      </c>
      <c r="C196" s="23" t="s">
        <v>130</v>
      </c>
      <c r="D196" s="19">
        <v>38774</v>
      </c>
      <c r="E196" s="23" t="s">
        <v>24</v>
      </c>
      <c r="F196" s="23">
        <v>11964662426</v>
      </c>
      <c r="G196" s="23" t="s">
        <v>16</v>
      </c>
      <c r="H196" s="18">
        <v>45</v>
      </c>
      <c r="J196" s="18"/>
      <c r="K196" s="23" t="s">
        <v>18</v>
      </c>
      <c r="L196" s="23" t="s">
        <v>39</v>
      </c>
      <c r="N196" s="16"/>
      <c r="O196" s="17"/>
      <c r="P196" s="17">
        <v>45</v>
      </c>
      <c r="Q196" s="22"/>
      <c r="R196" s="23"/>
      <c r="Z196" s="23" t="s">
        <v>282</v>
      </c>
    </row>
    <row r="197" spans="1:26" ht="12.75">
      <c r="A197" s="22">
        <v>46283</v>
      </c>
      <c r="B197" s="23" t="s">
        <v>14</v>
      </c>
      <c r="C197" s="23" t="s">
        <v>121</v>
      </c>
      <c r="D197" s="19"/>
      <c r="E197" s="23" t="s">
        <v>24</v>
      </c>
      <c r="G197" s="23" t="s">
        <v>16</v>
      </c>
      <c r="H197" s="18">
        <v>45</v>
      </c>
      <c r="J197" s="18"/>
      <c r="K197" s="23" t="s">
        <v>27</v>
      </c>
      <c r="L197" s="23" t="s">
        <v>27</v>
      </c>
      <c r="N197" s="16"/>
      <c r="O197" s="17"/>
      <c r="P197" s="17">
        <v>45</v>
      </c>
      <c r="Q197" s="22"/>
      <c r="R197" s="23"/>
      <c r="Z197" s="23" t="s">
        <v>283</v>
      </c>
    </row>
    <row r="198" spans="1:26" ht="12.75">
      <c r="A198" s="22">
        <v>46284</v>
      </c>
      <c r="B198" s="23" t="s">
        <v>14</v>
      </c>
      <c r="C198" s="23" t="s">
        <v>284</v>
      </c>
      <c r="D198" s="19">
        <v>33679</v>
      </c>
      <c r="E198" s="23" t="s">
        <v>24</v>
      </c>
      <c r="F198" s="23">
        <v>11963141134</v>
      </c>
      <c r="G198" s="23" t="s">
        <v>16</v>
      </c>
      <c r="H198" s="18">
        <v>45</v>
      </c>
      <c r="J198" s="18"/>
      <c r="K198" s="23" t="s">
        <v>18</v>
      </c>
      <c r="L198" s="23" t="s">
        <v>34</v>
      </c>
      <c r="N198" s="16"/>
      <c r="O198" s="17"/>
      <c r="P198" s="17">
        <v>45</v>
      </c>
      <c r="Q198" s="22"/>
      <c r="R198" s="23"/>
      <c r="Z198" s="23" t="s">
        <v>285</v>
      </c>
    </row>
    <row r="199" spans="1:26" ht="12.75">
      <c r="A199" s="22">
        <v>46284</v>
      </c>
      <c r="B199" s="23" t="s">
        <v>23</v>
      </c>
      <c r="C199" s="23" t="s">
        <v>136</v>
      </c>
      <c r="D199" s="19">
        <v>37678</v>
      </c>
      <c r="E199" s="23" t="s">
        <v>24</v>
      </c>
      <c r="F199" s="23">
        <v>21976608617</v>
      </c>
      <c r="G199" s="23" t="s">
        <v>16</v>
      </c>
      <c r="H199" s="18">
        <v>45</v>
      </c>
      <c r="J199" s="18"/>
      <c r="K199" s="23" t="s">
        <v>18</v>
      </c>
      <c r="L199" s="23" t="s">
        <v>28</v>
      </c>
      <c r="N199" s="16"/>
      <c r="O199" s="17"/>
      <c r="P199" s="17">
        <v>45</v>
      </c>
      <c r="Q199" s="22"/>
      <c r="R199" s="23"/>
      <c r="Z199" s="23" t="s">
        <v>286</v>
      </c>
    </row>
    <row r="200" spans="1:26" ht="12.75">
      <c r="A200" s="22">
        <v>46284</v>
      </c>
      <c r="B200" s="23" t="s">
        <v>23</v>
      </c>
      <c r="C200" s="23" t="s">
        <v>287</v>
      </c>
      <c r="D200" s="19">
        <v>37153</v>
      </c>
      <c r="E200" s="23" t="s">
        <v>24</v>
      </c>
      <c r="F200" s="23">
        <v>11939121167</v>
      </c>
      <c r="G200" s="23" t="s">
        <v>38</v>
      </c>
      <c r="H200" s="18">
        <v>70</v>
      </c>
      <c r="J200" s="18"/>
      <c r="K200" s="23" t="s">
        <v>18</v>
      </c>
      <c r="L200" s="23" t="s">
        <v>19</v>
      </c>
      <c r="N200" s="16"/>
      <c r="O200" s="17"/>
      <c r="P200" s="17">
        <v>70</v>
      </c>
      <c r="Q200" s="22"/>
      <c r="R200" s="23"/>
      <c r="Z200" s="23" t="s">
        <v>288</v>
      </c>
    </row>
    <row r="201" spans="1:26" ht="12.75">
      <c r="A201" s="22">
        <v>46284</v>
      </c>
      <c r="B201" s="23" t="s">
        <v>14</v>
      </c>
      <c r="C201" s="23" t="s">
        <v>289</v>
      </c>
      <c r="D201" s="19">
        <v>33542</v>
      </c>
      <c r="E201" s="23" t="s">
        <v>15</v>
      </c>
      <c r="F201" s="23">
        <v>11932137234</v>
      </c>
      <c r="G201" s="23" t="s">
        <v>16</v>
      </c>
      <c r="H201" s="18">
        <v>45</v>
      </c>
      <c r="J201" s="18"/>
      <c r="K201" s="23" t="s">
        <v>18</v>
      </c>
      <c r="L201" s="23" t="s">
        <v>39</v>
      </c>
      <c r="N201" s="16"/>
      <c r="O201" s="17"/>
      <c r="P201" s="17">
        <v>45</v>
      </c>
      <c r="Q201" s="22"/>
      <c r="R201" s="23"/>
      <c r="Z201" s="23" t="s">
        <v>290</v>
      </c>
    </row>
    <row r="202" spans="1:26" ht="12.75">
      <c r="A202" s="22">
        <v>46284</v>
      </c>
      <c r="B202" s="23" t="s">
        <v>14</v>
      </c>
      <c r="C202" s="23" t="s">
        <v>291</v>
      </c>
      <c r="D202" s="19">
        <v>34802</v>
      </c>
      <c r="E202" s="23" t="s">
        <v>24</v>
      </c>
      <c r="F202" s="23">
        <v>11993561282</v>
      </c>
      <c r="G202" s="23" t="s">
        <v>25</v>
      </c>
      <c r="H202" s="18">
        <v>80</v>
      </c>
      <c r="J202" s="18"/>
      <c r="K202" s="23" t="s">
        <v>18</v>
      </c>
      <c r="L202" s="23" t="s">
        <v>28</v>
      </c>
      <c r="N202" s="16"/>
      <c r="O202" s="17"/>
      <c r="P202" s="17">
        <v>80</v>
      </c>
      <c r="Q202" s="22"/>
      <c r="R202" s="23"/>
      <c r="Z202" s="23" t="s">
        <v>292</v>
      </c>
    </row>
    <row r="203" spans="1:26" ht="12.75">
      <c r="A203" s="22">
        <v>46284</v>
      </c>
      <c r="B203" s="23" t="s">
        <v>23</v>
      </c>
      <c r="C203" s="23" t="s">
        <v>293</v>
      </c>
      <c r="D203" s="19">
        <v>44161</v>
      </c>
      <c r="E203" s="23" t="s">
        <v>24</v>
      </c>
      <c r="F203" s="23">
        <v>11983232331</v>
      </c>
      <c r="G203" s="23" t="s">
        <v>16</v>
      </c>
      <c r="H203" s="18">
        <v>45</v>
      </c>
      <c r="J203" s="18"/>
      <c r="K203" s="23" t="s">
        <v>18</v>
      </c>
      <c r="L203" s="23" t="s">
        <v>34</v>
      </c>
      <c r="N203" s="16"/>
      <c r="O203" s="17"/>
      <c r="P203" s="17">
        <v>45</v>
      </c>
      <c r="Q203" s="22"/>
      <c r="R203" s="23"/>
      <c r="Z203" s="23" t="s">
        <v>294</v>
      </c>
    </row>
    <row r="204" spans="1:26" ht="12.75">
      <c r="A204" s="22">
        <v>46284</v>
      </c>
      <c r="B204" s="23" t="s">
        <v>14</v>
      </c>
      <c r="C204" s="23" t="s">
        <v>295</v>
      </c>
      <c r="D204" s="19">
        <v>35283</v>
      </c>
      <c r="E204" s="23" t="s">
        <v>24</v>
      </c>
      <c r="F204" s="23">
        <v>11983232331</v>
      </c>
      <c r="G204" s="23" t="s">
        <v>16</v>
      </c>
      <c r="H204" s="18">
        <v>45</v>
      </c>
      <c r="J204" s="18"/>
      <c r="K204" s="23" t="s">
        <v>18</v>
      </c>
      <c r="L204" s="23" t="s">
        <v>34</v>
      </c>
      <c r="N204" s="16"/>
      <c r="O204" s="17"/>
      <c r="P204" s="17">
        <v>45</v>
      </c>
      <c r="Q204" s="22"/>
      <c r="R204" s="23"/>
      <c r="Z204" s="23" t="s">
        <v>296</v>
      </c>
    </row>
    <row r="205" spans="1:26" ht="12.75">
      <c r="A205" s="22">
        <v>46284</v>
      </c>
      <c r="B205" s="23" t="s">
        <v>14</v>
      </c>
      <c r="C205" s="23" t="s">
        <v>297</v>
      </c>
      <c r="D205" s="19">
        <v>36766</v>
      </c>
      <c r="E205" s="23" t="s">
        <v>24</v>
      </c>
      <c r="G205" s="23" t="s">
        <v>16</v>
      </c>
      <c r="H205" s="18">
        <v>45</v>
      </c>
      <c r="J205" s="18"/>
      <c r="K205" s="23" t="s">
        <v>27</v>
      </c>
      <c r="L205" s="23" t="s">
        <v>27</v>
      </c>
      <c r="N205" s="16"/>
      <c r="O205" s="17"/>
      <c r="P205" s="17">
        <v>45</v>
      </c>
      <c r="Q205" s="22"/>
      <c r="R205" s="23"/>
      <c r="Z205" s="23" t="s">
        <v>298</v>
      </c>
    </row>
    <row r="206" spans="1:26" ht="12.75">
      <c r="A206" s="22">
        <v>46284</v>
      </c>
      <c r="B206" s="23" t="s">
        <v>23</v>
      </c>
      <c r="C206" s="23" t="s">
        <v>187</v>
      </c>
      <c r="D206" s="19"/>
      <c r="E206" s="23" t="s">
        <v>24</v>
      </c>
      <c r="F206" s="23">
        <v>11985693394</v>
      </c>
      <c r="G206" s="23" t="s">
        <v>25</v>
      </c>
      <c r="H206" s="18">
        <v>80</v>
      </c>
      <c r="J206" s="18"/>
      <c r="K206" s="23" t="s">
        <v>27</v>
      </c>
      <c r="L206" s="23" t="s">
        <v>27</v>
      </c>
      <c r="N206" s="16"/>
      <c r="O206" s="17"/>
      <c r="P206" s="17">
        <v>80</v>
      </c>
      <c r="Q206" s="22"/>
      <c r="R206" s="23"/>
      <c r="Z206" s="23" t="s">
        <v>299</v>
      </c>
    </row>
    <row r="207" spans="1:26" ht="12.75">
      <c r="A207" s="22">
        <v>46284</v>
      </c>
      <c r="B207" s="23" t="s">
        <v>23</v>
      </c>
      <c r="C207" s="23" t="s">
        <v>300</v>
      </c>
      <c r="D207" s="19">
        <v>37252</v>
      </c>
      <c r="E207" s="23" t="s">
        <v>24</v>
      </c>
      <c r="F207" s="23">
        <v>11994511094</v>
      </c>
      <c r="G207" s="23" t="s">
        <v>16</v>
      </c>
      <c r="H207" s="18">
        <v>45</v>
      </c>
      <c r="I207" s="23" t="s">
        <v>21</v>
      </c>
      <c r="J207" s="18">
        <v>10</v>
      </c>
      <c r="K207" s="23" t="s">
        <v>18</v>
      </c>
      <c r="L207" s="23" t="s">
        <v>34</v>
      </c>
      <c r="N207" s="16"/>
      <c r="O207" s="17"/>
      <c r="P207" s="17">
        <v>55</v>
      </c>
      <c r="Q207" s="22"/>
      <c r="R207" s="23"/>
      <c r="Z207" s="23" t="s">
        <v>301</v>
      </c>
    </row>
    <row r="208" spans="1:26" ht="12.75">
      <c r="A208" s="22">
        <v>46284</v>
      </c>
      <c r="B208" s="23" t="s">
        <v>14</v>
      </c>
      <c r="C208" s="23" t="s">
        <v>132</v>
      </c>
      <c r="D208" s="19">
        <v>34844</v>
      </c>
      <c r="E208" s="23" t="s">
        <v>24</v>
      </c>
      <c r="F208" s="23">
        <v>11993702079</v>
      </c>
      <c r="G208" s="23" t="s">
        <v>25</v>
      </c>
      <c r="H208" s="18">
        <v>80</v>
      </c>
      <c r="J208" s="18"/>
      <c r="K208" s="23" t="s">
        <v>27</v>
      </c>
      <c r="L208" s="23" t="s">
        <v>27</v>
      </c>
      <c r="N208" s="16"/>
      <c r="O208" s="17"/>
      <c r="P208" s="17">
        <v>80</v>
      </c>
      <c r="Q208" s="22"/>
      <c r="R208" s="23"/>
      <c r="Z208" s="23" t="s">
        <v>302</v>
      </c>
    </row>
    <row r="209" spans="1:26" ht="12.75">
      <c r="A209" s="22">
        <v>46284</v>
      </c>
      <c r="B209" s="23" t="s">
        <v>14</v>
      </c>
      <c r="C209" s="23" t="s">
        <v>196</v>
      </c>
      <c r="D209" s="19"/>
      <c r="E209" s="23" t="s">
        <v>24</v>
      </c>
      <c r="F209" s="23">
        <v>11940625488</v>
      </c>
      <c r="G209" s="23" t="s">
        <v>16</v>
      </c>
      <c r="H209" s="18">
        <v>45</v>
      </c>
      <c r="J209" s="18"/>
      <c r="K209" s="23" t="s">
        <v>27</v>
      </c>
      <c r="L209" s="23" t="s">
        <v>27</v>
      </c>
      <c r="N209" s="16"/>
      <c r="O209" s="17"/>
      <c r="P209" s="17">
        <v>45</v>
      </c>
      <c r="Q209" s="22"/>
      <c r="R209" s="23"/>
      <c r="Z209" s="23" t="s">
        <v>303</v>
      </c>
    </row>
    <row r="210" spans="1:26" ht="12.75">
      <c r="A210" s="22">
        <v>46284</v>
      </c>
      <c r="B210" s="23" t="s">
        <v>23</v>
      </c>
      <c r="C210" s="23" t="s">
        <v>304</v>
      </c>
      <c r="D210" s="19">
        <v>33498</v>
      </c>
      <c r="E210" s="23" t="s">
        <v>24</v>
      </c>
      <c r="F210" s="23">
        <v>11954645523</v>
      </c>
      <c r="G210" s="23" t="s">
        <v>46</v>
      </c>
      <c r="H210" s="18">
        <v>30</v>
      </c>
      <c r="J210" s="18"/>
      <c r="K210" s="23" t="s">
        <v>18</v>
      </c>
      <c r="L210" s="23" t="s">
        <v>39</v>
      </c>
      <c r="N210" s="16"/>
      <c r="O210" s="17"/>
      <c r="P210" s="17">
        <v>30</v>
      </c>
      <c r="Q210" s="22"/>
      <c r="R210" s="23"/>
      <c r="Z210" s="23" t="s">
        <v>305</v>
      </c>
    </row>
    <row r="211" spans="1:26" ht="12.75">
      <c r="A211" s="22">
        <v>46284</v>
      </c>
      <c r="B211" s="23" t="s">
        <v>14</v>
      </c>
      <c r="C211" s="23" t="s">
        <v>114</v>
      </c>
      <c r="D211" s="19"/>
      <c r="E211" s="23" t="s">
        <v>24</v>
      </c>
      <c r="G211" s="23" t="s">
        <v>16</v>
      </c>
      <c r="H211" s="18">
        <v>45</v>
      </c>
      <c r="J211" s="18"/>
      <c r="K211" s="23" t="s">
        <v>27</v>
      </c>
      <c r="L211" s="23" t="s">
        <v>27</v>
      </c>
      <c r="N211" s="16"/>
      <c r="O211" s="17"/>
      <c r="P211" s="17">
        <v>45</v>
      </c>
      <c r="Q211" s="22"/>
      <c r="R211" s="23"/>
      <c r="Z211" s="23" t="s">
        <v>306</v>
      </c>
    </row>
    <row r="212" spans="1:26" ht="12.75">
      <c r="A212" s="22">
        <v>46286</v>
      </c>
      <c r="B212" s="23" t="s">
        <v>23</v>
      </c>
      <c r="C212" s="23" t="s">
        <v>237</v>
      </c>
      <c r="D212" s="19">
        <v>30371</v>
      </c>
      <c r="E212" s="23" t="s">
        <v>24</v>
      </c>
      <c r="F212" s="23">
        <v>11944581484</v>
      </c>
      <c r="G212" s="23" t="s">
        <v>25</v>
      </c>
      <c r="H212" s="18">
        <v>80</v>
      </c>
      <c r="J212" s="18"/>
      <c r="K212" s="23" t="s">
        <v>27</v>
      </c>
      <c r="L212" s="23" t="s">
        <v>27</v>
      </c>
      <c r="N212" s="16"/>
      <c r="O212" s="17"/>
      <c r="P212" s="17">
        <v>80</v>
      </c>
      <c r="Q212" s="22"/>
      <c r="R212" s="23"/>
      <c r="Z212" s="23" t="s">
        <v>307</v>
      </c>
    </row>
    <row r="213" spans="1:26" ht="12.75">
      <c r="A213" s="22">
        <v>46286</v>
      </c>
      <c r="B213" s="23" t="s">
        <v>23</v>
      </c>
      <c r="C213" s="23" t="s">
        <v>151</v>
      </c>
      <c r="D213" s="19">
        <v>26785</v>
      </c>
      <c r="E213" s="23" t="s">
        <v>24</v>
      </c>
      <c r="F213" s="23">
        <v>11976252001</v>
      </c>
      <c r="G213" s="23" t="s">
        <v>16</v>
      </c>
      <c r="H213" s="18">
        <v>45</v>
      </c>
      <c r="J213" s="18"/>
      <c r="K213" s="23" t="s">
        <v>18</v>
      </c>
      <c r="L213" s="23" t="s">
        <v>39</v>
      </c>
      <c r="N213" s="16"/>
      <c r="O213" s="17"/>
      <c r="P213" s="17">
        <v>45</v>
      </c>
      <c r="Q213" s="22"/>
      <c r="R213" s="23"/>
      <c r="Z213" s="23" t="s">
        <v>308</v>
      </c>
    </row>
    <row r="214" spans="1:26" ht="12.75">
      <c r="A214" s="22">
        <v>46286</v>
      </c>
      <c r="B214" s="23" t="s">
        <v>23</v>
      </c>
      <c r="C214" s="23" t="s">
        <v>309</v>
      </c>
      <c r="D214" s="19">
        <v>44919</v>
      </c>
      <c r="E214" s="23" t="s">
        <v>15</v>
      </c>
      <c r="F214" s="23">
        <v>11988456540</v>
      </c>
      <c r="G214" s="23" t="s">
        <v>16</v>
      </c>
      <c r="H214" s="18">
        <v>45</v>
      </c>
      <c r="J214" s="18"/>
      <c r="K214" s="23" t="s">
        <v>18</v>
      </c>
      <c r="L214" s="23" t="s">
        <v>28</v>
      </c>
      <c r="N214" s="16"/>
      <c r="O214" s="17"/>
      <c r="P214" s="17">
        <v>45</v>
      </c>
      <c r="Q214" s="22"/>
      <c r="R214" s="23"/>
      <c r="Z214" s="23" t="s">
        <v>310</v>
      </c>
    </row>
    <row r="215" spans="1:26" ht="12.75">
      <c r="A215" s="22">
        <v>46287</v>
      </c>
      <c r="B215" s="23" t="s">
        <v>14</v>
      </c>
      <c r="C215" s="23" t="s">
        <v>311</v>
      </c>
      <c r="D215" s="19"/>
      <c r="E215" s="23" t="s">
        <v>24</v>
      </c>
      <c r="F215" s="23">
        <v>11957520284</v>
      </c>
      <c r="G215" s="23" t="s">
        <v>16</v>
      </c>
      <c r="H215" s="18">
        <v>45</v>
      </c>
      <c r="J215" s="18"/>
      <c r="K215" s="23" t="s">
        <v>18</v>
      </c>
      <c r="L215" s="23" t="s">
        <v>34</v>
      </c>
      <c r="N215" s="16"/>
      <c r="O215" s="17"/>
      <c r="P215" s="17">
        <v>45</v>
      </c>
      <c r="Q215" s="22"/>
      <c r="R215" s="23"/>
      <c r="Z215" s="23" t="s">
        <v>312</v>
      </c>
    </row>
    <row r="216" spans="1:26" ht="12.75">
      <c r="A216" s="22">
        <v>46287</v>
      </c>
      <c r="B216" s="23" t="s">
        <v>23</v>
      </c>
      <c r="C216" s="23" t="s">
        <v>313</v>
      </c>
      <c r="D216" s="19">
        <v>33786</v>
      </c>
      <c r="E216" s="23" t="s">
        <v>24</v>
      </c>
      <c r="F216" s="23">
        <v>11940752518</v>
      </c>
      <c r="G216" s="23" t="s">
        <v>16</v>
      </c>
      <c r="H216" s="18">
        <v>45</v>
      </c>
      <c r="J216" s="18"/>
      <c r="K216" s="23" t="s">
        <v>18</v>
      </c>
      <c r="L216" s="23" t="s">
        <v>39</v>
      </c>
      <c r="N216" s="16"/>
      <c r="O216" s="17"/>
      <c r="P216" s="17">
        <v>45</v>
      </c>
      <c r="Q216" s="22"/>
      <c r="R216" s="23"/>
      <c r="Z216" s="23" t="s">
        <v>314</v>
      </c>
    </row>
    <row r="217" spans="1:26" ht="12.75">
      <c r="A217" s="22">
        <v>46287</v>
      </c>
      <c r="B217" s="23" t="s">
        <v>14</v>
      </c>
      <c r="C217" s="23" t="s">
        <v>315</v>
      </c>
      <c r="D217" s="19">
        <v>34698</v>
      </c>
      <c r="E217" s="23" t="s">
        <v>24</v>
      </c>
      <c r="F217" s="23">
        <v>11913130479</v>
      </c>
      <c r="G217" s="23" t="s">
        <v>32</v>
      </c>
      <c r="H217" s="18">
        <v>35</v>
      </c>
      <c r="I217" s="23" t="s">
        <v>21</v>
      </c>
      <c r="J217" s="18">
        <v>10</v>
      </c>
      <c r="K217" s="23" t="s">
        <v>18</v>
      </c>
      <c r="L217" s="23" t="s">
        <v>34</v>
      </c>
      <c r="N217" s="16"/>
      <c r="O217" s="17"/>
      <c r="P217" s="17">
        <v>45</v>
      </c>
      <c r="Q217" s="22"/>
      <c r="R217" s="23"/>
      <c r="Z217" s="23" t="s">
        <v>316</v>
      </c>
    </row>
    <row r="218" spans="1:26" ht="12.75">
      <c r="A218" s="22">
        <v>46287</v>
      </c>
      <c r="B218" s="23" t="s">
        <v>14</v>
      </c>
      <c r="C218" s="23" t="s">
        <v>317</v>
      </c>
      <c r="D218" s="19"/>
      <c r="E218" s="23" t="s">
        <v>24</v>
      </c>
      <c r="G218" s="23" t="s">
        <v>16</v>
      </c>
      <c r="H218" s="18">
        <v>45</v>
      </c>
      <c r="J218" s="18"/>
      <c r="K218" s="23" t="s">
        <v>18</v>
      </c>
      <c r="L218" s="23" t="s">
        <v>34</v>
      </c>
      <c r="N218" s="16"/>
      <c r="O218" s="17"/>
      <c r="P218" s="17">
        <v>45</v>
      </c>
      <c r="Q218" s="22"/>
      <c r="R218" s="23"/>
      <c r="Z218" s="23" t="s">
        <v>318</v>
      </c>
    </row>
    <row r="219" spans="1:26" ht="12.75">
      <c r="A219" s="22">
        <v>46287</v>
      </c>
      <c r="B219" s="23" t="s">
        <v>14</v>
      </c>
      <c r="C219" s="23" t="s">
        <v>97</v>
      </c>
      <c r="D219" s="19"/>
      <c r="E219" s="23" t="s">
        <v>24</v>
      </c>
      <c r="F219" s="23">
        <v>11981490848</v>
      </c>
      <c r="G219" s="23" t="s">
        <v>16</v>
      </c>
      <c r="H219" s="18">
        <v>45</v>
      </c>
      <c r="J219" s="18"/>
      <c r="K219" s="23" t="s">
        <v>18</v>
      </c>
      <c r="L219" s="23" t="s">
        <v>34</v>
      </c>
      <c r="N219" s="16"/>
      <c r="O219" s="17"/>
      <c r="P219" s="17">
        <v>45</v>
      </c>
      <c r="Q219" s="22"/>
      <c r="R219" s="23"/>
      <c r="Z219" s="23" t="s">
        <v>319</v>
      </c>
    </row>
    <row r="220" spans="1:26" ht="12.75">
      <c r="A220" s="22">
        <v>46287</v>
      </c>
      <c r="B220" s="23" t="s">
        <v>23</v>
      </c>
      <c r="C220" s="23" t="s">
        <v>102</v>
      </c>
      <c r="D220" s="19">
        <v>33525</v>
      </c>
      <c r="E220" s="23" t="s">
        <v>24</v>
      </c>
      <c r="F220" s="23">
        <v>11951069136</v>
      </c>
      <c r="G220" s="23" t="s">
        <v>25</v>
      </c>
      <c r="H220" s="18">
        <v>80</v>
      </c>
      <c r="J220" s="18"/>
      <c r="K220" s="23" t="s">
        <v>27</v>
      </c>
      <c r="L220" s="23" t="s">
        <v>27</v>
      </c>
      <c r="N220" s="16"/>
      <c r="O220" s="17"/>
      <c r="P220" s="17">
        <v>80</v>
      </c>
      <c r="Q220" s="22"/>
      <c r="R220" s="23"/>
      <c r="Z220" s="23" t="s">
        <v>320</v>
      </c>
    </row>
    <row r="221" spans="1:26" ht="12.75">
      <c r="A221" s="22">
        <v>46287</v>
      </c>
      <c r="B221" s="23" t="s">
        <v>14</v>
      </c>
      <c r="C221" s="23" t="s">
        <v>218</v>
      </c>
      <c r="D221" s="19"/>
      <c r="E221" s="23" t="s">
        <v>24</v>
      </c>
      <c r="G221" s="23" t="s">
        <v>25</v>
      </c>
      <c r="H221" s="18">
        <v>80</v>
      </c>
      <c r="J221" s="18"/>
      <c r="K221" s="23" t="s">
        <v>27</v>
      </c>
      <c r="L221" s="23" t="s">
        <v>27</v>
      </c>
      <c r="N221" s="16"/>
      <c r="O221" s="17"/>
      <c r="P221" s="17">
        <v>80</v>
      </c>
      <c r="Q221" s="22"/>
      <c r="R221" s="23"/>
      <c r="Z221" s="23" t="s">
        <v>321</v>
      </c>
    </row>
    <row r="222" spans="1:26" ht="12.75">
      <c r="A222" s="22">
        <v>46287</v>
      </c>
      <c r="B222" s="23" t="s">
        <v>23</v>
      </c>
      <c r="C222" s="23" t="s">
        <v>322</v>
      </c>
      <c r="D222" s="19"/>
      <c r="E222" s="23" t="s">
        <v>24</v>
      </c>
      <c r="F222" s="23">
        <v>119</v>
      </c>
      <c r="G222" s="23" t="s">
        <v>25</v>
      </c>
      <c r="H222" s="18">
        <v>80</v>
      </c>
      <c r="I222" s="23" t="s">
        <v>21</v>
      </c>
      <c r="J222" s="18">
        <v>10</v>
      </c>
      <c r="K222" s="23" t="s">
        <v>18</v>
      </c>
      <c r="L222" s="23" t="s">
        <v>28</v>
      </c>
      <c r="N222" s="16"/>
      <c r="O222" s="17"/>
      <c r="P222" s="17">
        <v>90</v>
      </c>
      <c r="Q222" s="22"/>
      <c r="R222" s="23"/>
      <c r="Z222" s="23" t="s">
        <v>323</v>
      </c>
    </row>
    <row r="223" spans="1:26" ht="12.75">
      <c r="A223" s="22">
        <v>46287</v>
      </c>
      <c r="B223" s="23" t="s">
        <v>14</v>
      </c>
      <c r="C223" s="23" t="s">
        <v>324</v>
      </c>
      <c r="D223" s="19">
        <v>37397</v>
      </c>
      <c r="E223" s="23" t="s">
        <v>24</v>
      </c>
      <c r="F223" s="23">
        <v>11925412286</v>
      </c>
      <c r="G223" s="23" t="s">
        <v>16</v>
      </c>
      <c r="H223" s="18">
        <v>45</v>
      </c>
      <c r="I223" s="23" t="s">
        <v>21</v>
      </c>
      <c r="J223" s="18">
        <v>10</v>
      </c>
      <c r="K223" s="23" t="s">
        <v>18</v>
      </c>
      <c r="L223" s="23" t="s">
        <v>39</v>
      </c>
      <c r="N223" s="16"/>
      <c r="O223" s="17"/>
      <c r="P223" s="17">
        <v>55</v>
      </c>
      <c r="Q223" s="22"/>
      <c r="R223" s="23"/>
      <c r="Z223" s="23" t="s">
        <v>325</v>
      </c>
    </row>
    <row r="224" spans="1:26" ht="12.75">
      <c r="A224" s="22">
        <v>46288</v>
      </c>
      <c r="B224" s="23" t="s">
        <v>14</v>
      </c>
      <c r="C224" s="23" t="s">
        <v>326</v>
      </c>
      <c r="D224" s="19"/>
      <c r="E224" s="23" t="s">
        <v>24</v>
      </c>
      <c r="G224" s="23" t="s">
        <v>16</v>
      </c>
      <c r="H224" s="18">
        <v>45</v>
      </c>
      <c r="J224" s="18"/>
      <c r="K224" s="23" t="s">
        <v>18</v>
      </c>
      <c r="L224" s="23" t="s">
        <v>34</v>
      </c>
      <c r="N224" s="16"/>
      <c r="O224" s="17"/>
      <c r="P224" s="17">
        <v>45</v>
      </c>
      <c r="Q224" s="22"/>
      <c r="R224" s="23"/>
      <c r="Z224" s="23" t="s">
        <v>327</v>
      </c>
    </row>
    <row r="225" spans="1:26" ht="12.75">
      <c r="A225" s="22">
        <v>46288</v>
      </c>
      <c r="B225" s="23" t="s">
        <v>14</v>
      </c>
      <c r="C225" s="23" t="s">
        <v>328</v>
      </c>
      <c r="D225" s="19">
        <v>37281</v>
      </c>
      <c r="E225" s="23" t="s">
        <v>24</v>
      </c>
      <c r="F225" s="23">
        <v>11978210863</v>
      </c>
      <c r="G225" s="23" t="s">
        <v>25</v>
      </c>
      <c r="H225" s="18">
        <v>80</v>
      </c>
      <c r="J225" s="18"/>
      <c r="K225" s="23" t="s">
        <v>18</v>
      </c>
      <c r="L225" s="23" t="s">
        <v>39</v>
      </c>
      <c r="N225" s="16"/>
      <c r="O225" s="17"/>
      <c r="P225" s="17">
        <v>80</v>
      </c>
      <c r="Q225" s="22"/>
      <c r="R225" s="23"/>
      <c r="Z225" s="23" t="s">
        <v>329</v>
      </c>
    </row>
    <row r="226" spans="1:26" ht="12.75">
      <c r="A226" s="22">
        <v>46288</v>
      </c>
      <c r="B226" s="23" t="s">
        <v>23</v>
      </c>
      <c r="C226" s="23" t="s">
        <v>111</v>
      </c>
      <c r="D226" s="19">
        <v>25482</v>
      </c>
      <c r="E226" s="23" t="s">
        <v>24</v>
      </c>
      <c r="F226" s="23">
        <v>11960706341</v>
      </c>
      <c r="G226" s="23" t="s">
        <v>25</v>
      </c>
      <c r="H226" s="18">
        <v>80</v>
      </c>
      <c r="J226" s="18"/>
      <c r="K226" s="23" t="s">
        <v>18</v>
      </c>
      <c r="L226" s="23" t="s">
        <v>28</v>
      </c>
      <c r="N226" s="16"/>
      <c r="O226" s="17"/>
      <c r="P226" s="17">
        <v>80</v>
      </c>
      <c r="Q226" s="22"/>
      <c r="R226" s="23"/>
      <c r="Z226" s="23" t="s">
        <v>330</v>
      </c>
    </row>
    <row r="227" spans="1:26" ht="12.75">
      <c r="A227" s="22">
        <v>46288</v>
      </c>
      <c r="B227" s="23" t="s">
        <v>23</v>
      </c>
      <c r="C227" s="23" t="s">
        <v>331</v>
      </c>
      <c r="D227" s="19">
        <v>33996</v>
      </c>
      <c r="E227" s="23" t="s">
        <v>24</v>
      </c>
      <c r="F227" s="23">
        <v>11947659074</v>
      </c>
      <c r="G227" s="23" t="s">
        <v>25</v>
      </c>
      <c r="H227" s="18">
        <v>80</v>
      </c>
      <c r="I227" s="23" t="s">
        <v>332</v>
      </c>
      <c r="J227" s="18">
        <v>10</v>
      </c>
      <c r="K227" s="23" t="s">
        <v>18</v>
      </c>
      <c r="L227" s="23" t="s">
        <v>28</v>
      </c>
      <c r="N227" s="16"/>
      <c r="O227" s="17"/>
      <c r="P227" s="17">
        <v>90</v>
      </c>
      <c r="Q227" s="22"/>
      <c r="R227" s="23"/>
      <c r="Z227" s="23" t="s">
        <v>333</v>
      </c>
    </row>
    <row r="228" spans="1:26" ht="12.75">
      <c r="A228" s="22">
        <v>46288</v>
      </c>
      <c r="B228" s="23" t="s">
        <v>14</v>
      </c>
      <c r="C228" s="23" t="s">
        <v>334</v>
      </c>
      <c r="D228" s="19">
        <v>35744</v>
      </c>
      <c r="E228" s="23" t="s">
        <v>24</v>
      </c>
      <c r="F228" s="23">
        <v>11958421967</v>
      </c>
      <c r="G228" s="23" t="s">
        <v>16</v>
      </c>
      <c r="H228" s="18">
        <v>45</v>
      </c>
      <c r="J228" s="18"/>
      <c r="K228" s="23" t="s">
        <v>18</v>
      </c>
      <c r="L228" s="23" t="s">
        <v>39</v>
      </c>
      <c r="N228" s="16"/>
      <c r="O228" s="17"/>
      <c r="P228" s="17">
        <v>45</v>
      </c>
      <c r="Q228" s="22"/>
      <c r="R228" s="23"/>
      <c r="Z228" s="23" t="s">
        <v>335</v>
      </c>
    </row>
    <row r="229" spans="1:26" ht="12.75">
      <c r="A229" s="22">
        <v>46288</v>
      </c>
      <c r="B229" s="23" t="s">
        <v>23</v>
      </c>
      <c r="C229" s="23" t="s">
        <v>336</v>
      </c>
      <c r="D229" s="19">
        <v>36803</v>
      </c>
      <c r="E229" s="23" t="s">
        <v>24</v>
      </c>
      <c r="F229" s="23">
        <v>11948325199</v>
      </c>
      <c r="G229" s="23" t="s">
        <v>16</v>
      </c>
      <c r="H229" s="18">
        <v>45</v>
      </c>
      <c r="J229" s="18"/>
      <c r="K229" s="23" t="s">
        <v>18</v>
      </c>
      <c r="L229" s="23" t="s">
        <v>34</v>
      </c>
      <c r="N229" s="16"/>
      <c r="O229" s="17"/>
      <c r="P229" s="17">
        <v>45</v>
      </c>
      <c r="Q229" s="22"/>
      <c r="R229" s="23"/>
      <c r="Z229" s="23" t="s">
        <v>337</v>
      </c>
    </row>
    <row r="230" spans="1:26" ht="12.75">
      <c r="A230" s="22">
        <v>46288</v>
      </c>
      <c r="B230" s="23" t="s">
        <v>23</v>
      </c>
      <c r="C230" s="23" t="s">
        <v>338</v>
      </c>
      <c r="D230" s="19"/>
      <c r="E230" s="23" t="s">
        <v>24</v>
      </c>
      <c r="G230" s="23" t="s">
        <v>16</v>
      </c>
      <c r="H230" s="18">
        <v>45</v>
      </c>
      <c r="J230" s="18"/>
      <c r="K230" s="23" t="s">
        <v>18</v>
      </c>
      <c r="L230" s="23" t="s">
        <v>19</v>
      </c>
      <c r="N230" s="16"/>
      <c r="O230" s="17"/>
      <c r="P230" s="17">
        <v>45</v>
      </c>
      <c r="Q230" s="22"/>
      <c r="R230" s="23"/>
      <c r="Z230" s="23" t="s">
        <v>339</v>
      </c>
    </row>
    <row r="231" spans="1:26" ht="12.75">
      <c r="A231" s="22">
        <v>46288</v>
      </c>
      <c r="B231" s="23" t="s">
        <v>23</v>
      </c>
      <c r="C231" s="23" t="s">
        <v>340</v>
      </c>
      <c r="D231" s="19">
        <v>28230</v>
      </c>
      <c r="E231" s="23" t="s">
        <v>24</v>
      </c>
      <c r="F231" s="23">
        <v>14981385353</v>
      </c>
      <c r="G231" s="23" t="s">
        <v>16</v>
      </c>
      <c r="H231" s="18">
        <v>45</v>
      </c>
      <c r="J231" s="18"/>
      <c r="K231" s="23" t="s">
        <v>18</v>
      </c>
      <c r="L231" s="23" t="s">
        <v>28</v>
      </c>
      <c r="N231" s="16"/>
      <c r="O231" s="17"/>
      <c r="P231" s="17">
        <v>45</v>
      </c>
      <c r="Q231" s="22"/>
      <c r="R231" s="23"/>
      <c r="Z231" s="23" t="s">
        <v>341</v>
      </c>
    </row>
    <row r="232" spans="1:26" ht="12.75">
      <c r="A232" s="22">
        <v>46288</v>
      </c>
      <c r="B232" s="23" t="s">
        <v>14</v>
      </c>
      <c r="C232" s="23" t="s">
        <v>342</v>
      </c>
      <c r="D232" s="19">
        <v>31502</v>
      </c>
      <c r="E232" s="23" t="s">
        <v>24</v>
      </c>
      <c r="F232" s="23">
        <v>11942949453</v>
      </c>
      <c r="G232" s="23" t="s">
        <v>16</v>
      </c>
      <c r="H232" s="18">
        <v>45</v>
      </c>
      <c r="J232" s="18"/>
      <c r="K232" s="23" t="s">
        <v>18</v>
      </c>
      <c r="L232" s="23" t="s">
        <v>34</v>
      </c>
      <c r="N232" s="16"/>
      <c r="O232" s="17"/>
      <c r="P232" s="17">
        <v>45</v>
      </c>
      <c r="Q232" s="22"/>
      <c r="R232" s="23"/>
      <c r="Z232" s="23" t="s">
        <v>343</v>
      </c>
    </row>
    <row r="233" spans="1:26" ht="12.75">
      <c r="A233" s="22">
        <v>46288</v>
      </c>
      <c r="B233" s="23" t="s">
        <v>23</v>
      </c>
      <c r="C233" s="23" t="s">
        <v>344</v>
      </c>
      <c r="D233" s="19">
        <v>30952</v>
      </c>
      <c r="E233" s="23" t="s">
        <v>24</v>
      </c>
      <c r="F233" s="23">
        <v>11915168009</v>
      </c>
      <c r="G233" s="23" t="s">
        <v>16</v>
      </c>
      <c r="H233" s="18">
        <v>45</v>
      </c>
      <c r="J233" s="18"/>
      <c r="K233" s="23" t="s">
        <v>18</v>
      </c>
      <c r="L233" s="23" t="s">
        <v>34</v>
      </c>
      <c r="N233" s="16"/>
      <c r="O233" s="17"/>
      <c r="P233" s="17">
        <v>45</v>
      </c>
      <c r="Q233" s="22"/>
      <c r="R233" s="23"/>
      <c r="Z233" s="23" t="s">
        <v>345</v>
      </c>
    </row>
    <row r="234" spans="1:26" ht="12.75">
      <c r="A234" s="22">
        <v>46288</v>
      </c>
      <c r="B234" s="23" t="s">
        <v>14</v>
      </c>
      <c r="C234" s="23" t="s">
        <v>346</v>
      </c>
      <c r="D234" s="19">
        <v>29606</v>
      </c>
      <c r="E234" s="23" t="s">
        <v>24</v>
      </c>
      <c r="F234" s="23">
        <v>11991603313</v>
      </c>
      <c r="G234" s="23" t="s">
        <v>16</v>
      </c>
      <c r="H234" s="18">
        <v>45</v>
      </c>
      <c r="J234" s="18"/>
      <c r="K234" s="23" t="s">
        <v>18</v>
      </c>
      <c r="L234" s="23" t="s">
        <v>19</v>
      </c>
      <c r="N234" s="16"/>
      <c r="O234" s="17"/>
      <c r="P234" s="17">
        <v>45</v>
      </c>
      <c r="Q234" s="22"/>
      <c r="R234" s="23"/>
      <c r="Z234" s="23" t="s">
        <v>347</v>
      </c>
    </row>
    <row r="235" spans="1:26" ht="12.75">
      <c r="A235" s="22">
        <v>46288</v>
      </c>
      <c r="B235" s="23" t="s">
        <v>23</v>
      </c>
      <c r="C235" s="23" t="s">
        <v>163</v>
      </c>
      <c r="D235" s="19">
        <v>28179</v>
      </c>
      <c r="E235" s="23" t="s">
        <v>24</v>
      </c>
      <c r="G235" s="23" t="s">
        <v>16</v>
      </c>
      <c r="H235" s="18">
        <v>45</v>
      </c>
      <c r="J235" s="18"/>
      <c r="K235" s="23" t="s">
        <v>27</v>
      </c>
      <c r="L235" s="23" t="s">
        <v>27</v>
      </c>
      <c r="N235" s="16"/>
      <c r="O235" s="17"/>
      <c r="P235" s="17">
        <v>45</v>
      </c>
      <c r="Q235" s="22"/>
      <c r="R235" s="23"/>
      <c r="Z235" s="23" t="s">
        <v>348</v>
      </c>
    </row>
    <row r="236" spans="1:26" ht="12.75">
      <c r="A236" s="22">
        <v>46289</v>
      </c>
      <c r="B236" s="23" t="s">
        <v>23</v>
      </c>
      <c r="C236" s="23" t="s">
        <v>349</v>
      </c>
      <c r="D236" s="19">
        <v>35196</v>
      </c>
      <c r="E236" s="23" t="s">
        <v>24</v>
      </c>
      <c r="F236" s="23">
        <v>11983990347</v>
      </c>
      <c r="G236" s="23" t="s">
        <v>16</v>
      </c>
      <c r="H236" s="18">
        <v>45</v>
      </c>
      <c r="J236" s="18"/>
      <c r="K236" s="23" t="s">
        <v>18</v>
      </c>
      <c r="L236" s="23" t="s">
        <v>39</v>
      </c>
      <c r="N236" s="16"/>
      <c r="O236" s="17"/>
      <c r="P236" s="17">
        <v>45</v>
      </c>
      <c r="Q236" s="22"/>
      <c r="R236" s="23"/>
      <c r="Z236" s="23" t="s">
        <v>350</v>
      </c>
    </row>
    <row r="237" spans="1:26" ht="12.75">
      <c r="A237" s="22">
        <v>46289</v>
      </c>
      <c r="B237" s="23" t="s">
        <v>14</v>
      </c>
      <c r="C237" s="23" t="s">
        <v>351</v>
      </c>
      <c r="D237" s="19"/>
      <c r="E237" s="23" t="s">
        <v>24</v>
      </c>
      <c r="H237" s="18"/>
      <c r="I237" s="23" t="s">
        <v>141</v>
      </c>
      <c r="J237" s="18">
        <v>60</v>
      </c>
      <c r="K237" s="23" t="s">
        <v>18</v>
      </c>
      <c r="L237" s="23" t="s">
        <v>34</v>
      </c>
      <c r="N237" s="16"/>
      <c r="O237" s="17"/>
      <c r="P237" s="17">
        <v>60</v>
      </c>
      <c r="Q237" s="22"/>
      <c r="R237" s="23"/>
      <c r="Z237" s="23" t="s">
        <v>352</v>
      </c>
    </row>
    <row r="238" spans="1:26" ht="12.75">
      <c r="A238" s="22">
        <v>46289</v>
      </c>
      <c r="B238" s="23" t="s">
        <v>23</v>
      </c>
      <c r="C238" s="23" t="s">
        <v>353</v>
      </c>
      <c r="D238" s="19">
        <v>37940</v>
      </c>
      <c r="E238" s="23" t="s">
        <v>24</v>
      </c>
      <c r="F238" s="23">
        <v>11951668286</v>
      </c>
      <c r="G238" s="23" t="s">
        <v>16</v>
      </c>
      <c r="H238" s="18">
        <v>45</v>
      </c>
      <c r="I238" s="23" t="s">
        <v>21</v>
      </c>
      <c r="J238" s="18">
        <v>10</v>
      </c>
      <c r="K238" s="23" t="s">
        <v>18</v>
      </c>
      <c r="L238" s="23" t="s">
        <v>39</v>
      </c>
      <c r="N238" s="16"/>
      <c r="O238" s="17"/>
      <c r="P238" s="17">
        <v>55</v>
      </c>
      <c r="Q238" s="22"/>
      <c r="R238" s="23"/>
      <c r="Z238" s="23" t="s">
        <v>354</v>
      </c>
    </row>
    <row r="239" spans="1:26" ht="12.75">
      <c r="A239" s="22">
        <v>46289</v>
      </c>
      <c r="B239" s="23" t="s">
        <v>14</v>
      </c>
      <c r="C239" s="23" t="s">
        <v>355</v>
      </c>
      <c r="D239" s="19"/>
      <c r="E239" s="23" t="s">
        <v>24</v>
      </c>
      <c r="G239" s="23" t="s">
        <v>46</v>
      </c>
      <c r="H239" s="18">
        <v>30</v>
      </c>
      <c r="J239" s="18"/>
      <c r="K239" s="23" t="s">
        <v>18</v>
      </c>
      <c r="L239" s="23" t="s">
        <v>34</v>
      </c>
      <c r="N239" s="16"/>
      <c r="O239" s="17"/>
      <c r="P239" s="17">
        <v>30</v>
      </c>
      <c r="Q239" s="22"/>
      <c r="R239" s="23"/>
      <c r="Z239" s="23" t="s">
        <v>356</v>
      </c>
    </row>
    <row r="240" spans="1:26" ht="12.75">
      <c r="A240" s="22">
        <v>46289</v>
      </c>
      <c r="B240" s="23" t="s">
        <v>14</v>
      </c>
      <c r="C240" s="23" t="s">
        <v>357</v>
      </c>
      <c r="D240" s="19"/>
      <c r="E240" s="23" t="s">
        <v>24</v>
      </c>
      <c r="G240" s="23" t="s">
        <v>25</v>
      </c>
      <c r="H240" s="18">
        <v>80</v>
      </c>
      <c r="J240" s="18"/>
      <c r="K240" s="23" t="s">
        <v>27</v>
      </c>
      <c r="L240" s="23" t="s">
        <v>27</v>
      </c>
      <c r="N240" s="16"/>
      <c r="O240" s="17"/>
      <c r="P240" s="17">
        <v>80</v>
      </c>
      <c r="Q240" s="22"/>
      <c r="R240" s="23"/>
      <c r="Z240" s="23" t="s">
        <v>358</v>
      </c>
    </row>
    <row r="241" spans="1:26" ht="12.75">
      <c r="A241" s="22">
        <v>46289</v>
      </c>
      <c r="B241" s="23" t="s">
        <v>14</v>
      </c>
      <c r="C241" s="23" t="s">
        <v>359</v>
      </c>
      <c r="D241" s="19">
        <v>39435</v>
      </c>
      <c r="E241" s="23" t="s">
        <v>24</v>
      </c>
      <c r="F241" s="23">
        <v>11984687593</v>
      </c>
      <c r="G241" s="23" t="s">
        <v>16</v>
      </c>
      <c r="H241" s="18">
        <v>45</v>
      </c>
      <c r="J241" s="18"/>
      <c r="K241" s="23" t="s">
        <v>18</v>
      </c>
      <c r="L241" s="23" t="s">
        <v>34</v>
      </c>
      <c r="N241" s="16"/>
      <c r="O241" s="17"/>
      <c r="P241" s="17">
        <v>45</v>
      </c>
      <c r="Q241" s="22"/>
      <c r="R241" s="23"/>
      <c r="Z241" s="23" t="s">
        <v>360</v>
      </c>
    </row>
    <row r="242" spans="1:26" ht="12.75">
      <c r="A242" s="22">
        <v>46289</v>
      </c>
      <c r="B242" s="23" t="s">
        <v>14</v>
      </c>
      <c r="C242" s="23" t="s">
        <v>157</v>
      </c>
      <c r="D242" s="19"/>
      <c r="E242" s="23" t="s">
        <v>24</v>
      </c>
      <c r="G242" s="23" t="s">
        <v>16</v>
      </c>
      <c r="H242" s="18">
        <v>45</v>
      </c>
      <c r="J242" s="18"/>
      <c r="K242" s="23" t="s">
        <v>27</v>
      </c>
      <c r="L242" s="23" t="s">
        <v>27</v>
      </c>
      <c r="N242" s="16"/>
      <c r="O242" s="17"/>
      <c r="P242" s="17">
        <v>45</v>
      </c>
      <c r="Q242" s="22"/>
      <c r="R242" s="23"/>
      <c r="Z242" s="23" t="s">
        <v>361</v>
      </c>
    </row>
    <row r="243" spans="1:26" ht="12.75">
      <c r="A243" s="22">
        <v>46289</v>
      </c>
      <c r="B243" s="23" t="s">
        <v>14</v>
      </c>
      <c r="C243" s="23" t="s">
        <v>168</v>
      </c>
      <c r="D243" s="19">
        <v>37255</v>
      </c>
      <c r="E243" s="23" t="s">
        <v>24</v>
      </c>
      <c r="F243" s="23">
        <v>11958764480</v>
      </c>
      <c r="G243" s="23" t="s">
        <v>16</v>
      </c>
      <c r="H243" s="18">
        <v>45</v>
      </c>
      <c r="J243" s="18"/>
      <c r="K243" s="23" t="s">
        <v>18</v>
      </c>
      <c r="L243" s="23" t="s">
        <v>39</v>
      </c>
      <c r="N243" s="16"/>
      <c r="O243" s="17"/>
      <c r="P243" s="17">
        <v>45</v>
      </c>
      <c r="Q243" s="22"/>
      <c r="R243" s="23"/>
      <c r="Z243" s="23" t="s">
        <v>362</v>
      </c>
    </row>
    <row r="244" spans="1:26" ht="12.75">
      <c r="A244" s="22">
        <v>46289</v>
      </c>
      <c r="B244" s="23" t="s">
        <v>23</v>
      </c>
      <c r="C244" s="23" t="s">
        <v>363</v>
      </c>
      <c r="D244" s="19">
        <v>32590</v>
      </c>
      <c r="E244" s="23" t="s">
        <v>24</v>
      </c>
      <c r="F244" s="23">
        <v>11972950359</v>
      </c>
      <c r="G244" s="23" t="s">
        <v>38</v>
      </c>
      <c r="H244" s="18">
        <v>70</v>
      </c>
      <c r="J244" s="18"/>
      <c r="K244" s="23" t="s">
        <v>18</v>
      </c>
      <c r="L244" s="23" t="s">
        <v>34</v>
      </c>
      <c r="N244" s="16"/>
      <c r="O244" s="17"/>
      <c r="P244" s="17">
        <v>70</v>
      </c>
      <c r="Q244" s="22"/>
      <c r="R244" s="23"/>
      <c r="Z244" s="23" t="s">
        <v>364</v>
      </c>
    </row>
    <row r="245" spans="1:26" ht="12.75">
      <c r="A245" s="22">
        <v>46289</v>
      </c>
      <c r="B245" s="23" t="s">
        <v>23</v>
      </c>
      <c r="C245" s="23" t="s">
        <v>137</v>
      </c>
      <c r="D245" s="19">
        <v>34989</v>
      </c>
      <c r="E245" s="23" t="s">
        <v>24</v>
      </c>
      <c r="F245" s="23">
        <v>11932152052</v>
      </c>
      <c r="G245" s="23" t="s">
        <v>16</v>
      </c>
      <c r="H245" s="18">
        <v>45</v>
      </c>
      <c r="J245" s="18"/>
      <c r="K245" s="23" t="s">
        <v>18</v>
      </c>
      <c r="L245" s="23" t="s">
        <v>19</v>
      </c>
      <c r="N245" s="16"/>
      <c r="O245" s="17"/>
      <c r="P245" s="17">
        <v>45</v>
      </c>
      <c r="Q245" s="22"/>
      <c r="R245" s="23"/>
      <c r="Z245" s="23" t="s">
        <v>365</v>
      </c>
    </row>
    <row r="246" spans="1:26" ht="12.75">
      <c r="A246" s="22">
        <v>46289</v>
      </c>
      <c r="B246" s="23" t="s">
        <v>14</v>
      </c>
      <c r="C246" s="23" t="s">
        <v>366</v>
      </c>
      <c r="D246" s="19">
        <v>41243</v>
      </c>
      <c r="E246" s="23" t="s">
        <v>24</v>
      </c>
      <c r="F246" s="23">
        <v>11984616960</v>
      </c>
      <c r="G246" s="23" t="s">
        <v>16</v>
      </c>
      <c r="H246" s="18">
        <v>45</v>
      </c>
      <c r="J246" s="18"/>
      <c r="K246" s="23" t="s">
        <v>18</v>
      </c>
      <c r="L246" s="23" t="s">
        <v>19</v>
      </c>
      <c r="N246" s="16"/>
      <c r="O246" s="17"/>
      <c r="P246" s="17">
        <v>45</v>
      </c>
      <c r="Q246" s="22"/>
      <c r="R246" s="23"/>
      <c r="Z246" s="23" t="s">
        <v>367</v>
      </c>
    </row>
    <row r="247" spans="1:26" ht="12.75">
      <c r="A247" s="22">
        <v>46290</v>
      </c>
      <c r="B247" s="23" t="s">
        <v>14</v>
      </c>
      <c r="C247" s="23" t="s">
        <v>265</v>
      </c>
      <c r="D247" s="19"/>
      <c r="E247" s="23" t="s">
        <v>24</v>
      </c>
      <c r="G247" s="23" t="s">
        <v>32</v>
      </c>
      <c r="H247" s="18">
        <v>35</v>
      </c>
      <c r="J247" s="18"/>
      <c r="K247" s="23" t="s">
        <v>27</v>
      </c>
      <c r="L247" s="23" t="s">
        <v>27</v>
      </c>
      <c r="N247" s="16"/>
      <c r="O247" s="17"/>
      <c r="P247" s="17">
        <v>35</v>
      </c>
      <c r="Q247" s="22"/>
      <c r="R247" s="23"/>
      <c r="Z247" s="23" t="s">
        <v>368</v>
      </c>
    </row>
    <row r="248" spans="1:26" ht="12.75">
      <c r="A248" s="22">
        <v>46290</v>
      </c>
      <c r="B248" s="23" t="s">
        <v>23</v>
      </c>
      <c r="C248" s="23" t="s">
        <v>176</v>
      </c>
      <c r="D248" s="19">
        <v>36635</v>
      </c>
      <c r="E248" s="23" t="s">
        <v>24</v>
      </c>
      <c r="F248" s="23">
        <v>11999645370</v>
      </c>
      <c r="G248" s="23" t="s">
        <v>16</v>
      </c>
      <c r="H248" s="18">
        <v>45</v>
      </c>
      <c r="J248" s="18"/>
      <c r="K248" s="23" t="s">
        <v>18</v>
      </c>
      <c r="L248" s="23" t="s">
        <v>28</v>
      </c>
      <c r="N248" s="16"/>
      <c r="O248" s="17"/>
      <c r="P248" s="17">
        <v>45</v>
      </c>
      <c r="Q248" s="22"/>
      <c r="R248" s="23"/>
      <c r="Z248" s="23" t="s">
        <v>369</v>
      </c>
    </row>
    <row r="249" spans="1:26" ht="12.75">
      <c r="A249" s="22">
        <v>46290</v>
      </c>
      <c r="B249" s="23" t="s">
        <v>23</v>
      </c>
      <c r="C249" s="23" t="s">
        <v>86</v>
      </c>
      <c r="D249" s="19">
        <v>34215</v>
      </c>
      <c r="E249" s="23" t="s">
        <v>24</v>
      </c>
      <c r="F249" s="23">
        <v>11951488924</v>
      </c>
      <c r="G249" s="23" t="s">
        <v>25</v>
      </c>
      <c r="H249" s="18">
        <v>80</v>
      </c>
      <c r="J249" s="18"/>
      <c r="K249" s="23" t="s">
        <v>27</v>
      </c>
      <c r="L249" s="23" t="s">
        <v>27</v>
      </c>
      <c r="N249" s="16"/>
      <c r="O249" s="17"/>
      <c r="P249" s="17">
        <v>80</v>
      </c>
      <c r="Q249" s="22"/>
      <c r="R249" s="23"/>
      <c r="Z249" s="23" t="s">
        <v>370</v>
      </c>
    </row>
    <row r="250" spans="1:26" ht="12.75">
      <c r="A250" s="22">
        <v>46290</v>
      </c>
      <c r="B250" s="23" t="s">
        <v>23</v>
      </c>
      <c r="C250" s="23" t="s">
        <v>208</v>
      </c>
      <c r="D250" s="19">
        <v>31831</v>
      </c>
      <c r="E250" s="23" t="s">
        <v>24</v>
      </c>
      <c r="F250" s="23">
        <v>11992020639</v>
      </c>
      <c r="G250" s="23" t="s">
        <v>46</v>
      </c>
      <c r="H250" s="18">
        <v>30</v>
      </c>
      <c r="J250" s="18"/>
      <c r="K250" s="23" t="s">
        <v>18</v>
      </c>
      <c r="L250" s="23" t="s">
        <v>34</v>
      </c>
      <c r="N250" s="16"/>
      <c r="O250" s="17"/>
      <c r="P250" s="17">
        <v>30</v>
      </c>
      <c r="Q250" s="22"/>
      <c r="R250" s="23"/>
      <c r="Z250" s="23" t="s">
        <v>371</v>
      </c>
    </row>
    <row r="251" spans="1:26" ht="12.75">
      <c r="A251" s="22">
        <v>46290</v>
      </c>
      <c r="B251" s="23" t="s">
        <v>14</v>
      </c>
      <c r="C251" s="23" t="s">
        <v>117</v>
      </c>
      <c r="D251" s="19"/>
      <c r="E251" s="23" t="s">
        <v>24</v>
      </c>
      <c r="F251" s="23">
        <v>119</v>
      </c>
      <c r="G251" s="23" t="s">
        <v>38</v>
      </c>
      <c r="H251" s="18">
        <v>70</v>
      </c>
      <c r="J251" s="18"/>
      <c r="K251" s="23" t="s">
        <v>27</v>
      </c>
      <c r="L251" s="23" t="s">
        <v>27</v>
      </c>
      <c r="N251" s="16"/>
      <c r="O251" s="17"/>
      <c r="P251" s="17">
        <v>70</v>
      </c>
      <c r="Q251" s="22"/>
      <c r="R251" s="23"/>
      <c r="Z251" s="23" t="s">
        <v>372</v>
      </c>
    </row>
    <row r="252" spans="1:26" ht="12.75">
      <c r="A252" s="22">
        <v>46290</v>
      </c>
      <c r="B252" s="23" t="s">
        <v>23</v>
      </c>
      <c r="C252" s="23" t="s">
        <v>181</v>
      </c>
      <c r="D252" s="19">
        <v>37883</v>
      </c>
      <c r="E252" s="23" t="s">
        <v>24</v>
      </c>
      <c r="F252" s="23">
        <v>41195254527</v>
      </c>
      <c r="G252" s="23" t="s">
        <v>16</v>
      </c>
      <c r="H252" s="18">
        <v>45</v>
      </c>
      <c r="J252" s="18"/>
      <c r="K252" s="23" t="s">
        <v>18</v>
      </c>
      <c r="L252" s="23" t="s">
        <v>28</v>
      </c>
      <c r="N252" s="16"/>
      <c r="O252" s="17"/>
      <c r="P252" s="17">
        <v>45</v>
      </c>
      <c r="Q252" s="22"/>
      <c r="R252" s="23"/>
      <c r="Z252" s="23" t="s">
        <v>373</v>
      </c>
    </row>
    <row r="253" spans="1:26" ht="12.75">
      <c r="A253" s="22">
        <v>46290</v>
      </c>
      <c r="B253" s="23" t="s">
        <v>14</v>
      </c>
      <c r="C253" s="23" t="s">
        <v>374</v>
      </c>
      <c r="D253" s="19"/>
      <c r="E253" s="23" t="s">
        <v>24</v>
      </c>
      <c r="F253" s="23">
        <v>11963562729</v>
      </c>
      <c r="G253" s="23" t="s">
        <v>25</v>
      </c>
      <c r="H253" s="18">
        <v>80</v>
      </c>
      <c r="I253" s="23" t="s">
        <v>21</v>
      </c>
      <c r="J253" s="18">
        <v>10</v>
      </c>
      <c r="K253" s="23" t="s">
        <v>18</v>
      </c>
      <c r="L253" s="23" t="s">
        <v>34</v>
      </c>
      <c r="N253" s="16"/>
      <c r="O253" s="17"/>
      <c r="P253" s="17">
        <v>90</v>
      </c>
      <c r="Q253" s="22"/>
      <c r="R253" s="23"/>
      <c r="Z253" s="23" t="s">
        <v>375</v>
      </c>
    </row>
    <row r="254" spans="1:26" ht="12.75">
      <c r="A254" s="22">
        <v>46290</v>
      </c>
      <c r="B254" s="23" t="s">
        <v>14</v>
      </c>
      <c r="C254" s="23" t="s">
        <v>376</v>
      </c>
      <c r="D254" s="19"/>
      <c r="E254" s="23" t="s">
        <v>24</v>
      </c>
      <c r="G254" s="23" t="s">
        <v>16</v>
      </c>
      <c r="H254" s="18">
        <v>45</v>
      </c>
      <c r="J254" s="18"/>
      <c r="K254" s="23" t="s">
        <v>18</v>
      </c>
      <c r="L254" s="23" t="s">
        <v>28</v>
      </c>
      <c r="N254" s="16"/>
      <c r="O254" s="17"/>
      <c r="P254" s="17">
        <v>45</v>
      </c>
      <c r="Q254" s="22"/>
      <c r="R254" s="23"/>
      <c r="Z254" s="23" t="s">
        <v>377</v>
      </c>
    </row>
    <row r="255" spans="1:26" ht="12.75">
      <c r="A255" s="22">
        <v>46290</v>
      </c>
      <c r="B255" s="23" t="s">
        <v>23</v>
      </c>
      <c r="C255" s="23" t="s">
        <v>378</v>
      </c>
      <c r="D255" s="19">
        <v>33224</v>
      </c>
      <c r="E255" s="23" t="s">
        <v>24</v>
      </c>
      <c r="F255" s="23">
        <v>11984714365</v>
      </c>
      <c r="G255" s="23" t="s">
        <v>25</v>
      </c>
      <c r="H255" s="18">
        <v>80</v>
      </c>
      <c r="I255" s="23" t="s">
        <v>21</v>
      </c>
      <c r="J255" s="18">
        <v>10</v>
      </c>
      <c r="K255" s="23" t="s">
        <v>18</v>
      </c>
      <c r="L255" s="23" t="s">
        <v>34</v>
      </c>
      <c r="N255" s="16"/>
      <c r="O255" s="17"/>
      <c r="P255" s="17">
        <v>90</v>
      </c>
      <c r="Q255" s="22"/>
      <c r="R255" s="23"/>
      <c r="Z255" s="23" t="s">
        <v>379</v>
      </c>
    </row>
    <row r="256" spans="1:26" ht="12.75">
      <c r="A256" s="22">
        <v>46290</v>
      </c>
      <c r="B256" s="23" t="s">
        <v>23</v>
      </c>
      <c r="C256" s="23" t="s">
        <v>169</v>
      </c>
      <c r="D256" s="19">
        <v>33922</v>
      </c>
      <c r="E256" s="23" t="s">
        <v>24</v>
      </c>
      <c r="F256" s="23">
        <v>77988077846</v>
      </c>
      <c r="G256" s="23" t="s">
        <v>32</v>
      </c>
      <c r="H256" s="18">
        <v>35</v>
      </c>
      <c r="J256" s="18"/>
      <c r="K256" s="23" t="s">
        <v>27</v>
      </c>
      <c r="L256" s="23" t="s">
        <v>27</v>
      </c>
      <c r="N256" s="16"/>
      <c r="O256" s="17"/>
      <c r="P256" s="17">
        <v>35</v>
      </c>
      <c r="Q256" s="22"/>
      <c r="R256" s="23"/>
      <c r="Z256" s="23" t="s">
        <v>380</v>
      </c>
    </row>
    <row r="257" spans="1:26" ht="12.75">
      <c r="A257" s="22">
        <v>46290</v>
      </c>
      <c r="B257" s="23" t="s">
        <v>14</v>
      </c>
      <c r="C257" s="23" t="s">
        <v>381</v>
      </c>
      <c r="D257" s="19"/>
      <c r="E257" s="23" t="s">
        <v>24</v>
      </c>
      <c r="G257" s="23" t="s">
        <v>16</v>
      </c>
      <c r="H257" s="18">
        <v>45</v>
      </c>
      <c r="J257" s="18"/>
      <c r="K257" s="23" t="s">
        <v>27</v>
      </c>
      <c r="L257" s="23" t="s">
        <v>27</v>
      </c>
      <c r="N257" s="16"/>
      <c r="O257" s="17"/>
      <c r="P257" s="17">
        <v>45</v>
      </c>
      <c r="Q257" s="22"/>
      <c r="R257" s="23"/>
      <c r="Z257" s="23" t="s">
        <v>382</v>
      </c>
    </row>
    <row r="258" spans="1:26" ht="12.75">
      <c r="A258" s="22">
        <v>46290</v>
      </c>
      <c r="B258" s="23" t="s">
        <v>23</v>
      </c>
      <c r="C258" s="23" t="s">
        <v>129</v>
      </c>
      <c r="D258" s="19">
        <v>35153</v>
      </c>
      <c r="E258" s="23" t="s">
        <v>24</v>
      </c>
      <c r="F258" s="23">
        <v>11949800158</v>
      </c>
      <c r="G258" s="23" t="s">
        <v>16</v>
      </c>
      <c r="H258" s="18">
        <v>45</v>
      </c>
      <c r="J258" s="18"/>
      <c r="K258" s="23" t="s">
        <v>18</v>
      </c>
      <c r="L258" s="23" t="s">
        <v>39</v>
      </c>
      <c r="N258" s="16"/>
      <c r="O258" s="17"/>
      <c r="P258" s="17">
        <v>45</v>
      </c>
      <c r="Q258" s="22"/>
      <c r="R258" s="23"/>
      <c r="Z258" s="23" t="s">
        <v>383</v>
      </c>
    </row>
    <row r="259" spans="1:26" ht="12.75">
      <c r="A259" s="22">
        <v>46291</v>
      </c>
      <c r="B259" s="23" t="s">
        <v>14</v>
      </c>
      <c r="C259" s="23" t="s">
        <v>164</v>
      </c>
      <c r="D259" s="19">
        <v>35311</v>
      </c>
      <c r="E259" s="23" t="s">
        <v>24</v>
      </c>
      <c r="F259" s="23">
        <v>11915132069</v>
      </c>
      <c r="G259" s="23" t="s">
        <v>38</v>
      </c>
      <c r="H259" s="18">
        <v>70</v>
      </c>
      <c r="J259" s="18"/>
      <c r="K259" s="23" t="s">
        <v>18</v>
      </c>
      <c r="L259" s="23" t="s">
        <v>34</v>
      </c>
      <c r="N259" s="16"/>
      <c r="O259" s="17"/>
      <c r="P259" s="17">
        <v>70</v>
      </c>
      <c r="Q259" s="22"/>
      <c r="R259" s="23"/>
      <c r="Z259" s="23" t="s">
        <v>384</v>
      </c>
    </row>
    <row r="260" spans="1:26" ht="12.75">
      <c r="A260" s="22">
        <v>46291</v>
      </c>
      <c r="B260" s="23" t="s">
        <v>14</v>
      </c>
      <c r="C260" s="23" t="s">
        <v>121</v>
      </c>
      <c r="D260" s="19"/>
      <c r="E260" s="23" t="s">
        <v>24</v>
      </c>
      <c r="G260" s="23" t="s">
        <v>16</v>
      </c>
      <c r="H260" s="18">
        <v>45</v>
      </c>
      <c r="J260" s="18"/>
      <c r="K260" s="23" t="s">
        <v>27</v>
      </c>
      <c r="L260" s="23" t="s">
        <v>27</v>
      </c>
      <c r="N260" s="16"/>
      <c r="O260" s="17"/>
      <c r="P260" s="17">
        <v>45</v>
      </c>
      <c r="Q260" s="22"/>
      <c r="R260" s="23"/>
      <c r="Z260" s="23" t="s">
        <v>385</v>
      </c>
    </row>
    <row r="261" spans="1:26" ht="12.75">
      <c r="A261" s="22">
        <v>46291</v>
      </c>
      <c r="B261" s="23" t="s">
        <v>23</v>
      </c>
      <c r="C261" s="23" t="s">
        <v>147</v>
      </c>
      <c r="D261" s="19">
        <v>34983</v>
      </c>
      <c r="E261" s="23" t="s">
        <v>24</v>
      </c>
      <c r="F261" s="23">
        <v>11982755035</v>
      </c>
      <c r="G261" s="23" t="s">
        <v>43</v>
      </c>
      <c r="H261" s="18">
        <v>25</v>
      </c>
      <c r="I261" s="23" t="s">
        <v>21</v>
      </c>
      <c r="J261" s="18">
        <v>30</v>
      </c>
      <c r="K261" s="23" t="s">
        <v>18</v>
      </c>
      <c r="L261" s="23" t="s">
        <v>34</v>
      </c>
      <c r="N261" s="16"/>
      <c r="O261" s="17"/>
      <c r="P261" s="17">
        <v>55</v>
      </c>
      <c r="Q261" s="22"/>
      <c r="R261" s="23"/>
      <c r="Z261" s="23" t="s">
        <v>386</v>
      </c>
    </row>
    <row r="262" spans="1:26" ht="12.75">
      <c r="A262" s="22">
        <v>46291</v>
      </c>
      <c r="B262" s="23" t="s">
        <v>14</v>
      </c>
      <c r="C262" s="23" t="s">
        <v>195</v>
      </c>
      <c r="D262" s="19">
        <v>26329</v>
      </c>
      <c r="E262" s="23" t="s">
        <v>24</v>
      </c>
      <c r="F262" s="23">
        <v>11976164732</v>
      </c>
      <c r="G262" s="23" t="s">
        <v>16</v>
      </c>
      <c r="H262" s="18">
        <v>45</v>
      </c>
      <c r="J262" s="18"/>
      <c r="K262" s="23" t="s">
        <v>18</v>
      </c>
      <c r="L262" s="23" t="s">
        <v>34</v>
      </c>
      <c r="N262" s="16"/>
      <c r="O262" s="17"/>
      <c r="P262" s="17">
        <v>45</v>
      </c>
      <c r="Q262" s="22"/>
      <c r="R262" s="23"/>
      <c r="Z262" s="23" t="s">
        <v>387</v>
      </c>
    </row>
    <row r="263" spans="1:26" ht="12.75">
      <c r="A263" s="22">
        <v>46291</v>
      </c>
      <c r="B263" s="23" t="s">
        <v>23</v>
      </c>
      <c r="C263" s="23" t="s">
        <v>106</v>
      </c>
      <c r="D263" s="19">
        <v>22538</v>
      </c>
      <c r="E263" s="23" t="s">
        <v>24</v>
      </c>
      <c r="F263" s="23">
        <v>77999733028</v>
      </c>
      <c r="G263" s="23" t="s">
        <v>25</v>
      </c>
      <c r="H263" s="18">
        <v>80</v>
      </c>
      <c r="J263" s="18"/>
      <c r="K263" s="23" t="s">
        <v>18</v>
      </c>
      <c r="L263" s="23" t="s">
        <v>34</v>
      </c>
      <c r="N263" s="16"/>
      <c r="O263" s="17"/>
      <c r="P263" s="17">
        <v>80</v>
      </c>
      <c r="Q263" s="22"/>
      <c r="R263" s="23"/>
      <c r="Z263" s="23" t="s">
        <v>388</v>
      </c>
    </row>
    <row r="264" spans="1:26" ht="12.75">
      <c r="A264" s="22">
        <v>46291</v>
      </c>
      <c r="B264" s="23" t="s">
        <v>14</v>
      </c>
      <c r="C264" s="23" t="s">
        <v>389</v>
      </c>
      <c r="D264" s="19">
        <v>36226</v>
      </c>
      <c r="E264" s="23" t="s">
        <v>24</v>
      </c>
      <c r="F264" s="23">
        <v>11915140225</v>
      </c>
      <c r="G264" s="23" t="s">
        <v>16</v>
      </c>
      <c r="H264" s="18">
        <v>45</v>
      </c>
      <c r="J264" s="18"/>
      <c r="K264" s="23" t="s">
        <v>18</v>
      </c>
      <c r="L264" s="23" t="s">
        <v>28</v>
      </c>
      <c r="N264" s="16"/>
      <c r="O264" s="17"/>
      <c r="P264" s="17">
        <v>45</v>
      </c>
      <c r="Q264" s="22"/>
      <c r="R264" s="23"/>
      <c r="Z264" s="23" t="s">
        <v>390</v>
      </c>
    </row>
    <row r="265" spans="1:26" ht="12.75">
      <c r="A265" s="22">
        <v>46291</v>
      </c>
      <c r="B265" s="23" t="s">
        <v>23</v>
      </c>
      <c r="C265" s="23" t="s">
        <v>199</v>
      </c>
      <c r="D265" s="19">
        <v>34937</v>
      </c>
      <c r="E265" s="23" t="s">
        <v>24</v>
      </c>
      <c r="F265" s="23">
        <v>11951658079</v>
      </c>
      <c r="G265" s="23" t="s">
        <v>16</v>
      </c>
      <c r="H265" s="18">
        <v>45</v>
      </c>
      <c r="I265" s="23" t="s">
        <v>21</v>
      </c>
      <c r="J265" s="18">
        <v>10</v>
      </c>
      <c r="K265" s="23" t="s">
        <v>18</v>
      </c>
      <c r="L265" s="23" t="s">
        <v>28</v>
      </c>
      <c r="N265" s="16"/>
      <c r="O265" s="17"/>
      <c r="P265" s="17">
        <v>55</v>
      </c>
      <c r="Q265" s="22"/>
      <c r="R265" s="23"/>
      <c r="Z265" s="23" t="s">
        <v>391</v>
      </c>
    </row>
    <row r="266" spans="1:26" ht="12.75">
      <c r="A266" s="22">
        <v>46291</v>
      </c>
      <c r="B266" s="23" t="s">
        <v>23</v>
      </c>
      <c r="C266" s="23" t="s">
        <v>126</v>
      </c>
      <c r="D266" s="19">
        <v>33764</v>
      </c>
      <c r="E266" s="23" t="s">
        <v>24</v>
      </c>
      <c r="F266" s="23">
        <v>11991040876</v>
      </c>
      <c r="G266" s="23" t="s">
        <v>32</v>
      </c>
      <c r="H266" s="18">
        <v>35</v>
      </c>
      <c r="J266" s="18"/>
      <c r="K266" s="23" t="s">
        <v>18</v>
      </c>
      <c r="L266" s="23" t="s">
        <v>34</v>
      </c>
      <c r="N266" s="16"/>
      <c r="O266" s="17"/>
      <c r="P266" s="17">
        <v>35</v>
      </c>
      <c r="Q266" s="22"/>
      <c r="R266" s="23"/>
      <c r="Z266" s="23" t="s">
        <v>392</v>
      </c>
    </row>
    <row r="267" spans="1:26" ht="12.75">
      <c r="A267" s="22">
        <v>46291</v>
      </c>
      <c r="B267" s="23" t="s">
        <v>14</v>
      </c>
      <c r="C267" s="23" t="s">
        <v>132</v>
      </c>
      <c r="D267" s="19">
        <v>34844</v>
      </c>
      <c r="E267" s="23" t="s">
        <v>24</v>
      </c>
      <c r="F267" s="23">
        <v>11993702079</v>
      </c>
      <c r="G267" s="23" t="s">
        <v>25</v>
      </c>
      <c r="H267" s="18">
        <v>80</v>
      </c>
      <c r="I267" s="23" t="s">
        <v>12</v>
      </c>
      <c r="J267" s="18">
        <v>20</v>
      </c>
      <c r="K267" s="23" t="s">
        <v>27</v>
      </c>
      <c r="L267" s="23" t="s">
        <v>27</v>
      </c>
      <c r="N267" s="16"/>
      <c r="O267" s="17"/>
      <c r="P267" s="17">
        <v>100</v>
      </c>
      <c r="Q267" s="22"/>
      <c r="R267" s="23"/>
      <c r="Z267" s="23" t="s">
        <v>393</v>
      </c>
    </row>
    <row r="268" spans="1:26" ht="12.75">
      <c r="A268" s="22">
        <v>46291</v>
      </c>
      <c r="B268" s="23" t="s">
        <v>14</v>
      </c>
      <c r="C268" s="23" t="s">
        <v>203</v>
      </c>
      <c r="D268" s="19">
        <v>36306</v>
      </c>
      <c r="E268" s="23" t="s">
        <v>24</v>
      </c>
      <c r="F268" s="23">
        <v>11985735698</v>
      </c>
      <c r="G268" s="23" t="s">
        <v>16</v>
      </c>
      <c r="H268" s="18">
        <v>45</v>
      </c>
      <c r="I268" s="23" t="s">
        <v>21</v>
      </c>
      <c r="J268" s="18">
        <v>10</v>
      </c>
      <c r="K268" s="23" t="s">
        <v>18</v>
      </c>
      <c r="L268" s="23" t="s">
        <v>39</v>
      </c>
      <c r="N268" s="16"/>
      <c r="O268" s="17"/>
      <c r="P268" s="17">
        <v>55</v>
      </c>
      <c r="Q268" s="22"/>
      <c r="R268" s="23"/>
      <c r="Z268" s="23" t="s">
        <v>394</v>
      </c>
    </row>
    <row r="269" spans="1:26" ht="12.75">
      <c r="A269" s="22">
        <v>46291</v>
      </c>
      <c r="B269" s="23" t="s">
        <v>14</v>
      </c>
      <c r="C269" s="23" t="s">
        <v>297</v>
      </c>
      <c r="D269" s="19">
        <v>36766</v>
      </c>
      <c r="E269" s="23" t="s">
        <v>24</v>
      </c>
      <c r="G269" s="23" t="s">
        <v>16</v>
      </c>
      <c r="H269" s="18">
        <v>45</v>
      </c>
      <c r="J269" s="18"/>
      <c r="K269" s="23" t="s">
        <v>27</v>
      </c>
      <c r="L269" s="23" t="s">
        <v>27</v>
      </c>
      <c r="N269" s="16"/>
      <c r="O269" s="17"/>
      <c r="P269" s="17">
        <v>45</v>
      </c>
      <c r="Q269" s="22"/>
      <c r="R269" s="23"/>
      <c r="Z269" s="23" t="s">
        <v>395</v>
      </c>
    </row>
    <row r="270" spans="1:26" ht="12.75">
      <c r="A270" s="22">
        <v>46291</v>
      </c>
      <c r="B270" s="23" t="s">
        <v>14</v>
      </c>
      <c r="C270" s="23" t="s">
        <v>396</v>
      </c>
      <c r="D270" s="19">
        <v>29174</v>
      </c>
      <c r="E270" s="23" t="s">
        <v>24</v>
      </c>
      <c r="F270" s="23">
        <v>11987972712</v>
      </c>
      <c r="G270" s="23" t="s">
        <v>16</v>
      </c>
      <c r="H270" s="18">
        <v>45</v>
      </c>
      <c r="I270" s="23" t="s">
        <v>41</v>
      </c>
      <c r="J270" s="18">
        <v>25</v>
      </c>
      <c r="K270" s="23" t="s">
        <v>18</v>
      </c>
      <c r="L270" s="23" t="s">
        <v>34</v>
      </c>
      <c r="N270" s="16"/>
      <c r="O270" s="17"/>
      <c r="P270" s="17">
        <v>70</v>
      </c>
      <c r="Q270" s="22"/>
      <c r="R270" s="23"/>
      <c r="Z270" s="23" t="s">
        <v>397</v>
      </c>
    </row>
    <row r="271" spans="1:26" ht="12.75">
      <c r="A271" s="22">
        <v>46291</v>
      </c>
      <c r="B271" s="23" t="s">
        <v>14</v>
      </c>
      <c r="C271" s="23" t="s">
        <v>291</v>
      </c>
      <c r="D271" s="19">
        <v>34802</v>
      </c>
      <c r="E271" s="23" t="s">
        <v>24</v>
      </c>
      <c r="F271" s="23">
        <v>11993561282</v>
      </c>
      <c r="G271" s="23" t="s">
        <v>38</v>
      </c>
      <c r="H271" s="18">
        <v>70</v>
      </c>
      <c r="J271" s="18"/>
      <c r="K271" s="23" t="s">
        <v>18</v>
      </c>
      <c r="L271" s="23" t="s">
        <v>34</v>
      </c>
      <c r="N271" s="16"/>
      <c r="O271" s="17"/>
      <c r="P271" s="17">
        <v>70</v>
      </c>
      <c r="Q271" s="22"/>
      <c r="R271" s="23"/>
      <c r="Z271" s="23" t="s">
        <v>398</v>
      </c>
    </row>
    <row r="272" spans="1:26" ht="12.75">
      <c r="A272" s="22">
        <v>46291</v>
      </c>
      <c r="B272" s="23" t="s">
        <v>23</v>
      </c>
      <c r="C272" s="23" t="s">
        <v>194</v>
      </c>
      <c r="D272" s="19">
        <v>39657</v>
      </c>
      <c r="E272" s="23" t="s">
        <v>24</v>
      </c>
      <c r="F272" s="23">
        <v>11957470599</v>
      </c>
      <c r="G272" s="23" t="s">
        <v>16</v>
      </c>
      <c r="H272" s="18">
        <v>45</v>
      </c>
      <c r="J272" s="18"/>
      <c r="K272" s="23" t="s">
        <v>18</v>
      </c>
      <c r="L272" s="23" t="s">
        <v>34</v>
      </c>
      <c r="N272" s="16"/>
      <c r="O272" s="17"/>
      <c r="P272" s="17">
        <v>45</v>
      </c>
      <c r="Q272" s="22"/>
      <c r="R272" s="23"/>
      <c r="Z272" s="23" t="s">
        <v>399</v>
      </c>
    </row>
    <row r="273" spans="1:26" ht="12.75">
      <c r="A273" s="22">
        <v>46291</v>
      </c>
      <c r="B273" s="23" t="s">
        <v>23</v>
      </c>
      <c r="C273" s="23" t="s">
        <v>135</v>
      </c>
      <c r="D273" s="19">
        <v>35961</v>
      </c>
      <c r="E273" s="23" t="s">
        <v>24</v>
      </c>
      <c r="F273" s="23">
        <v>11978147895</v>
      </c>
      <c r="G273" s="23" t="s">
        <v>16</v>
      </c>
      <c r="H273" s="18">
        <v>45</v>
      </c>
      <c r="I273" s="23" t="s">
        <v>41</v>
      </c>
      <c r="J273" s="18">
        <v>25</v>
      </c>
      <c r="K273" s="23" t="s">
        <v>18</v>
      </c>
      <c r="L273" s="23" t="s">
        <v>39</v>
      </c>
      <c r="N273" s="16"/>
      <c r="O273" s="17"/>
      <c r="P273" s="17">
        <v>70</v>
      </c>
      <c r="Q273" s="22"/>
      <c r="R273" s="23"/>
      <c r="Z273" s="23" t="s">
        <v>400</v>
      </c>
    </row>
    <row r="274" spans="1:26" ht="12.75">
      <c r="A274" s="22">
        <v>46291</v>
      </c>
      <c r="B274" s="23" t="s">
        <v>14</v>
      </c>
      <c r="C274" s="23" t="s">
        <v>115</v>
      </c>
      <c r="D274" s="19">
        <v>33659</v>
      </c>
      <c r="E274" s="23" t="s">
        <v>24</v>
      </c>
      <c r="G274" s="23" t="s">
        <v>38</v>
      </c>
      <c r="H274" s="18">
        <v>70</v>
      </c>
      <c r="J274" s="18"/>
      <c r="K274" s="23" t="s">
        <v>27</v>
      </c>
      <c r="L274" s="23" t="s">
        <v>27</v>
      </c>
      <c r="N274" s="16"/>
      <c r="O274" s="17"/>
      <c r="P274" s="17">
        <v>70</v>
      </c>
      <c r="Q274" s="22"/>
      <c r="R274" s="23"/>
      <c r="Z274" s="23" t="s">
        <v>401</v>
      </c>
    </row>
    <row r="275" spans="1:26" ht="12.75">
      <c r="A275" s="22">
        <v>46291</v>
      </c>
      <c r="B275" s="23" t="s">
        <v>23</v>
      </c>
      <c r="C275" s="23" t="s">
        <v>402</v>
      </c>
      <c r="D275" s="19"/>
      <c r="E275" s="23" t="s">
        <v>24</v>
      </c>
      <c r="G275" s="23" t="s">
        <v>16</v>
      </c>
      <c r="H275" s="18">
        <v>45</v>
      </c>
      <c r="J275" s="18"/>
      <c r="K275" s="23" t="s">
        <v>18</v>
      </c>
      <c r="L275" s="23" t="s">
        <v>34</v>
      </c>
      <c r="N275" s="16"/>
      <c r="O275" s="17"/>
      <c r="P275" s="17">
        <v>45</v>
      </c>
      <c r="Q275" s="22"/>
      <c r="R275" s="23"/>
      <c r="Z275" s="23" t="s">
        <v>403</v>
      </c>
    </row>
    <row r="276" spans="1:26" ht="12.75">
      <c r="A276" s="22">
        <v>46292</v>
      </c>
      <c r="B276" s="23" t="s">
        <v>23</v>
      </c>
      <c r="C276" s="23" t="s">
        <v>404</v>
      </c>
      <c r="D276" s="19">
        <v>31504</v>
      </c>
      <c r="E276" s="23" t="s">
        <v>24</v>
      </c>
      <c r="F276" s="23">
        <v>11940460850</v>
      </c>
      <c r="G276" s="23" t="s">
        <v>46</v>
      </c>
      <c r="H276" s="18">
        <v>30</v>
      </c>
      <c r="J276" s="18"/>
      <c r="K276" s="23" t="s">
        <v>18</v>
      </c>
      <c r="L276" s="23" t="s">
        <v>34</v>
      </c>
      <c r="N276" s="16"/>
      <c r="O276" s="17"/>
      <c r="P276" s="17">
        <v>30</v>
      </c>
      <c r="Q276" s="22"/>
      <c r="R276" s="23"/>
      <c r="Z276" s="23" t="s">
        <v>405</v>
      </c>
    </row>
    <row r="277" spans="1:26" ht="12.75">
      <c r="A277" s="22">
        <v>46293</v>
      </c>
      <c r="B277" s="23" t="s">
        <v>23</v>
      </c>
      <c r="C277" s="23" t="s">
        <v>237</v>
      </c>
      <c r="D277" s="19">
        <v>30371</v>
      </c>
      <c r="E277" s="23" t="s">
        <v>24</v>
      </c>
      <c r="F277" s="23">
        <v>11944581484</v>
      </c>
      <c r="G277" s="23" t="s">
        <v>16</v>
      </c>
      <c r="H277" s="18">
        <v>45</v>
      </c>
      <c r="J277" s="18"/>
      <c r="K277" s="23" t="s">
        <v>27</v>
      </c>
      <c r="L277" s="23" t="s">
        <v>27</v>
      </c>
      <c r="N277" s="16"/>
      <c r="O277" s="17"/>
      <c r="P277" s="17">
        <v>45</v>
      </c>
      <c r="Q277" s="22"/>
      <c r="R277" s="23"/>
      <c r="Z277" s="23" t="s">
        <v>406</v>
      </c>
    </row>
    <row r="278" spans="1:26" ht="12.75">
      <c r="A278" s="22">
        <v>46293</v>
      </c>
      <c r="B278" s="23" t="s">
        <v>23</v>
      </c>
      <c r="C278" s="23" t="s">
        <v>216</v>
      </c>
      <c r="D278" s="19">
        <v>29784</v>
      </c>
      <c r="E278" s="23" t="s">
        <v>24</v>
      </c>
      <c r="F278" s="23">
        <v>11914298129</v>
      </c>
      <c r="G278" s="23" t="s">
        <v>16</v>
      </c>
      <c r="H278" s="18">
        <v>45</v>
      </c>
      <c r="J278" s="18"/>
      <c r="K278" s="23" t="s">
        <v>18</v>
      </c>
      <c r="L278" s="23" t="s">
        <v>34</v>
      </c>
      <c r="N278" s="16"/>
      <c r="O278" s="17"/>
      <c r="P278" s="17">
        <v>45</v>
      </c>
      <c r="Q278" s="22"/>
      <c r="R278" s="23"/>
      <c r="Z278" s="23" t="s">
        <v>407</v>
      </c>
    </row>
    <row r="279" spans="1:26" ht="12.75">
      <c r="A279" s="22">
        <v>46293</v>
      </c>
      <c r="B279" s="23" t="s">
        <v>23</v>
      </c>
      <c r="C279" s="23" t="s">
        <v>408</v>
      </c>
      <c r="D279" s="19">
        <v>26025</v>
      </c>
      <c r="E279" s="23" t="s">
        <v>15</v>
      </c>
      <c r="F279" s="23">
        <v>11996118317</v>
      </c>
      <c r="G279" s="23" t="s">
        <v>16</v>
      </c>
      <c r="H279" s="18">
        <v>45</v>
      </c>
      <c r="I279" s="23" t="s">
        <v>41</v>
      </c>
      <c r="J279" s="18">
        <v>35</v>
      </c>
      <c r="K279" s="23" t="s">
        <v>18</v>
      </c>
      <c r="L279" s="23" t="s">
        <v>19</v>
      </c>
      <c r="N279" s="16"/>
      <c r="O279" s="17"/>
      <c r="P279" s="17">
        <v>115</v>
      </c>
      <c r="Q279" s="22"/>
      <c r="R279" s="23"/>
      <c r="X279" s="23" t="s">
        <v>409</v>
      </c>
      <c r="Y279" s="23">
        <v>35</v>
      </c>
      <c r="Z279" s="23" t="s">
        <v>410</v>
      </c>
    </row>
    <row r="280" spans="1:26" ht="12.75">
      <c r="A280" s="22">
        <v>46293</v>
      </c>
      <c r="B280" s="23" t="s">
        <v>23</v>
      </c>
      <c r="C280" s="23" t="s">
        <v>151</v>
      </c>
      <c r="D280" s="19">
        <v>26785</v>
      </c>
      <c r="E280" s="23" t="s">
        <v>24</v>
      </c>
      <c r="F280" s="23">
        <v>11976252001</v>
      </c>
      <c r="G280" s="23" t="s">
        <v>16</v>
      </c>
      <c r="H280" s="18">
        <v>45</v>
      </c>
      <c r="J280" s="18"/>
      <c r="K280" s="23" t="s">
        <v>18</v>
      </c>
      <c r="L280" s="23" t="s">
        <v>28</v>
      </c>
      <c r="N280" s="16"/>
      <c r="O280" s="17"/>
      <c r="P280" s="17">
        <v>45</v>
      </c>
      <c r="Q280" s="22"/>
      <c r="R280" s="23"/>
      <c r="Z280" s="23" t="s">
        <v>411</v>
      </c>
    </row>
    <row r="281" spans="1:26" ht="12.75">
      <c r="A281" s="22">
        <v>46294</v>
      </c>
      <c r="B281" s="23" t="s">
        <v>23</v>
      </c>
      <c r="C281" s="23" t="s">
        <v>412</v>
      </c>
      <c r="D281" s="19">
        <v>40817</v>
      </c>
      <c r="E281" s="23" t="s">
        <v>24</v>
      </c>
      <c r="F281" s="23">
        <v>11980601618</v>
      </c>
      <c r="G281" s="23" t="s">
        <v>16</v>
      </c>
      <c r="H281" s="23">
        <v>45</v>
      </c>
      <c r="K281" s="23" t="s">
        <v>18</v>
      </c>
      <c r="L281" s="23" t="s">
        <v>39</v>
      </c>
      <c r="N281" s="16"/>
      <c r="O281" s="17"/>
      <c r="P281" s="17">
        <v>45</v>
      </c>
      <c r="Q281" s="22"/>
      <c r="Z281" s="23" t="s">
        <v>413</v>
      </c>
    </row>
    <row r="282" spans="1:26" ht="12.75">
      <c r="A282" s="22">
        <v>46294</v>
      </c>
      <c r="B282" s="23" t="s">
        <v>23</v>
      </c>
      <c r="C282" s="23" t="s">
        <v>414</v>
      </c>
      <c r="D282" s="19">
        <v>31831</v>
      </c>
      <c r="E282" s="23" t="s">
        <v>24</v>
      </c>
      <c r="F282" s="23">
        <v>11987919958</v>
      </c>
      <c r="G282" s="23" t="s">
        <v>16</v>
      </c>
      <c r="H282" s="18">
        <v>45</v>
      </c>
      <c r="J282" s="18"/>
      <c r="K282" s="23" t="s">
        <v>18</v>
      </c>
      <c r="L282" s="23" t="s">
        <v>28</v>
      </c>
      <c r="N282" s="16"/>
      <c r="O282" s="17"/>
      <c r="P282" s="17">
        <v>45</v>
      </c>
      <c r="Q282" s="22"/>
      <c r="R282" s="23"/>
      <c r="Z282" s="23" t="s">
        <v>415</v>
      </c>
    </row>
    <row r="283" spans="1:26" ht="12.75">
      <c r="A283" s="22">
        <v>46294</v>
      </c>
      <c r="B283" s="23" t="s">
        <v>14</v>
      </c>
      <c r="C283" s="23" t="s">
        <v>416</v>
      </c>
      <c r="D283" s="19">
        <v>33743</v>
      </c>
      <c r="E283" s="23" t="s">
        <v>24</v>
      </c>
      <c r="F283" s="23">
        <v>11960683852</v>
      </c>
      <c r="G283" s="23" t="s">
        <v>38</v>
      </c>
      <c r="H283" s="18">
        <v>70</v>
      </c>
      <c r="I283" s="23" t="s">
        <v>332</v>
      </c>
      <c r="J283" s="18">
        <v>25</v>
      </c>
      <c r="K283" s="23" t="s">
        <v>18</v>
      </c>
      <c r="L283" s="23" t="s">
        <v>34</v>
      </c>
      <c r="N283" s="16"/>
      <c r="O283" s="17"/>
      <c r="P283" s="17">
        <v>115</v>
      </c>
      <c r="Q283" s="22"/>
      <c r="R283" s="23"/>
      <c r="T283" s="23" t="s">
        <v>12</v>
      </c>
      <c r="U283" s="23">
        <v>20</v>
      </c>
      <c r="Z283" s="23" t="s">
        <v>417</v>
      </c>
    </row>
    <row r="284" spans="1:26" ht="12.75">
      <c r="A284" s="22">
        <v>46294</v>
      </c>
      <c r="B284" s="23" t="s">
        <v>23</v>
      </c>
      <c r="C284" s="23" t="s">
        <v>418</v>
      </c>
      <c r="D284" s="19">
        <v>35274</v>
      </c>
      <c r="E284" s="23" t="s">
        <v>24</v>
      </c>
      <c r="F284" s="23">
        <v>11952327747</v>
      </c>
      <c r="G284" s="23" t="s">
        <v>16</v>
      </c>
      <c r="H284" s="18">
        <v>45</v>
      </c>
      <c r="I284" s="23" t="s">
        <v>21</v>
      </c>
      <c r="J284" s="18">
        <v>10</v>
      </c>
      <c r="K284" s="23" t="s">
        <v>18</v>
      </c>
      <c r="L284" s="23" t="s">
        <v>28</v>
      </c>
      <c r="N284" s="16"/>
      <c r="O284" s="17"/>
      <c r="P284" s="17">
        <v>55</v>
      </c>
      <c r="Q284" s="22"/>
      <c r="R284" s="23"/>
      <c r="Z284" s="23" t="s">
        <v>419</v>
      </c>
    </row>
    <row r="285" spans="1:26" ht="12.75">
      <c r="A285" s="22">
        <v>46294</v>
      </c>
      <c r="B285" s="23" t="s">
        <v>23</v>
      </c>
      <c r="C285" s="23" t="s">
        <v>102</v>
      </c>
      <c r="D285" s="19">
        <v>33525</v>
      </c>
      <c r="E285" s="23" t="s">
        <v>24</v>
      </c>
      <c r="F285" s="23">
        <v>11951069136</v>
      </c>
      <c r="G285" s="23" t="s">
        <v>25</v>
      </c>
      <c r="H285" s="18">
        <v>80</v>
      </c>
      <c r="I285" s="23">
        <v>170</v>
      </c>
      <c r="J285" s="18">
        <v>10</v>
      </c>
      <c r="K285" s="23" t="s">
        <v>18</v>
      </c>
      <c r="L285" s="23" t="s">
        <v>34</v>
      </c>
      <c r="N285" s="16"/>
      <c r="O285" s="17"/>
      <c r="P285" s="17">
        <v>90</v>
      </c>
      <c r="Q285" s="22"/>
      <c r="R285" s="23"/>
      <c r="Z285" s="23" t="s">
        <v>420</v>
      </c>
    </row>
    <row r="286" spans="1:26" ht="12.75">
      <c r="A286" s="22">
        <v>46294</v>
      </c>
      <c r="B286" s="23" t="s">
        <v>14</v>
      </c>
      <c r="C286" s="23" t="s">
        <v>218</v>
      </c>
      <c r="D286" s="19"/>
      <c r="E286" s="23" t="s">
        <v>24</v>
      </c>
      <c r="G286" s="23" t="s">
        <v>25</v>
      </c>
      <c r="H286" s="18">
        <v>80</v>
      </c>
      <c r="J286" s="18"/>
      <c r="K286" s="23" t="s">
        <v>27</v>
      </c>
      <c r="L286" s="23" t="s">
        <v>27</v>
      </c>
      <c r="N286" s="16"/>
      <c r="O286" s="17"/>
      <c r="P286" s="17">
        <v>80</v>
      </c>
      <c r="Q286" s="22"/>
      <c r="R286" s="23"/>
      <c r="Z286" s="23" t="s">
        <v>421</v>
      </c>
    </row>
    <row r="287" spans="1:26" ht="12.75">
      <c r="A287" s="22">
        <v>46294</v>
      </c>
      <c r="B287" s="23" t="s">
        <v>23</v>
      </c>
      <c r="C287" s="23" t="s">
        <v>89</v>
      </c>
      <c r="D287" s="19">
        <v>32050</v>
      </c>
      <c r="E287" s="23" t="s">
        <v>24</v>
      </c>
      <c r="F287" s="23">
        <v>11989643287</v>
      </c>
      <c r="G287" s="23" t="s">
        <v>16</v>
      </c>
      <c r="H287" s="18">
        <v>45</v>
      </c>
      <c r="J287" s="18"/>
      <c r="K287" s="23" t="s">
        <v>18</v>
      </c>
      <c r="L287" s="23" t="s">
        <v>28</v>
      </c>
      <c r="N287" s="16"/>
      <c r="O287" s="17"/>
      <c r="P287" s="17">
        <v>45</v>
      </c>
      <c r="Q287" s="22"/>
      <c r="R287" s="23"/>
      <c r="Z287" s="23" t="s">
        <v>422</v>
      </c>
    </row>
    <row r="288" spans="1:26" ht="12.75">
      <c r="A288" s="22">
        <v>46294</v>
      </c>
      <c r="B288" s="23" t="s">
        <v>23</v>
      </c>
      <c r="C288" s="23" t="s">
        <v>423</v>
      </c>
      <c r="D288" s="19">
        <v>43085</v>
      </c>
      <c r="E288" s="23" t="s">
        <v>24</v>
      </c>
      <c r="F288" s="23">
        <v>11989643287</v>
      </c>
      <c r="G288" s="23" t="s">
        <v>16</v>
      </c>
      <c r="H288" s="18">
        <v>45</v>
      </c>
      <c r="J288" s="18"/>
      <c r="K288" s="23" t="s">
        <v>18</v>
      </c>
      <c r="L288" s="23" t="s">
        <v>28</v>
      </c>
      <c r="N288" s="16"/>
      <c r="O288" s="17"/>
      <c r="P288" s="17">
        <v>45</v>
      </c>
      <c r="Q288" s="22"/>
      <c r="R288" s="23"/>
      <c r="Z288" s="23" t="s">
        <v>424</v>
      </c>
    </row>
    <row r="289" spans="1:26" ht="12.75">
      <c r="A289" s="22">
        <v>46294</v>
      </c>
      <c r="B289" s="23" t="s">
        <v>23</v>
      </c>
      <c r="C289" s="23" t="s">
        <v>425</v>
      </c>
      <c r="D289" s="19">
        <v>32039</v>
      </c>
      <c r="E289" s="23" t="s">
        <v>24</v>
      </c>
      <c r="F289" s="23">
        <v>11952032420</v>
      </c>
      <c r="G289" s="23" t="s">
        <v>16</v>
      </c>
      <c r="H289" s="18">
        <v>45</v>
      </c>
      <c r="J289" s="18"/>
      <c r="K289" s="23"/>
      <c r="L289" s="23" t="s">
        <v>34</v>
      </c>
      <c r="N289" s="16"/>
      <c r="O289" s="17"/>
      <c r="P289" s="17">
        <v>45</v>
      </c>
      <c r="Q289" s="22"/>
      <c r="R289" s="23"/>
      <c r="Z289" s="23" t="s">
        <v>426</v>
      </c>
    </row>
    <row r="290" spans="1:26" ht="12.75">
      <c r="A290" s="22">
        <v>46295</v>
      </c>
      <c r="B290" s="23" t="s">
        <v>14</v>
      </c>
      <c r="C290" s="23" t="s">
        <v>427</v>
      </c>
      <c r="D290" s="19">
        <v>37516</v>
      </c>
      <c r="E290" s="23" t="s">
        <v>24</v>
      </c>
      <c r="F290" s="23">
        <v>35997104815</v>
      </c>
      <c r="G290" s="23" t="s">
        <v>16</v>
      </c>
      <c r="H290" s="18">
        <v>45</v>
      </c>
      <c r="J290" s="18"/>
      <c r="K290" s="23" t="s">
        <v>18</v>
      </c>
      <c r="L290" s="23" t="s">
        <v>34</v>
      </c>
      <c r="N290" s="16"/>
      <c r="O290" s="17"/>
      <c r="P290" s="17">
        <v>45</v>
      </c>
      <c r="Q290" s="22"/>
      <c r="R290" s="23"/>
      <c r="Z290" s="23" t="s">
        <v>428</v>
      </c>
    </row>
    <row r="291" spans="1:26" ht="12.75">
      <c r="A291" s="22">
        <v>46295</v>
      </c>
      <c r="B291" s="23" t="s">
        <v>23</v>
      </c>
      <c r="C291" s="23" t="s">
        <v>429</v>
      </c>
      <c r="D291" s="19">
        <v>17607</v>
      </c>
      <c r="E291" s="23" t="s">
        <v>24</v>
      </c>
      <c r="F291" s="23">
        <v>11997858734</v>
      </c>
      <c r="G291" s="23" t="s">
        <v>16</v>
      </c>
      <c r="H291" s="18">
        <v>45</v>
      </c>
      <c r="J291" s="18"/>
      <c r="K291" s="23" t="s">
        <v>18</v>
      </c>
      <c r="L291" s="23" t="s">
        <v>39</v>
      </c>
      <c r="N291" s="16"/>
      <c r="O291" s="17"/>
      <c r="P291" s="17">
        <v>45</v>
      </c>
      <c r="Q291" s="22"/>
      <c r="R291" s="23"/>
      <c r="Z291" s="23" t="s">
        <v>430</v>
      </c>
    </row>
    <row r="292" spans="1:26" ht="12.75">
      <c r="A292" s="22">
        <v>46295</v>
      </c>
      <c r="B292" s="23" t="s">
        <v>23</v>
      </c>
      <c r="C292" s="23" t="s">
        <v>431</v>
      </c>
      <c r="D292" s="19">
        <v>35122</v>
      </c>
      <c r="E292" s="23" t="s">
        <v>24</v>
      </c>
      <c r="F292" s="23">
        <v>11970821462</v>
      </c>
      <c r="G292" s="23" t="s">
        <v>16</v>
      </c>
      <c r="H292" s="18">
        <v>45</v>
      </c>
      <c r="J292" s="18"/>
      <c r="K292" s="23" t="s">
        <v>18</v>
      </c>
      <c r="L292" s="23" t="s">
        <v>34</v>
      </c>
      <c r="N292" s="16"/>
      <c r="O292" s="17"/>
      <c r="P292" s="17">
        <v>45</v>
      </c>
      <c r="Q292" s="22"/>
      <c r="R292" s="23"/>
      <c r="Z292" s="23" t="s">
        <v>432</v>
      </c>
    </row>
    <row r="293" spans="1:26" ht="12.75">
      <c r="A293" s="22">
        <v>46295</v>
      </c>
      <c r="B293" s="23" t="s">
        <v>14</v>
      </c>
      <c r="C293" s="23" t="s">
        <v>433</v>
      </c>
      <c r="D293" s="19">
        <v>29859</v>
      </c>
      <c r="E293" s="23" t="s">
        <v>24</v>
      </c>
      <c r="F293" s="23">
        <v>11997814422</v>
      </c>
      <c r="G293" s="23" t="s">
        <v>16</v>
      </c>
      <c r="H293" s="18">
        <v>45</v>
      </c>
      <c r="J293" s="18"/>
      <c r="K293" s="23" t="s">
        <v>18</v>
      </c>
      <c r="L293" s="23" t="s">
        <v>34</v>
      </c>
      <c r="N293" s="16"/>
      <c r="O293" s="17"/>
      <c r="P293" s="17">
        <v>45</v>
      </c>
      <c r="Q293" s="22"/>
      <c r="R293" s="23"/>
      <c r="Z293" s="23" t="s">
        <v>434</v>
      </c>
    </row>
    <row r="294" spans="1:26" ht="12.75">
      <c r="A294" s="22">
        <v>46295</v>
      </c>
      <c r="B294" s="23" t="s">
        <v>23</v>
      </c>
      <c r="C294" s="23" t="s">
        <v>163</v>
      </c>
      <c r="D294" s="19">
        <v>28179</v>
      </c>
      <c r="E294" s="23" t="s">
        <v>24</v>
      </c>
      <c r="G294" s="23" t="s">
        <v>16</v>
      </c>
      <c r="H294" s="18">
        <v>45</v>
      </c>
      <c r="J294" s="18"/>
      <c r="K294" s="23" t="s">
        <v>18</v>
      </c>
      <c r="L294" s="23" t="s">
        <v>39</v>
      </c>
      <c r="N294" s="16"/>
      <c r="O294" s="17"/>
      <c r="P294" s="17">
        <v>45</v>
      </c>
      <c r="Q294" s="22"/>
      <c r="R294" s="23"/>
      <c r="Z294" s="23" t="s">
        <v>435</v>
      </c>
    </row>
    <row r="295" spans="1:26" ht="12.75">
      <c r="A295" s="22">
        <v>46295</v>
      </c>
      <c r="B295" s="23" t="s">
        <v>14</v>
      </c>
      <c r="C295" s="23" t="s">
        <v>436</v>
      </c>
      <c r="D295" s="19">
        <v>23966</v>
      </c>
      <c r="E295" s="23" t="s">
        <v>24</v>
      </c>
      <c r="F295" s="23">
        <v>11983023646</v>
      </c>
      <c r="G295" s="23" t="s">
        <v>16</v>
      </c>
      <c r="H295" s="18">
        <v>45</v>
      </c>
      <c r="J295" s="18"/>
      <c r="K295" s="23" t="s">
        <v>18</v>
      </c>
      <c r="L295" s="23" t="s">
        <v>34</v>
      </c>
      <c r="N295" s="16"/>
      <c r="O295" s="17"/>
      <c r="P295" s="17">
        <v>45</v>
      </c>
      <c r="Q295" s="22"/>
      <c r="R295" s="23"/>
      <c r="Z295" s="23" t="s">
        <v>437</v>
      </c>
    </row>
    <row r="296" spans="1:26" ht="12.75">
      <c r="A296" s="22">
        <v>46295</v>
      </c>
      <c r="B296" s="23" t="s">
        <v>23</v>
      </c>
      <c r="C296" s="23" t="s">
        <v>157</v>
      </c>
      <c r="D296" s="19"/>
      <c r="E296" s="23" t="s">
        <v>24</v>
      </c>
      <c r="G296" s="23" t="s">
        <v>46</v>
      </c>
      <c r="H296" s="18">
        <v>30</v>
      </c>
      <c r="J296" s="18"/>
      <c r="K296" s="23" t="s">
        <v>27</v>
      </c>
      <c r="L296" s="23" t="s">
        <v>27</v>
      </c>
      <c r="N296" s="16"/>
      <c r="O296" s="17"/>
      <c r="P296" s="17">
        <v>30</v>
      </c>
      <c r="Q296" s="22"/>
      <c r="R296" s="23"/>
      <c r="Z296" s="23" t="s">
        <v>438</v>
      </c>
    </row>
    <row r="297" spans="1:26" ht="12.75">
      <c r="A297" s="22">
        <v>46295</v>
      </c>
      <c r="B297" s="23" t="s">
        <v>23</v>
      </c>
      <c r="C297" s="23" t="s">
        <v>439</v>
      </c>
      <c r="D297" s="19">
        <v>37265</v>
      </c>
      <c r="E297" s="23" t="s">
        <v>24</v>
      </c>
      <c r="F297" s="23">
        <v>11978500566</v>
      </c>
      <c r="G297" s="23" t="s">
        <v>25</v>
      </c>
      <c r="H297" s="18">
        <v>80</v>
      </c>
      <c r="J297" s="18"/>
      <c r="K297" s="23" t="s">
        <v>18</v>
      </c>
      <c r="L297" s="23" t="s">
        <v>34</v>
      </c>
      <c r="N297" s="16"/>
      <c r="O297" s="17"/>
      <c r="P297" s="17">
        <v>80</v>
      </c>
      <c r="Q297" s="22"/>
      <c r="R297" s="23"/>
      <c r="Z297" s="23" t="s">
        <v>440</v>
      </c>
    </row>
    <row r="298" spans="1:26" ht="12.75">
      <c r="A298" s="22">
        <v>46296</v>
      </c>
      <c r="B298" s="23" t="s">
        <v>14</v>
      </c>
      <c r="C298" s="23" t="s">
        <v>441</v>
      </c>
      <c r="D298" s="19"/>
      <c r="E298" s="23" t="s">
        <v>24</v>
      </c>
      <c r="G298" s="23" t="s">
        <v>38</v>
      </c>
      <c r="H298" s="18">
        <v>70</v>
      </c>
      <c r="J298" s="18"/>
      <c r="K298" s="23" t="s">
        <v>18</v>
      </c>
      <c r="L298" s="23" t="s">
        <v>19</v>
      </c>
      <c r="N298" s="16"/>
      <c r="O298" s="17"/>
      <c r="P298" s="17">
        <v>70</v>
      </c>
      <c r="Q298" s="22"/>
      <c r="R298" s="23"/>
      <c r="Z298" s="23" t="s">
        <v>442</v>
      </c>
    </row>
    <row r="299" spans="1:26" ht="12.75">
      <c r="A299" s="22">
        <v>46296</v>
      </c>
      <c r="B299" s="23" t="s">
        <v>14</v>
      </c>
      <c r="C299" s="23" t="s">
        <v>443</v>
      </c>
      <c r="D299" s="19"/>
      <c r="E299" s="23" t="s">
        <v>24</v>
      </c>
      <c r="G299" s="23" t="s">
        <v>16</v>
      </c>
      <c r="H299" s="18">
        <v>45</v>
      </c>
      <c r="J299" s="18"/>
      <c r="K299" s="23" t="s">
        <v>18</v>
      </c>
      <c r="L299" s="23" t="s">
        <v>34</v>
      </c>
      <c r="N299" s="16"/>
      <c r="O299" s="17"/>
      <c r="P299" s="17">
        <v>45</v>
      </c>
      <c r="Q299" s="22"/>
      <c r="R299" s="23"/>
      <c r="Z299" s="23" t="s">
        <v>444</v>
      </c>
    </row>
    <row r="300" spans="1:26" ht="12.75">
      <c r="A300" s="22">
        <v>46296</v>
      </c>
      <c r="B300" s="23" t="s">
        <v>23</v>
      </c>
      <c r="C300" s="23" t="s">
        <v>445</v>
      </c>
      <c r="D300" s="19">
        <v>36632</v>
      </c>
      <c r="E300" s="23" t="s">
        <v>15</v>
      </c>
      <c r="F300" s="23">
        <v>47988262529</v>
      </c>
      <c r="G300" s="23" t="s">
        <v>16</v>
      </c>
      <c r="H300" s="18">
        <v>45</v>
      </c>
      <c r="I300" s="23" t="s">
        <v>36</v>
      </c>
      <c r="J300" s="18">
        <v>70</v>
      </c>
      <c r="K300" s="23" t="s">
        <v>18</v>
      </c>
      <c r="L300" s="23" t="s">
        <v>34</v>
      </c>
      <c r="N300" s="16"/>
      <c r="O300" s="17"/>
      <c r="P300" s="17">
        <v>125</v>
      </c>
      <c r="Q300" s="22"/>
      <c r="R300" s="23"/>
      <c r="T300" s="23" t="s">
        <v>21</v>
      </c>
      <c r="U300" s="23">
        <v>10</v>
      </c>
      <c r="Z300" s="23" t="s">
        <v>446</v>
      </c>
    </row>
    <row r="301" spans="1:26" ht="12.75">
      <c r="A301" s="22">
        <v>46296</v>
      </c>
      <c r="B301" s="23" t="s">
        <v>23</v>
      </c>
      <c r="C301" s="23" t="s">
        <v>184</v>
      </c>
      <c r="D301" s="19">
        <v>36041</v>
      </c>
      <c r="E301" s="23" t="s">
        <v>24</v>
      </c>
      <c r="F301" s="23">
        <v>11974384088</v>
      </c>
      <c r="G301" s="23" t="s">
        <v>16</v>
      </c>
      <c r="H301" s="18">
        <v>45</v>
      </c>
      <c r="I301" s="23" t="s">
        <v>21</v>
      </c>
      <c r="J301" s="18">
        <v>10</v>
      </c>
      <c r="K301" s="23" t="s">
        <v>18</v>
      </c>
      <c r="L301" s="23" t="s">
        <v>39</v>
      </c>
      <c r="N301" s="16"/>
      <c r="O301" s="17"/>
      <c r="P301" s="17">
        <v>55</v>
      </c>
      <c r="Q301" s="22"/>
      <c r="R301" s="23"/>
      <c r="Z301" s="23" t="s">
        <v>447</v>
      </c>
    </row>
    <row r="302" spans="1:26" ht="12.75">
      <c r="A302" s="22">
        <v>46296</v>
      </c>
      <c r="B302" s="23" t="s">
        <v>14</v>
      </c>
      <c r="C302" s="23" t="s">
        <v>448</v>
      </c>
      <c r="D302" s="19"/>
      <c r="E302" s="23" t="s">
        <v>24</v>
      </c>
      <c r="G302" s="23" t="s">
        <v>16</v>
      </c>
      <c r="H302" s="18">
        <v>45</v>
      </c>
      <c r="I302" s="23" t="s">
        <v>21</v>
      </c>
      <c r="J302" s="18">
        <v>10</v>
      </c>
      <c r="K302" s="23" t="s">
        <v>18</v>
      </c>
      <c r="L302" s="23" t="s">
        <v>19</v>
      </c>
      <c r="N302" s="16"/>
      <c r="O302" s="17"/>
      <c r="P302" s="17">
        <v>55</v>
      </c>
      <c r="Q302" s="22"/>
      <c r="R302" s="23"/>
      <c r="Z302" s="23" t="s">
        <v>449</v>
      </c>
    </row>
    <row r="303" spans="1:26" ht="12.75">
      <c r="A303" s="22">
        <v>46296</v>
      </c>
      <c r="B303" s="23" t="s">
        <v>14</v>
      </c>
      <c r="C303" s="23" t="s">
        <v>450</v>
      </c>
      <c r="D303" s="19"/>
      <c r="E303" s="23" t="s">
        <v>24</v>
      </c>
      <c r="G303" s="23" t="s">
        <v>25</v>
      </c>
      <c r="H303" s="18">
        <v>80</v>
      </c>
      <c r="I303" s="23" t="s">
        <v>30</v>
      </c>
      <c r="J303" s="18">
        <v>40</v>
      </c>
      <c r="K303" s="23" t="s">
        <v>18</v>
      </c>
      <c r="L303" s="23" t="s">
        <v>39</v>
      </c>
      <c r="N303" s="16"/>
      <c r="O303" s="17"/>
      <c r="P303" s="17">
        <v>120</v>
      </c>
      <c r="Q303" s="22"/>
      <c r="R303" s="23"/>
      <c r="Z303" s="23" t="s">
        <v>451</v>
      </c>
    </row>
    <row r="304" spans="1:26" ht="12.75">
      <c r="A304" s="22">
        <v>46296</v>
      </c>
      <c r="B304" s="23" t="s">
        <v>14</v>
      </c>
      <c r="C304" s="23" t="s">
        <v>169</v>
      </c>
      <c r="D304" s="19">
        <v>33922</v>
      </c>
      <c r="E304" s="23" t="s">
        <v>24</v>
      </c>
      <c r="F304" s="23">
        <v>77988077846</v>
      </c>
      <c r="G304" s="23" t="s">
        <v>38</v>
      </c>
      <c r="H304" s="18">
        <v>70</v>
      </c>
      <c r="J304" s="18"/>
      <c r="K304" s="23" t="s">
        <v>27</v>
      </c>
      <c r="L304" s="23" t="s">
        <v>27</v>
      </c>
      <c r="N304" s="16"/>
      <c r="O304" s="17"/>
      <c r="P304" s="17">
        <v>70</v>
      </c>
      <c r="Q304" s="22"/>
      <c r="R304" s="23"/>
      <c r="Z304" s="23" t="s">
        <v>452</v>
      </c>
    </row>
    <row r="305" spans="1:26" ht="12.75">
      <c r="A305" s="22">
        <v>46296</v>
      </c>
      <c r="B305" s="23" t="s">
        <v>14</v>
      </c>
      <c r="C305" s="23" t="s">
        <v>101</v>
      </c>
      <c r="D305" s="19">
        <v>38070</v>
      </c>
      <c r="E305" s="23" t="s">
        <v>24</v>
      </c>
      <c r="F305" s="23">
        <v>11993117433</v>
      </c>
      <c r="G305" s="23" t="s">
        <v>16</v>
      </c>
      <c r="H305" s="18">
        <v>45</v>
      </c>
      <c r="J305" s="18"/>
      <c r="K305" s="23" t="s">
        <v>18</v>
      </c>
      <c r="L305" s="23" t="s">
        <v>34</v>
      </c>
      <c r="N305" s="16"/>
      <c r="O305" s="17"/>
      <c r="P305" s="17">
        <v>45</v>
      </c>
      <c r="Q305" s="22"/>
      <c r="R305" s="23"/>
      <c r="Z305" s="23" t="s">
        <v>453</v>
      </c>
    </row>
    <row r="306" spans="1:26" ht="12.75">
      <c r="A306" s="22">
        <v>46296</v>
      </c>
      <c r="B306" s="23" t="s">
        <v>23</v>
      </c>
      <c r="C306" s="23" t="s">
        <v>454</v>
      </c>
      <c r="D306" s="19">
        <v>40928</v>
      </c>
      <c r="E306" s="23" t="s">
        <v>24</v>
      </c>
      <c r="F306" s="23">
        <v>11983382724</v>
      </c>
      <c r="G306" s="23" t="s">
        <v>16</v>
      </c>
      <c r="H306" s="18">
        <v>45</v>
      </c>
      <c r="J306" s="18"/>
      <c r="K306" s="23" t="s">
        <v>18</v>
      </c>
      <c r="L306" s="23" t="s">
        <v>34</v>
      </c>
      <c r="N306" s="16"/>
      <c r="O306" s="17"/>
      <c r="P306" s="17">
        <v>45</v>
      </c>
      <c r="Q306" s="22"/>
      <c r="R306" s="23"/>
      <c r="Z306" s="23" t="s">
        <v>455</v>
      </c>
    </row>
    <row r="307" spans="1:26" ht="12.75">
      <c r="A307" s="22">
        <v>46296</v>
      </c>
      <c r="B307" s="23" t="s">
        <v>14</v>
      </c>
      <c r="C307" s="23" t="s">
        <v>456</v>
      </c>
      <c r="D307" s="19"/>
      <c r="E307" s="23" t="s">
        <v>24</v>
      </c>
      <c r="G307" s="23" t="s">
        <v>16</v>
      </c>
      <c r="H307" s="18">
        <v>45</v>
      </c>
      <c r="I307" s="23" t="s">
        <v>50</v>
      </c>
      <c r="J307" s="18">
        <v>20</v>
      </c>
      <c r="K307" s="23" t="s">
        <v>18</v>
      </c>
      <c r="L307" s="23" t="s">
        <v>34</v>
      </c>
      <c r="N307" s="16"/>
      <c r="O307" s="17"/>
      <c r="P307" s="17">
        <v>65</v>
      </c>
      <c r="Q307" s="22"/>
      <c r="R307" s="23"/>
      <c r="Z307" s="23" t="s">
        <v>457</v>
      </c>
    </row>
    <row r="308" spans="1:26" ht="12.75">
      <c r="A308" s="22">
        <v>46296</v>
      </c>
      <c r="B308" s="23" t="s">
        <v>23</v>
      </c>
      <c r="C308" s="23" t="s">
        <v>88</v>
      </c>
      <c r="D308" s="19">
        <v>38294</v>
      </c>
      <c r="E308" s="23" t="s">
        <v>24</v>
      </c>
      <c r="F308" s="23">
        <v>11987247433</v>
      </c>
      <c r="G308" s="23" t="s">
        <v>16</v>
      </c>
      <c r="H308" s="18">
        <v>45</v>
      </c>
      <c r="I308" s="23" t="s">
        <v>21</v>
      </c>
      <c r="J308" s="18">
        <v>10</v>
      </c>
      <c r="K308" s="23" t="s">
        <v>18</v>
      </c>
      <c r="L308" s="23" t="s">
        <v>39</v>
      </c>
      <c r="N308" s="16"/>
      <c r="O308" s="17"/>
      <c r="P308" s="17">
        <v>70</v>
      </c>
      <c r="Q308" s="22"/>
      <c r="R308" s="23"/>
      <c r="T308" s="23" t="s">
        <v>50</v>
      </c>
      <c r="U308" s="23">
        <v>15</v>
      </c>
      <c r="Z308" s="23" t="s">
        <v>458</v>
      </c>
    </row>
    <row r="309" spans="1:26" ht="12.75">
      <c r="A309" s="22">
        <v>46296</v>
      </c>
      <c r="B309" s="23" t="s">
        <v>14</v>
      </c>
      <c r="C309" s="23" t="s">
        <v>459</v>
      </c>
      <c r="D309" s="19"/>
      <c r="E309" s="23" t="s">
        <v>24</v>
      </c>
      <c r="G309" s="23" t="s">
        <v>16</v>
      </c>
      <c r="H309" s="18">
        <v>45</v>
      </c>
      <c r="J309" s="18"/>
      <c r="K309" s="23" t="s">
        <v>18</v>
      </c>
      <c r="L309" s="23" t="s">
        <v>19</v>
      </c>
      <c r="N309" s="16"/>
      <c r="O309" s="17"/>
      <c r="P309" s="17">
        <v>45</v>
      </c>
      <c r="Q309" s="22"/>
      <c r="R309" s="23"/>
      <c r="Z309" s="23" t="s">
        <v>460</v>
      </c>
    </row>
    <row r="310" spans="1:26" ht="12.75">
      <c r="A310" s="22">
        <v>46297</v>
      </c>
      <c r="B310" s="23" t="s">
        <v>14</v>
      </c>
      <c r="C310" s="23" t="s">
        <v>114</v>
      </c>
      <c r="D310" s="19"/>
      <c r="E310" s="23" t="s">
        <v>24</v>
      </c>
      <c r="G310" s="23" t="s">
        <v>16</v>
      </c>
      <c r="H310" s="18">
        <v>45</v>
      </c>
      <c r="J310" s="18"/>
      <c r="K310" s="23" t="s">
        <v>27</v>
      </c>
      <c r="L310" s="23" t="s">
        <v>27</v>
      </c>
      <c r="N310" s="16"/>
      <c r="O310" s="17"/>
      <c r="P310" s="17">
        <v>45</v>
      </c>
      <c r="Q310" s="22"/>
      <c r="R310" s="23"/>
      <c r="Z310" s="23" t="s">
        <v>461</v>
      </c>
    </row>
    <row r="311" spans="1:26" ht="12.75">
      <c r="A311" s="22">
        <v>46297</v>
      </c>
      <c r="B311" s="23" t="s">
        <v>14</v>
      </c>
      <c r="C311" s="23" t="s">
        <v>115</v>
      </c>
      <c r="D311" s="19">
        <v>33659</v>
      </c>
      <c r="E311" s="23" t="s">
        <v>24</v>
      </c>
      <c r="G311" s="23" t="s">
        <v>38</v>
      </c>
      <c r="H311" s="18">
        <v>70</v>
      </c>
      <c r="J311" s="18"/>
      <c r="K311" s="23" t="s">
        <v>18</v>
      </c>
      <c r="L311" s="23" t="s">
        <v>34</v>
      </c>
      <c r="N311" s="16"/>
      <c r="O311" s="17"/>
      <c r="P311" s="17">
        <v>70</v>
      </c>
      <c r="Q311" s="22"/>
      <c r="R311" s="23"/>
      <c r="Z311" s="23" t="s">
        <v>462</v>
      </c>
    </row>
    <row r="312" spans="1:26" ht="12.75">
      <c r="A312" s="22">
        <v>46297</v>
      </c>
      <c r="B312" s="23" t="s">
        <v>23</v>
      </c>
      <c r="C312" s="23" t="s">
        <v>463</v>
      </c>
      <c r="D312" s="19"/>
      <c r="E312" s="23" t="s">
        <v>24</v>
      </c>
      <c r="G312" s="23" t="s">
        <v>16</v>
      </c>
      <c r="H312" s="18">
        <v>45</v>
      </c>
      <c r="J312" s="18"/>
      <c r="K312" s="23" t="s">
        <v>27</v>
      </c>
      <c r="L312" s="23" t="s">
        <v>27</v>
      </c>
      <c r="N312" s="16"/>
      <c r="O312" s="17"/>
      <c r="P312" s="17">
        <v>45</v>
      </c>
      <c r="Q312" s="22"/>
      <c r="R312" s="23"/>
      <c r="Z312" s="23" t="s">
        <v>464</v>
      </c>
    </row>
    <row r="313" spans="1:26" ht="12.75">
      <c r="A313" s="22">
        <v>46297</v>
      </c>
      <c r="B313" s="23" t="s">
        <v>14</v>
      </c>
      <c r="C313" s="23" t="s">
        <v>465</v>
      </c>
      <c r="D313" s="19"/>
      <c r="E313" s="23" t="s">
        <v>24</v>
      </c>
      <c r="F313" s="23">
        <v>11974610335</v>
      </c>
      <c r="G313" s="23" t="s">
        <v>16</v>
      </c>
      <c r="H313" s="18">
        <v>45</v>
      </c>
      <c r="J313" s="18"/>
      <c r="K313" s="23" t="s">
        <v>18</v>
      </c>
      <c r="L313" s="23" t="s">
        <v>28</v>
      </c>
      <c r="N313" s="16"/>
      <c r="O313" s="17"/>
      <c r="P313" s="17">
        <v>45</v>
      </c>
      <c r="Q313" s="22"/>
      <c r="R313" s="23"/>
      <c r="Z313" s="23" t="s">
        <v>466</v>
      </c>
    </row>
    <row r="314" spans="1:26" ht="12.75">
      <c r="A314" s="22">
        <v>46297</v>
      </c>
      <c r="B314" s="23" t="s">
        <v>23</v>
      </c>
      <c r="C314" s="23" t="s">
        <v>135</v>
      </c>
      <c r="D314" s="19">
        <v>35961</v>
      </c>
      <c r="E314" s="23" t="s">
        <v>24</v>
      </c>
      <c r="F314" s="23">
        <v>11978147895</v>
      </c>
      <c r="G314" s="23" t="s">
        <v>38</v>
      </c>
      <c r="H314" s="18">
        <v>70</v>
      </c>
      <c r="J314" s="18"/>
      <c r="K314" s="23" t="s">
        <v>18</v>
      </c>
      <c r="L314" s="23" t="s">
        <v>19</v>
      </c>
      <c r="N314" s="16"/>
      <c r="O314" s="17"/>
      <c r="P314" s="17">
        <v>70</v>
      </c>
      <c r="Q314" s="22"/>
      <c r="R314" s="23"/>
      <c r="Z314" s="23" t="s">
        <v>467</v>
      </c>
    </row>
    <row r="315" spans="1:26" ht="12.75">
      <c r="A315" s="22">
        <v>46297</v>
      </c>
      <c r="B315" s="23" t="s">
        <v>14</v>
      </c>
      <c r="C315" s="23" t="s">
        <v>117</v>
      </c>
      <c r="D315" s="19"/>
      <c r="E315" s="23" t="s">
        <v>24</v>
      </c>
      <c r="G315" s="23" t="s">
        <v>38</v>
      </c>
      <c r="H315" s="18">
        <v>70</v>
      </c>
      <c r="J315" s="18"/>
      <c r="K315" s="23" t="s">
        <v>18</v>
      </c>
      <c r="L315" s="23" t="s">
        <v>34</v>
      </c>
      <c r="N315" s="16"/>
      <c r="O315" s="17"/>
      <c r="P315" s="17">
        <v>70</v>
      </c>
      <c r="Q315" s="22"/>
      <c r="R315" s="23"/>
      <c r="Z315" s="23" t="s">
        <v>468</v>
      </c>
    </row>
    <row r="316" spans="1:26" ht="12.75">
      <c r="A316" s="22">
        <v>46297</v>
      </c>
      <c r="B316" s="23" t="s">
        <v>14</v>
      </c>
      <c r="C316" s="23" t="s">
        <v>469</v>
      </c>
      <c r="D316" s="19">
        <v>32048</v>
      </c>
      <c r="E316" s="23" t="s">
        <v>24</v>
      </c>
      <c r="F316" s="23">
        <v>11968354836</v>
      </c>
      <c r="G316" s="23" t="s">
        <v>16</v>
      </c>
      <c r="H316" s="18">
        <v>45</v>
      </c>
      <c r="J316" s="18"/>
      <c r="K316" s="23" t="s">
        <v>18</v>
      </c>
      <c r="L316" s="23" t="s">
        <v>34</v>
      </c>
      <c r="N316" s="16"/>
      <c r="O316" s="17"/>
      <c r="P316" s="17">
        <v>45</v>
      </c>
      <c r="Q316" s="22"/>
      <c r="R316" s="23"/>
      <c r="Z316" s="23" t="s">
        <v>470</v>
      </c>
    </row>
    <row r="317" spans="1:26" ht="12.75">
      <c r="A317" s="22">
        <v>46297</v>
      </c>
      <c r="B317" s="23" t="s">
        <v>14</v>
      </c>
      <c r="C317" s="23" t="s">
        <v>204</v>
      </c>
      <c r="D317" s="19">
        <v>35964</v>
      </c>
      <c r="E317" s="23" t="s">
        <v>24</v>
      </c>
      <c r="F317" s="23">
        <v>11975951494</v>
      </c>
      <c r="G317" s="23" t="s">
        <v>25</v>
      </c>
      <c r="H317" s="18">
        <v>80</v>
      </c>
      <c r="J317" s="18"/>
      <c r="K317" s="23" t="s">
        <v>27</v>
      </c>
      <c r="L317" s="23" t="s">
        <v>27</v>
      </c>
      <c r="N317" s="16"/>
      <c r="O317" s="17"/>
      <c r="P317" s="17">
        <v>80</v>
      </c>
      <c r="Q317" s="22"/>
      <c r="R317" s="23"/>
      <c r="Z317" s="23" t="s">
        <v>471</v>
      </c>
    </row>
    <row r="318" spans="1:26" ht="12.75">
      <c r="A318" s="22">
        <v>46297</v>
      </c>
      <c r="B318" s="23" t="s">
        <v>23</v>
      </c>
      <c r="C318" s="23" t="s">
        <v>472</v>
      </c>
      <c r="D318" s="19">
        <v>42008</v>
      </c>
      <c r="E318" s="23" t="s">
        <v>24</v>
      </c>
      <c r="F318" s="23">
        <v>11981853785</v>
      </c>
      <c r="G318" s="23" t="s">
        <v>16</v>
      </c>
      <c r="H318" s="18">
        <v>45</v>
      </c>
      <c r="J318" s="18"/>
      <c r="K318" s="23" t="s">
        <v>18</v>
      </c>
      <c r="L318" s="23" t="s">
        <v>28</v>
      </c>
      <c r="N318" s="16"/>
      <c r="O318" s="17"/>
      <c r="P318" s="17">
        <v>45</v>
      </c>
      <c r="Q318" s="22"/>
      <c r="R318" s="23"/>
      <c r="Z318" s="23" t="s">
        <v>473</v>
      </c>
    </row>
    <row r="319" spans="1:26" ht="12.75">
      <c r="A319" s="22">
        <v>46297</v>
      </c>
      <c r="B319" s="23" t="s">
        <v>23</v>
      </c>
      <c r="C319" s="23" t="s">
        <v>187</v>
      </c>
      <c r="D319" s="19">
        <v>35768</v>
      </c>
      <c r="E319" s="23" t="s">
        <v>24</v>
      </c>
      <c r="F319" s="23">
        <v>11985693394</v>
      </c>
      <c r="G319" s="23" t="s">
        <v>25</v>
      </c>
      <c r="H319" s="18">
        <v>80</v>
      </c>
      <c r="J319" s="18"/>
      <c r="K319" s="23" t="s">
        <v>27</v>
      </c>
      <c r="L319" s="23" t="s">
        <v>27</v>
      </c>
      <c r="N319" s="16"/>
      <c r="O319" s="17"/>
      <c r="P319" s="17">
        <v>80</v>
      </c>
      <c r="Q319" s="22"/>
      <c r="R319" s="23"/>
      <c r="Z319" s="23" t="s">
        <v>474</v>
      </c>
    </row>
    <row r="320" spans="1:26" ht="12.75">
      <c r="A320" s="22">
        <v>46297</v>
      </c>
      <c r="B320" s="23" t="s">
        <v>14</v>
      </c>
      <c r="C320" s="23" t="s">
        <v>120</v>
      </c>
      <c r="D320" s="19"/>
      <c r="E320" s="23" t="s">
        <v>24</v>
      </c>
      <c r="G320" s="23" t="s">
        <v>25</v>
      </c>
      <c r="H320" s="18">
        <v>80</v>
      </c>
      <c r="J320" s="18"/>
      <c r="K320" s="23" t="s">
        <v>18</v>
      </c>
      <c r="L320" s="23" t="s">
        <v>39</v>
      </c>
      <c r="N320" s="16"/>
      <c r="O320" s="17"/>
      <c r="P320" s="17">
        <v>80</v>
      </c>
      <c r="Q320" s="22"/>
      <c r="R320" s="23"/>
      <c r="Z320" s="23" t="s">
        <v>475</v>
      </c>
    </row>
    <row r="321" spans="1:26" ht="12.75">
      <c r="A321" s="22">
        <v>46297</v>
      </c>
      <c r="B321" s="23" t="s">
        <v>14</v>
      </c>
      <c r="C321" s="23" t="s">
        <v>359</v>
      </c>
      <c r="D321" s="19">
        <v>39435</v>
      </c>
      <c r="E321" s="23" t="s">
        <v>24</v>
      </c>
      <c r="F321" s="23">
        <v>11984687593</v>
      </c>
      <c r="G321" s="23" t="s">
        <v>16</v>
      </c>
      <c r="H321" s="18">
        <v>45</v>
      </c>
      <c r="I321" s="23" t="s">
        <v>141</v>
      </c>
      <c r="J321" s="18">
        <v>60</v>
      </c>
      <c r="K321" s="23" t="s">
        <v>18</v>
      </c>
      <c r="L321" s="23" t="s">
        <v>34</v>
      </c>
      <c r="N321" s="16"/>
      <c r="O321" s="17"/>
      <c r="P321" s="17">
        <v>105</v>
      </c>
      <c r="Q321" s="22"/>
      <c r="R321" s="23"/>
      <c r="Z321" s="23" t="s">
        <v>476</v>
      </c>
    </row>
    <row r="322" spans="1:26" ht="12.75">
      <c r="A322" s="22">
        <v>46297</v>
      </c>
      <c r="B322" s="23" t="s">
        <v>23</v>
      </c>
      <c r="C322" s="23" t="s">
        <v>477</v>
      </c>
      <c r="D322" s="19">
        <v>37519</v>
      </c>
      <c r="E322" s="23" t="s">
        <v>24</v>
      </c>
      <c r="F322" s="23">
        <v>91996194801</v>
      </c>
      <c r="G322" s="23" t="s">
        <v>16</v>
      </c>
      <c r="H322" s="18">
        <v>45</v>
      </c>
      <c r="J322" s="18"/>
      <c r="K322" s="23" t="s">
        <v>18</v>
      </c>
      <c r="L322" s="23" t="s">
        <v>34</v>
      </c>
      <c r="N322" s="16"/>
      <c r="O322" s="17"/>
      <c r="P322" s="17">
        <v>45</v>
      </c>
      <c r="Q322" s="22"/>
      <c r="R322" s="23"/>
      <c r="Z322" s="23" t="s">
        <v>478</v>
      </c>
    </row>
    <row r="323" spans="1:26" ht="12.75">
      <c r="A323" s="22">
        <v>46297</v>
      </c>
      <c r="B323" s="23" t="s">
        <v>14</v>
      </c>
      <c r="C323" s="23" t="s">
        <v>121</v>
      </c>
      <c r="D323" s="19"/>
      <c r="E323" s="23" t="s">
        <v>24</v>
      </c>
      <c r="G323" s="23" t="s">
        <v>16</v>
      </c>
      <c r="H323" s="18">
        <v>45</v>
      </c>
      <c r="J323" s="18"/>
      <c r="K323" s="23" t="s">
        <v>27</v>
      </c>
      <c r="L323" s="23" t="s">
        <v>27</v>
      </c>
      <c r="N323" s="16"/>
      <c r="O323" s="17"/>
      <c r="P323" s="17">
        <v>45</v>
      </c>
      <c r="Q323" s="22"/>
      <c r="R323" s="23"/>
      <c r="Z323" s="23" t="s">
        <v>479</v>
      </c>
    </row>
    <row r="324" spans="1:26" ht="12.75">
      <c r="A324" s="22">
        <v>46297</v>
      </c>
      <c r="B324" s="23" t="s">
        <v>23</v>
      </c>
      <c r="C324" s="23" t="s">
        <v>480</v>
      </c>
      <c r="D324" s="19">
        <v>42180</v>
      </c>
      <c r="E324" s="23" t="s">
        <v>24</v>
      </c>
      <c r="F324" s="23">
        <v>11964662426</v>
      </c>
      <c r="G324" s="23" t="s">
        <v>16</v>
      </c>
      <c r="H324" s="18">
        <v>45</v>
      </c>
      <c r="J324" s="18"/>
      <c r="K324" s="23" t="s">
        <v>18</v>
      </c>
      <c r="L324" s="23" t="s">
        <v>34</v>
      </c>
      <c r="N324" s="16"/>
      <c r="O324" s="17"/>
      <c r="P324" s="17">
        <v>45</v>
      </c>
      <c r="Q324" s="22"/>
      <c r="R324" s="23"/>
      <c r="Z324" s="23" t="s">
        <v>481</v>
      </c>
    </row>
    <row r="325" spans="1:26" ht="12.75">
      <c r="A325" s="22">
        <v>46297</v>
      </c>
      <c r="B325" s="23" t="s">
        <v>14</v>
      </c>
      <c r="C325" s="23" t="s">
        <v>291</v>
      </c>
      <c r="D325" s="19">
        <v>34802</v>
      </c>
      <c r="E325" s="23" t="s">
        <v>24</v>
      </c>
      <c r="F325" s="23">
        <v>11993561282</v>
      </c>
      <c r="G325" s="23" t="s">
        <v>38</v>
      </c>
      <c r="H325" s="18">
        <v>70</v>
      </c>
      <c r="J325" s="18"/>
      <c r="K325" s="23" t="s">
        <v>18</v>
      </c>
      <c r="L325" s="23" t="s">
        <v>34</v>
      </c>
      <c r="N325" s="16"/>
      <c r="O325" s="17"/>
      <c r="P325" s="17">
        <v>70</v>
      </c>
      <c r="Q325" s="22"/>
      <c r="R325" s="23"/>
      <c r="Z325" s="23" t="s">
        <v>482</v>
      </c>
    </row>
    <row r="326" spans="1:26" ht="12.75">
      <c r="A326" s="22">
        <v>46297</v>
      </c>
      <c r="B326" s="23" t="s">
        <v>14</v>
      </c>
      <c r="C326" s="23" t="s">
        <v>242</v>
      </c>
      <c r="D326" s="19">
        <v>38433</v>
      </c>
      <c r="E326" s="23" t="s">
        <v>24</v>
      </c>
      <c r="F326" s="23">
        <v>11987898309</v>
      </c>
      <c r="G326" s="23" t="s">
        <v>32</v>
      </c>
      <c r="H326" s="18">
        <v>35</v>
      </c>
      <c r="I326" s="23" t="s">
        <v>12</v>
      </c>
      <c r="J326" s="18">
        <v>20</v>
      </c>
      <c r="K326" s="23" t="s">
        <v>18</v>
      </c>
      <c r="L326" s="23" t="s">
        <v>39</v>
      </c>
      <c r="N326" s="16"/>
      <c r="O326" s="17"/>
      <c r="P326" s="17">
        <v>55</v>
      </c>
      <c r="Q326" s="22"/>
      <c r="R326" s="23"/>
      <c r="Z326" s="23" t="s">
        <v>483</v>
      </c>
    </row>
    <row r="327" spans="1:26" ht="12.75">
      <c r="A327" s="22">
        <v>46297</v>
      </c>
      <c r="B327" s="23" t="s">
        <v>23</v>
      </c>
      <c r="C327" s="23" t="s">
        <v>484</v>
      </c>
      <c r="D327" s="19">
        <v>39126</v>
      </c>
      <c r="E327" s="23" t="s">
        <v>24</v>
      </c>
      <c r="F327" s="23">
        <v>11922326731</v>
      </c>
      <c r="G327" s="23" t="s">
        <v>16</v>
      </c>
      <c r="H327" s="18">
        <v>45</v>
      </c>
      <c r="I327" s="23" t="s">
        <v>21</v>
      </c>
      <c r="J327" s="18">
        <v>10</v>
      </c>
      <c r="K327" s="23" t="s">
        <v>18</v>
      </c>
      <c r="L327" s="23" t="s">
        <v>34</v>
      </c>
      <c r="N327" s="16"/>
      <c r="O327" s="17"/>
      <c r="P327" s="17">
        <v>80</v>
      </c>
      <c r="Q327" s="22"/>
      <c r="R327" s="23"/>
      <c r="X327" s="23" t="s">
        <v>485</v>
      </c>
      <c r="Y327" s="23">
        <v>25</v>
      </c>
      <c r="Z327" s="23" t="s">
        <v>486</v>
      </c>
    </row>
    <row r="328" spans="1:26" ht="12.75">
      <c r="A328" s="22">
        <v>46298</v>
      </c>
      <c r="B328" s="23" t="s">
        <v>14</v>
      </c>
      <c r="C328" s="23" t="s">
        <v>124</v>
      </c>
      <c r="D328" s="19"/>
      <c r="E328" s="23" t="s">
        <v>24</v>
      </c>
      <c r="G328" s="23" t="s">
        <v>16</v>
      </c>
      <c r="H328" s="18">
        <v>45</v>
      </c>
      <c r="J328" s="18"/>
      <c r="K328" s="23" t="s">
        <v>18</v>
      </c>
      <c r="L328" s="23" t="s">
        <v>34</v>
      </c>
      <c r="N328" s="16"/>
      <c r="O328" s="17"/>
      <c r="P328" s="17">
        <v>45</v>
      </c>
      <c r="Q328" s="22"/>
      <c r="R328" s="23"/>
      <c r="Z328" s="23" t="s">
        <v>487</v>
      </c>
    </row>
    <row r="329" spans="1:26" ht="12.75">
      <c r="A329" s="22">
        <v>46298</v>
      </c>
      <c r="B329" s="23" t="s">
        <v>14</v>
      </c>
      <c r="C329" s="23" t="s">
        <v>130</v>
      </c>
      <c r="D329" s="19">
        <v>38774</v>
      </c>
      <c r="E329" s="23" t="s">
        <v>24</v>
      </c>
      <c r="F329" s="23">
        <v>11964662426</v>
      </c>
      <c r="G329" s="23" t="s">
        <v>16</v>
      </c>
      <c r="H329" s="18">
        <v>45</v>
      </c>
      <c r="J329" s="18"/>
      <c r="K329" s="23" t="s">
        <v>18</v>
      </c>
      <c r="L329" s="23" t="s">
        <v>39</v>
      </c>
      <c r="N329" s="16"/>
      <c r="O329" s="17"/>
      <c r="P329" s="17">
        <v>45</v>
      </c>
      <c r="Q329" s="22"/>
      <c r="R329" s="23"/>
      <c r="Z329" s="23" t="s">
        <v>488</v>
      </c>
    </row>
    <row r="330" spans="1:26" ht="12.75">
      <c r="A330" s="22">
        <v>46298</v>
      </c>
      <c r="B330" s="23" t="s">
        <v>23</v>
      </c>
      <c r="C330" s="23" t="s">
        <v>123</v>
      </c>
      <c r="D330" s="19">
        <v>30461</v>
      </c>
      <c r="E330" s="23" t="s">
        <v>24</v>
      </c>
      <c r="F330" s="23">
        <v>11985999346</v>
      </c>
      <c r="G330" s="23" t="s">
        <v>16</v>
      </c>
      <c r="H330" s="18">
        <v>45</v>
      </c>
      <c r="J330" s="18"/>
      <c r="K330" s="23" t="s">
        <v>18</v>
      </c>
      <c r="L330" s="23" t="s">
        <v>39</v>
      </c>
      <c r="N330" s="16"/>
      <c r="O330" s="17"/>
      <c r="P330" s="17">
        <v>45</v>
      </c>
      <c r="Q330" s="22"/>
      <c r="R330" s="23"/>
      <c r="Z330" s="23" t="s">
        <v>489</v>
      </c>
    </row>
    <row r="331" spans="1:26" ht="12.75">
      <c r="A331" s="22">
        <v>46298</v>
      </c>
      <c r="B331" s="23" t="s">
        <v>14</v>
      </c>
      <c r="C331" s="23" t="s">
        <v>219</v>
      </c>
      <c r="D331" s="19">
        <v>35792</v>
      </c>
      <c r="E331" s="23" t="s">
        <v>24</v>
      </c>
      <c r="F331" s="23">
        <v>11966074874</v>
      </c>
      <c r="G331" s="23" t="s">
        <v>16</v>
      </c>
      <c r="H331" s="18">
        <v>45</v>
      </c>
      <c r="J331" s="18"/>
      <c r="K331" s="23" t="s">
        <v>18</v>
      </c>
      <c r="L331" s="23" t="s">
        <v>28</v>
      </c>
      <c r="N331" s="16"/>
      <c r="O331" s="17"/>
      <c r="P331" s="17">
        <v>45</v>
      </c>
      <c r="Q331" s="22"/>
      <c r="R331" s="23"/>
      <c r="Z331" s="23" t="s">
        <v>490</v>
      </c>
    </row>
    <row r="332" spans="1:26" ht="12.75">
      <c r="A332" s="22">
        <v>46298</v>
      </c>
      <c r="B332" s="23" t="s">
        <v>14</v>
      </c>
      <c r="C332" s="23" t="s">
        <v>170</v>
      </c>
      <c r="D332" s="19">
        <v>34707</v>
      </c>
      <c r="E332" s="23" t="s">
        <v>24</v>
      </c>
      <c r="F332" s="23">
        <v>11990241143</v>
      </c>
      <c r="G332" s="23" t="s">
        <v>38</v>
      </c>
      <c r="H332" s="18">
        <v>70</v>
      </c>
      <c r="I332" s="23" t="s">
        <v>30</v>
      </c>
      <c r="J332" s="18">
        <v>40</v>
      </c>
      <c r="K332" s="23" t="s">
        <v>27</v>
      </c>
      <c r="L332" s="23" t="s">
        <v>27</v>
      </c>
      <c r="N332" s="16"/>
      <c r="O332" s="17"/>
      <c r="P332" s="17">
        <v>110</v>
      </c>
      <c r="Q332" s="22"/>
      <c r="R332" s="23"/>
      <c r="Z332" s="23" t="s">
        <v>491</v>
      </c>
    </row>
    <row r="333" spans="1:26" ht="12.75">
      <c r="A333" s="22">
        <v>46298</v>
      </c>
      <c r="B333" s="23" t="s">
        <v>14</v>
      </c>
      <c r="C333" s="23" t="s">
        <v>284</v>
      </c>
      <c r="D333" s="19">
        <v>33679</v>
      </c>
      <c r="E333" s="23" t="s">
        <v>24</v>
      </c>
      <c r="F333" s="23">
        <v>11963141134</v>
      </c>
      <c r="G333" s="23" t="s">
        <v>16</v>
      </c>
      <c r="H333" s="18">
        <v>45</v>
      </c>
      <c r="J333" s="18"/>
      <c r="K333" s="23" t="s">
        <v>18</v>
      </c>
      <c r="L333" s="23" t="s">
        <v>39</v>
      </c>
      <c r="N333" s="16"/>
      <c r="O333" s="17"/>
      <c r="P333" s="17">
        <v>45</v>
      </c>
      <c r="Q333" s="22"/>
      <c r="R333" s="23"/>
      <c r="Z333" s="23" t="s">
        <v>492</v>
      </c>
    </row>
    <row r="334" spans="1:26" ht="12.75">
      <c r="A334" s="22">
        <v>46298</v>
      </c>
      <c r="B334" s="23" t="s">
        <v>23</v>
      </c>
      <c r="C334" s="23" t="s">
        <v>128</v>
      </c>
      <c r="D334" s="19">
        <v>37032</v>
      </c>
      <c r="E334" s="23" t="s">
        <v>24</v>
      </c>
      <c r="F334" s="23">
        <v>11915526470</v>
      </c>
      <c r="G334" s="23" t="s">
        <v>16</v>
      </c>
      <c r="H334" s="18">
        <v>45</v>
      </c>
      <c r="J334" s="18"/>
      <c r="K334" s="23" t="s">
        <v>18</v>
      </c>
      <c r="L334" s="23" t="s">
        <v>28</v>
      </c>
      <c r="N334" s="16"/>
      <c r="O334" s="17"/>
      <c r="P334" s="17">
        <v>45</v>
      </c>
      <c r="Q334" s="22"/>
      <c r="R334" s="23"/>
      <c r="Z334" s="23" t="s">
        <v>493</v>
      </c>
    </row>
    <row r="335" spans="1:26" ht="12.75">
      <c r="A335" s="22">
        <v>46298</v>
      </c>
      <c r="B335" s="23" t="s">
        <v>14</v>
      </c>
      <c r="C335" s="23" t="s">
        <v>295</v>
      </c>
      <c r="D335" s="19"/>
      <c r="E335" s="23" t="s">
        <v>24</v>
      </c>
      <c r="F335" s="23">
        <v>11983232331</v>
      </c>
      <c r="G335" s="23" t="s">
        <v>25</v>
      </c>
      <c r="H335" s="18">
        <v>80</v>
      </c>
      <c r="J335" s="18"/>
      <c r="K335" s="23" t="s">
        <v>18</v>
      </c>
      <c r="L335" s="23" t="s">
        <v>34</v>
      </c>
      <c r="N335" s="16"/>
      <c r="O335" s="17"/>
      <c r="P335" s="17">
        <v>80</v>
      </c>
      <c r="Q335" s="22"/>
      <c r="R335" s="23"/>
      <c r="Z335" s="23" t="s">
        <v>494</v>
      </c>
    </row>
    <row r="336" spans="1:26" ht="12.75">
      <c r="A336" s="22">
        <v>46298</v>
      </c>
      <c r="B336" s="23" t="s">
        <v>23</v>
      </c>
      <c r="C336" s="23" t="s">
        <v>495</v>
      </c>
      <c r="D336" s="19">
        <v>37228</v>
      </c>
      <c r="E336" s="23" t="s">
        <v>24</v>
      </c>
      <c r="F336" s="23">
        <v>11953732049</v>
      </c>
      <c r="G336" s="23" t="s">
        <v>16</v>
      </c>
      <c r="H336" s="18">
        <v>45</v>
      </c>
      <c r="I336" s="23" t="s">
        <v>141</v>
      </c>
      <c r="J336" s="18">
        <v>60</v>
      </c>
      <c r="K336" s="23" t="s">
        <v>18</v>
      </c>
      <c r="L336" s="23" t="s">
        <v>28</v>
      </c>
      <c r="N336" s="16"/>
      <c r="O336" s="17"/>
      <c r="P336" s="17">
        <v>105</v>
      </c>
      <c r="Q336" s="22"/>
      <c r="R336" s="23"/>
      <c r="Z336" s="23" t="s">
        <v>496</v>
      </c>
    </row>
    <row r="337" spans="1:26" ht="12.75">
      <c r="A337" s="22">
        <v>46298</v>
      </c>
      <c r="B337" s="23" t="s">
        <v>14</v>
      </c>
      <c r="C337" s="23" t="s">
        <v>297</v>
      </c>
      <c r="D337" s="19">
        <v>36766</v>
      </c>
      <c r="E337" s="23" t="s">
        <v>24</v>
      </c>
      <c r="G337" s="23" t="s">
        <v>16</v>
      </c>
      <c r="H337" s="18">
        <v>45</v>
      </c>
      <c r="J337" s="18"/>
      <c r="K337" s="23" t="s">
        <v>27</v>
      </c>
      <c r="L337" s="23" t="s">
        <v>27</v>
      </c>
      <c r="N337" s="16"/>
      <c r="O337" s="17"/>
      <c r="P337" s="17">
        <v>45</v>
      </c>
      <c r="Q337" s="22"/>
      <c r="R337" s="23"/>
      <c r="Z337" s="23" t="s">
        <v>497</v>
      </c>
    </row>
    <row r="338" spans="1:26" ht="12.75">
      <c r="A338" s="22">
        <v>46298</v>
      </c>
      <c r="B338" s="23" t="s">
        <v>23</v>
      </c>
      <c r="C338" s="23" t="s">
        <v>201</v>
      </c>
      <c r="D338" s="19">
        <v>41530</v>
      </c>
      <c r="E338" s="23" t="s">
        <v>24</v>
      </c>
      <c r="F338" s="23">
        <v>11987715843</v>
      </c>
      <c r="G338" s="23" t="s">
        <v>16</v>
      </c>
      <c r="H338" s="18">
        <v>45</v>
      </c>
      <c r="I338" s="23" t="s">
        <v>21</v>
      </c>
      <c r="J338" s="18">
        <v>10</v>
      </c>
      <c r="K338" s="23" t="s">
        <v>18</v>
      </c>
      <c r="L338" s="23" t="s">
        <v>34</v>
      </c>
      <c r="N338" s="16"/>
      <c r="O338" s="17"/>
      <c r="P338" s="17">
        <v>55</v>
      </c>
      <c r="Q338" s="22"/>
      <c r="R338" s="23"/>
      <c r="Z338" s="23" t="s">
        <v>498</v>
      </c>
    </row>
    <row r="339" spans="1:26" ht="12.75">
      <c r="A339" s="22">
        <v>46298</v>
      </c>
      <c r="B339" s="23" t="s">
        <v>23</v>
      </c>
      <c r="C339" s="23" t="s">
        <v>111</v>
      </c>
      <c r="D339" s="19">
        <v>25482</v>
      </c>
      <c r="E339" s="23" t="s">
        <v>24</v>
      </c>
      <c r="F339" s="23">
        <v>11960706341</v>
      </c>
      <c r="G339" s="23" t="s">
        <v>32</v>
      </c>
      <c r="H339" s="18">
        <v>35</v>
      </c>
      <c r="I339" s="23" t="s">
        <v>12</v>
      </c>
      <c r="J339" s="18">
        <v>20</v>
      </c>
      <c r="K339" s="23" t="s">
        <v>18</v>
      </c>
      <c r="L339" s="23" t="s">
        <v>39</v>
      </c>
      <c r="N339" s="16"/>
      <c r="O339" s="17"/>
      <c r="P339" s="17">
        <v>55</v>
      </c>
      <c r="Q339" s="22"/>
      <c r="R339" s="23"/>
      <c r="Z339" s="23" t="s">
        <v>499</v>
      </c>
    </row>
    <row r="340" spans="1:26" ht="12.75">
      <c r="A340" s="22">
        <v>46298</v>
      </c>
      <c r="B340" s="23" t="s">
        <v>14</v>
      </c>
      <c r="C340" s="23" t="s">
        <v>104</v>
      </c>
      <c r="D340" s="19">
        <v>32105</v>
      </c>
      <c r="E340" s="23" t="s">
        <v>24</v>
      </c>
      <c r="F340" s="23">
        <v>11995903845</v>
      </c>
      <c r="G340" s="23" t="s">
        <v>25</v>
      </c>
      <c r="H340" s="18">
        <v>80</v>
      </c>
      <c r="J340" s="18"/>
      <c r="K340" s="23" t="s">
        <v>18</v>
      </c>
      <c r="L340" s="23" t="s">
        <v>34</v>
      </c>
      <c r="N340" s="16"/>
      <c r="O340" s="17"/>
      <c r="P340" s="17">
        <v>80</v>
      </c>
      <c r="Q340" s="22"/>
      <c r="R340" s="23"/>
      <c r="Z340" s="23" t="s">
        <v>500</v>
      </c>
    </row>
    <row r="341" spans="1:26" ht="12.75">
      <c r="A341" s="22">
        <v>46298</v>
      </c>
      <c r="B341" s="23" t="s">
        <v>14</v>
      </c>
      <c r="C341" s="23" t="s">
        <v>501</v>
      </c>
      <c r="D341" s="19">
        <v>43622</v>
      </c>
      <c r="E341" s="23" t="s">
        <v>24</v>
      </c>
      <c r="F341" s="23">
        <v>11988037187</v>
      </c>
      <c r="G341" s="23" t="s">
        <v>16</v>
      </c>
      <c r="H341" s="18">
        <v>45</v>
      </c>
      <c r="J341" s="18"/>
      <c r="K341" s="23" t="s">
        <v>18</v>
      </c>
      <c r="L341" s="23" t="s">
        <v>34</v>
      </c>
      <c r="N341" s="16"/>
      <c r="O341" s="17"/>
      <c r="P341" s="17">
        <v>45</v>
      </c>
      <c r="Q341" s="22"/>
      <c r="R341" s="23"/>
      <c r="Z341" s="23" t="s">
        <v>502</v>
      </c>
    </row>
    <row r="342" spans="1:26" ht="12.75">
      <c r="A342" s="22">
        <v>46298</v>
      </c>
      <c r="B342" s="23" t="s">
        <v>23</v>
      </c>
      <c r="C342" s="23" t="s">
        <v>221</v>
      </c>
      <c r="D342" s="19">
        <v>35938</v>
      </c>
      <c r="E342" s="23" t="s">
        <v>24</v>
      </c>
      <c r="F342" s="23">
        <v>11954398450</v>
      </c>
      <c r="G342" s="23" t="s">
        <v>25</v>
      </c>
      <c r="H342" s="18">
        <v>80</v>
      </c>
      <c r="I342" s="23" t="s">
        <v>21</v>
      </c>
      <c r="J342" s="18">
        <v>10</v>
      </c>
      <c r="K342" s="23" t="s">
        <v>18</v>
      </c>
      <c r="L342" s="23" t="s">
        <v>28</v>
      </c>
      <c r="N342" s="16"/>
      <c r="O342" s="17"/>
      <c r="P342" s="17">
        <v>115</v>
      </c>
      <c r="Q342" s="22"/>
      <c r="R342" s="23"/>
      <c r="X342" s="23" t="s">
        <v>485</v>
      </c>
      <c r="Y342" s="23">
        <v>25</v>
      </c>
      <c r="Z342" s="23" t="s">
        <v>503</v>
      </c>
    </row>
    <row r="343" spans="1:26" ht="12.75">
      <c r="A343" s="22">
        <v>46298</v>
      </c>
      <c r="B343" s="23" t="s">
        <v>14</v>
      </c>
      <c r="C343" s="23" t="s">
        <v>133</v>
      </c>
      <c r="D343" s="19">
        <v>37148</v>
      </c>
      <c r="E343" s="23" t="s">
        <v>24</v>
      </c>
      <c r="F343" s="23">
        <v>11990004740</v>
      </c>
      <c r="G343" s="23" t="s">
        <v>16</v>
      </c>
      <c r="H343" s="18">
        <v>45</v>
      </c>
      <c r="I343" s="23" t="s">
        <v>21</v>
      </c>
      <c r="J343" s="18">
        <v>10</v>
      </c>
      <c r="K343" s="23" t="s">
        <v>18</v>
      </c>
      <c r="L343" s="23" t="s">
        <v>34</v>
      </c>
      <c r="N343" s="16"/>
      <c r="O343" s="17"/>
      <c r="P343" s="17">
        <v>55</v>
      </c>
      <c r="Q343" s="22"/>
      <c r="R343" s="23"/>
      <c r="Z343" s="23" t="s">
        <v>504</v>
      </c>
    </row>
    <row r="344" spans="1:26" ht="12.75">
      <c r="A344" s="22">
        <v>46298</v>
      </c>
      <c r="B344" s="23" t="s">
        <v>23</v>
      </c>
      <c r="C344" s="23" t="s">
        <v>505</v>
      </c>
      <c r="D344" s="19">
        <v>37839</v>
      </c>
      <c r="E344" s="23" t="s">
        <v>24</v>
      </c>
      <c r="F344" s="23">
        <v>11940496314</v>
      </c>
      <c r="G344" s="23" t="s">
        <v>16</v>
      </c>
      <c r="H344" s="18">
        <v>45</v>
      </c>
      <c r="I344" s="23" t="s">
        <v>21</v>
      </c>
      <c r="J344" s="18">
        <v>10</v>
      </c>
      <c r="K344" s="23" t="s">
        <v>18</v>
      </c>
      <c r="L344" s="23" t="s">
        <v>39</v>
      </c>
      <c r="N344" s="16"/>
      <c r="O344" s="17"/>
      <c r="P344" s="17">
        <v>55</v>
      </c>
      <c r="Q344" s="22"/>
      <c r="R344" s="23"/>
      <c r="Z344" s="23" t="s">
        <v>506</v>
      </c>
    </row>
    <row r="345" spans="1:26" ht="12.75">
      <c r="A345" s="22">
        <v>46298</v>
      </c>
      <c r="B345" s="23" t="s">
        <v>14</v>
      </c>
      <c r="C345" s="23" t="s">
        <v>188</v>
      </c>
      <c r="D345" s="19">
        <v>35442</v>
      </c>
      <c r="E345" s="23" t="s">
        <v>24</v>
      </c>
      <c r="F345" s="23">
        <v>11981771943</v>
      </c>
      <c r="G345" s="23" t="s">
        <v>38</v>
      </c>
      <c r="H345" s="18">
        <v>70</v>
      </c>
      <c r="I345" s="23" t="s">
        <v>21</v>
      </c>
      <c r="J345" s="18">
        <v>10</v>
      </c>
      <c r="K345" s="23" t="s">
        <v>18</v>
      </c>
      <c r="L345" s="23" t="s">
        <v>28</v>
      </c>
      <c r="N345" s="16"/>
      <c r="O345" s="17"/>
      <c r="P345" s="17">
        <v>140</v>
      </c>
      <c r="Q345" s="22"/>
      <c r="R345" s="23"/>
      <c r="X345" s="23" t="s">
        <v>507</v>
      </c>
      <c r="Y345" s="23">
        <v>60</v>
      </c>
      <c r="Z345" s="23" t="s">
        <v>508</v>
      </c>
    </row>
    <row r="346" spans="1:26" ht="12.75">
      <c r="A346" s="22">
        <v>46300</v>
      </c>
      <c r="B346" s="23" t="s">
        <v>23</v>
      </c>
      <c r="C346" s="23" t="s">
        <v>237</v>
      </c>
      <c r="D346" s="19">
        <v>30371</v>
      </c>
      <c r="E346" s="23" t="s">
        <v>24</v>
      </c>
      <c r="F346" s="23">
        <v>11944581484</v>
      </c>
      <c r="G346" s="23" t="s">
        <v>25</v>
      </c>
      <c r="H346" s="18">
        <v>80</v>
      </c>
      <c r="J346" s="18"/>
      <c r="K346" s="23" t="s">
        <v>27</v>
      </c>
      <c r="L346" s="23" t="s">
        <v>27</v>
      </c>
      <c r="N346" s="16"/>
      <c r="O346" s="17"/>
      <c r="P346" s="17">
        <v>80</v>
      </c>
      <c r="Q346" s="22"/>
      <c r="R346" s="23"/>
      <c r="Z346" s="23" t="s">
        <v>509</v>
      </c>
    </row>
    <row r="347" spans="1:26" ht="12.75">
      <c r="A347" s="22">
        <v>46300</v>
      </c>
      <c r="B347" s="23" t="s">
        <v>23</v>
      </c>
      <c r="C347" s="23" t="s">
        <v>151</v>
      </c>
      <c r="D347" s="19">
        <v>26785</v>
      </c>
      <c r="E347" s="23" t="s">
        <v>24</v>
      </c>
      <c r="F347" s="23">
        <v>11976252001</v>
      </c>
      <c r="G347" s="23" t="s">
        <v>16</v>
      </c>
      <c r="H347" s="18">
        <v>45</v>
      </c>
      <c r="J347" s="18"/>
      <c r="K347" s="23" t="s">
        <v>18</v>
      </c>
      <c r="L347" s="23" t="s">
        <v>39</v>
      </c>
      <c r="N347" s="16"/>
      <c r="O347" s="17"/>
      <c r="P347" s="17">
        <v>45</v>
      </c>
      <c r="Q347" s="22"/>
      <c r="R347" s="23"/>
      <c r="Z347" s="23" t="s">
        <v>510</v>
      </c>
    </row>
    <row r="348" spans="1:26" ht="12.75">
      <c r="A348" s="22">
        <v>46301</v>
      </c>
      <c r="B348" s="23" t="s">
        <v>14</v>
      </c>
      <c r="C348" s="23" t="s">
        <v>511</v>
      </c>
      <c r="D348" s="19">
        <v>33066</v>
      </c>
      <c r="E348" s="23" t="s">
        <v>24</v>
      </c>
      <c r="F348" s="23">
        <v>11943787891</v>
      </c>
      <c r="G348" s="23" t="s">
        <v>16</v>
      </c>
      <c r="H348" s="18">
        <v>45</v>
      </c>
      <c r="J348" s="18"/>
      <c r="K348" s="23" t="s">
        <v>18</v>
      </c>
      <c r="L348" s="23" t="s">
        <v>28</v>
      </c>
      <c r="N348" s="16"/>
      <c r="O348" s="17"/>
      <c r="P348" s="17">
        <v>45</v>
      </c>
      <c r="Q348" s="22"/>
      <c r="R348" s="23"/>
      <c r="Z348" s="23" t="s">
        <v>512</v>
      </c>
    </row>
    <row r="349" spans="1:26" ht="12.75">
      <c r="A349" s="22">
        <v>46299</v>
      </c>
      <c r="B349" s="23" t="s">
        <v>14</v>
      </c>
      <c r="C349" s="23" t="s">
        <v>513</v>
      </c>
      <c r="D349" s="19"/>
      <c r="E349" s="23" t="s">
        <v>24</v>
      </c>
      <c r="G349" s="23" t="s">
        <v>16</v>
      </c>
      <c r="H349" s="18">
        <v>45</v>
      </c>
      <c r="J349" s="18"/>
      <c r="K349" s="23" t="s">
        <v>18</v>
      </c>
      <c r="L349" s="23" t="s">
        <v>34</v>
      </c>
      <c r="N349" s="16"/>
      <c r="O349" s="17"/>
      <c r="P349" s="17">
        <v>45</v>
      </c>
      <c r="Q349" s="22"/>
      <c r="R349" s="23"/>
      <c r="Z349" s="23" t="s">
        <v>514</v>
      </c>
    </row>
    <row r="350" spans="1:26" ht="12.75">
      <c r="A350" s="22">
        <v>46299</v>
      </c>
      <c r="B350" s="23" t="s">
        <v>14</v>
      </c>
      <c r="C350" s="23" t="s">
        <v>289</v>
      </c>
      <c r="D350" s="19">
        <v>33542</v>
      </c>
      <c r="E350" s="23" t="s">
        <v>24</v>
      </c>
      <c r="F350" s="23">
        <v>11932137234</v>
      </c>
      <c r="G350" s="23" t="s">
        <v>16</v>
      </c>
      <c r="H350" s="18">
        <v>45</v>
      </c>
      <c r="I350" s="23" t="s">
        <v>21</v>
      </c>
      <c r="J350" s="18">
        <v>10</v>
      </c>
      <c r="K350" s="23" t="s">
        <v>18</v>
      </c>
      <c r="L350" s="23" t="s">
        <v>34</v>
      </c>
      <c r="N350" s="16"/>
      <c r="O350" s="17"/>
      <c r="P350" s="17">
        <v>55</v>
      </c>
      <c r="Q350" s="22"/>
      <c r="R350" s="23"/>
      <c r="Z350" s="23" t="s">
        <v>515</v>
      </c>
    </row>
    <row r="351" spans="1:26" ht="12.75">
      <c r="A351" s="22">
        <v>46299</v>
      </c>
      <c r="B351" s="23" t="s">
        <v>14</v>
      </c>
      <c r="C351" s="23" t="s">
        <v>516</v>
      </c>
      <c r="D351" s="19"/>
      <c r="E351" s="23" t="s">
        <v>24</v>
      </c>
      <c r="G351" s="23" t="s">
        <v>32</v>
      </c>
      <c r="H351" s="18">
        <v>35</v>
      </c>
      <c r="J351" s="18"/>
      <c r="K351" s="23" t="s">
        <v>18</v>
      </c>
      <c r="L351" s="23" t="s">
        <v>34</v>
      </c>
      <c r="N351" s="16"/>
      <c r="O351" s="17"/>
      <c r="P351" s="17">
        <v>35</v>
      </c>
      <c r="Q351" s="22"/>
      <c r="R351" s="23"/>
      <c r="Z351" s="23" t="s">
        <v>517</v>
      </c>
    </row>
    <row r="352" spans="1:26" ht="12.75">
      <c r="A352" s="22">
        <v>46299</v>
      </c>
      <c r="B352" s="23" t="s">
        <v>14</v>
      </c>
      <c r="C352" s="23" t="s">
        <v>270</v>
      </c>
      <c r="D352" s="19">
        <v>32101</v>
      </c>
      <c r="E352" s="23" t="s">
        <v>24</v>
      </c>
      <c r="F352" s="23">
        <v>11959165167</v>
      </c>
      <c r="G352" s="23" t="s">
        <v>38</v>
      </c>
      <c r="H352" s="18">
        <v>70</v>
      </c>
      <c r="J352" s="18"/>
      <c r="K352" s="23" t="s">
        <v>18</v>
      </c>
      <c r="L352" s="23" t="s">
        <v>34</v>
      </c>
      <c r="N352" s="16"/>
      <c r="O352" s="17"/>
      <c r="P352" s="17">
        <v>70</v>
      </c>
      <c r="Q352" s="22"/>
      <c r="R352" s="23"/>
      <c r="Z352" s="23" t="s">
        <v>518</v>
      </c>
    </row>
    <row r="353" spans="1:26" ht="12.75">
      <c r="A353" s="22">
        <v>46301</v>
      </c>
      <c r="B353" s="23" t="s">
        <v>14</v>
      </c>
      <c r="C353" s="23" t="s">
        <v>519</v>
      </c>
      <c r="D353" s="19">
        <v>36218</v>
      </c>
      <c r="E353" s="23" t="s">
        <v>24</v>
      </c>
      <c r="F353" s="23">
        <v>11959267672</v>
      </c>
      <c r="G353" s="23" t="s">
        <v>16</v>
      </c>
      <c r="H353" s="18">
        <v>45</v>
      </c>
      <c r="J353" s="18"/>
      <c r="K353" s="23" t="s">
        <v>18</v>
      </c>
      <c r="L353" s="23" t="s">
        <v>39</v>
      </c>
      <c r="N353" s="16"/>
      <c r="O353" s="17"/>
      <c r="P353" s="17">
        <v>45</v>
      </c>
      <c r="Q353" s="22"/>
      <c r="R353" s="23"/>
      <c r="Z353" s="23" t="s">
        <v>520</v>
      </c>
    </row>
    <row r="354" spans="1:26" ht="12.75">
      <c r="A354" s="22">
        <v>46301</v>
      </c>
      <c r="B354" s="23" t="s">
        <v>23</v>
      </c>
      <c r="C354" s="23" t="s">
        <v>102</v>
      </c>
      <c r="D354" s="19">
        <v>33525</v>
      </c>
      <c r="E354" s="23" t="s">
        <v>24</v>
      </c>
      <c r="F354" s="23">
        <v>11951069136</v>
      </c>
      <c r="G354" s="23" t="s">
        <v>25</v>
      </c>
      <c r="H354" s="18">
        <v>80</v>
      </c>
      <c r="J354" s="18"/>
      <c r="K354" s="23" t="s">
        <v>27</v>
      </c>
      <c r="L354" s="23" t="s">
        <v>27</v>
      </c>
      <c r="N354" s="16"/>
      <c r="O354" s="17"/>
      <c r="P354" s="17">
        <v>80</v>
      </c>
      <c r="Q354" s="22"/>
      <c r="R354" s="23"/>
      <c r="Z354" s="23" t="s">
        <v>521</v>
      </c>
    </row>
    <row r="355" spans="1:26" ht="12.75">
      <c r="A355" s="22">
        <v>46301</v>
      </c>
      <c r="B355" s="23" t="s">
        <v>23</v>
      </c>
      <c r="C355" s="23" t="s">
        <v>522</v>
      </c>
      <c r="D355" s="19">
        <v>31831</v>
      </c>
      <c r="E355" s="23" t="s">
        <v>24</v>
      </c>
      <c r="F355" s="23">
        <v>11992020639</v>
      </c>
      <c r="G355" s="23" t="s">
        <v>46</v>
      </c>
      <c r="H355" s="18">
        <v>30</v>
      </c>
      <c r="J355" s="18"/>
      <c r="K355" s="23" t="s">
        <v>18</v>
      </c>
      <c r="L355" s="23" t="s">
        <v>34</v>
      </c>
      <c r="N355" s="16"/>
      <c r="O355" s="17"/>
      <c r="P355" s="17">
        <v>30</v>
      </c>
      <c r="Q355" s="22"/>
      <c r="R355" s="23"/>
      <c r="Z355" s="23" t="s">
        <v>523</v>
      </c>
    </row>
    <row r="356" spans="1:26" ht="12.75">
      <c r="A356" s="22">
        <v>46301</v>
      </c>
      <c r="B356" s="23" t="s">
        <v>14</v>
      </c>
      <c r="C356" s="23" t="s">
        <v>218</v>
      </c>
      <c r="D356" s="19"/>
      <c r="E356" s="23" t="s">
        <v>24</v>
      </c>
      <c r="G356" s="23" t="s">
        <v>25</v>
      </c>
      <c r="H356" s="18">
        <v>80</v>
      </c>
      <c r="J356" s="18"/>
      <c r="K356" s="23" t="s">
        <v>27</v>
      </c>
      <c r="L356" s="23" t="s">
        <v>27</v>
      </c>
      <c r="N356" s="16"/>
      <c r="O356" s="17"/>
      <c r="P356" s="17">
        <v>80</v>
      </c>
      <c r="Q356" s="22"/>
      <c r="R356" s="23"/>
      <c r="Z356" s="23" t="s">
        <v>524</v>
      </c>
    </row>
    <row r="357" spans="1:26" ht="12.75">
      <c r="A357" s="22">
        <v>46301</v>
      </c>
      <c r="B357" s="23" t="s">
        <v>14</v>
      </c>
      <c r="C357" s="23" t="s">
        <v>525</v>
      </c>
      <c r="D357" s="19"/>
      <c r="E357" s="23" t="s">
        <v>24</v>
      </c>
      <c r="G357" s="23" t="s">
        <v>16</v>
      </c>
      <c r="H357" s="18">
        <v>45</v>
      </c>
      <c r="J357" s="18"/>
      <c r="K357" s="23" t="s">
        <v>18</v>
      </c>
      <c r="L357" s="23" t="s">
        <v>34</v>
      </c>
      <c r="N357" s="16"/>
      <c r="O357" s="17"/>
      <c r="P357" s="17">
        <v>45</v>
      </c>
      <c r="Q357" s="22"/>
      <c r="R357" s="23"/>
      <c r="Z357" s="23" t="s">
        <v>526</v>
      </c>
    </row>
    <row r="358" spans="1:26" ht="12.75">
      <c r="A358" s="22">
        <v>46302</v>
      </c>
      <c r="B358" s="23" t="s">
        <v>23</v>
      </c>
      <c r="C358" s="23" t="s">
        <v>167</v>
      </c>
      <c r="D358" s="19">
        <v>29147</v>
      </c>
      <c r="E358" s="23" t="s">
        <v>24</v>
      </c>
      <c r="F358" s="23">
        <v>11998099274</v>
      </c>
      <c r="G358" s="23" t="s">
        <v>16</v>
      </c>
      <c r="H358" s="18">
        <v>45</v>
      </c>
      <c r="J358" s="18"/>
      <c r="K358" s="23" t="s">
        <v>18</v>
      </c>
      <c r="L358" s="23" t="s">
        <v>34</v>
      </c>
      <c r="N358" s="16"/>
      <c r="O358" s="17"/>
      <c r="P358" s="17">
        <v>45</v>
      </c>
      <c r="Q358" s="22"/>
      <c r="R358" s="23"/>
      <c r="Z358" s="23" t="s">
        <v>527</v>
      </c>
    </row>
    <row r="359" spans="1:26" ht="12.75">
      <c r="A359" s="22">
        <v>46302</v>
      </c>
      <c r="B359" s="23" t="s">
        <v>23</v>
      </c>
      <c r="C359" s="23" t="s">
        <v>528</v>
      </c>
      <c r="D359" s="19"/>
      <c r="E359" s="23" t="s">
        <v>24</v>
      </c>
      <c r="G359" s="23" t="s">
        <v>16</v>
      </c>
      <c r="H359" s="18">
        <v>45</v>
      </c>
      <c r="J359" s="18"/>
      <c r="K359" s="23" t="s">
        <v>18</v>
      </c>
      <c r="L359" s="23" t="s">
        <v>34</v>
      </c>
      <c r="N359" s="16"/>
      <c r="O359" s="17"/>
      <c r="P359" s="17">
        <v>45</v>
      </c>
      <c r="Q359" s="22"/>
      <c r="R359" s="23"/>
      <c r="Z359" s="23" t="s">
        <v>529</v>
      </c>
    </row>
    <row r="360" spans="1:26" ht="12.75">
      <c r="A360" s="22">
        <v>46302</v>
      </c>
      <c r="B360" s="23" t="s">
        <v>23</v>
      </c>
      <c r="C360" s="23" t="s">
        <v>528</v>
      </c>
      <c r="D360" s="19"/>
      <c r="E360" s="23" t="s">
        <v>24</v>
      </c>
      <c r="G360" s="23" t="s">
        <v>32</v>
      </c>
      <c r="H360" s="18">
        <v>35</v>
      </c>
      <c r="I360" s="23" t="s">
        <v>21</v>
      </c>
      <c r="J360" s="18">
        <v>10</v>
      </c>
      <c r="K360" s="23" t="s">
        <v>18</v>
      </c>
      <c r="L360" s="23" t="s">
        <v>34</v>
      </c>
      <c r="N360" s="16"/>
      <c r="O360" s="17"/>
      <c r="P360" s="17">
        <v>80</v>
      </c>
      <c r="Q360" s="22"/>
      <c r="R360" s="23"/>
      <c r="X360" s="23" t="s">
        <v>409</v>
      </c>
      <c r="Y360" s="23">
        <v>35</v>
      </c>
      <c r="Z360" s="23" t="s">
        <v>530</v>
      </c>
    </row>
    <row r="361" spans="1:26" ht="12.75">
      <c r="A361" s="22">
        <v>46302</v>
      </c>
      <c r="B361" s="23" t="s">
        <v>14</v>
      </c>
      <c r="C361" s="23" t="s">
        <v>99</v>
      </c>
      <c r="D361" s="19"/>
      <c r="E361" s="23" t="s">
        <v>24</v>
      </c>
      <c r="F361" s="23">
        <v>11992029331</v>
      </c>
      <c r="G361" s="23" t="s">
        <v>25</v>
      </c>
      <c r="H361" s="18">
        <v>80</v>
      </c>
      <c r="I361" s="23" t="s">
        <v>30</v>
      </c>
      <c r="J361" s="18">
        <v>40</v>
      </c>
      <c r="K361" s="23" t="s">
        <v>18</v>
      </c>
      <c r="L361" s="23" t="s">
        <v>34</v>
      </c>
      <c r="N361" s="16"/>
      <c r="O361" s="17"/>
      <c r="P361" s="17">
        <v>120</v>
      </c>
      <c r="Q361" s="22"/>
      <c r="R361" s="23"/>
      <c r="Z361" s="23" t="s">
        <v>531</v>
      </c>
    </row>
    <row r="362" spans="1:26" ht="12.75">
      <c r="A362" s="22">
        <v>46302</v>
      </c>
      <c r="B362" s="23" t="s">
        <v>23</v>
      </c>
      <c r="C362" s="23" t="s">
        <v>532</v>
      </c>
      <c r="D362" s="19">
        <v>34963</v>
      </c>
      <c r="E362" s="23" t="s">
        <v>24</v>
      </c>
      <c r="F362" s="23">
        <v>11948025623</v>
      </c>
      <c r="G362" s="23" t="s">
        <v>25</v>
      </c>
      <c r="H362" s="18">
        <v>80</v>
      </c>
      <c r="I362" s="23" t="s">
        <v>21</v>
      </c>
      <c r="J362" s="18">
        <v>10</v>
      </c>
      <c r="K362" s="23" t="s">
        <v>18</v>
      </c>
      <c r="L362" s="23" t="s">
        <v>28</v>
      </c>
      <c r="N362" s="16"/>
      <c r="O362" s="17"/>
      <c r="P362" s="17">
        <v>90</v>
      </c>
      <c r="Q362" s="22"/>
      <c r="R362" s="23"/>
      <c r="Z362" s="23" t="s">
        <v>533</v>
      </c>
    </row>
    <row r="363" spans="1:26" ht="12.75">
      <c r="A363" s="22">
        <v>46302</v>
      </c>
      <c r="B363" s="23" t="s">
        <v>23</v>
      </c>
      <c r="C363" s="23" t="s">
        <v>534</v>
      </c>
      <c r="D363" s="19"/>
      <c r="E363" s="23" t="s">
        <v>24</v>
      </c>
      <c r="F363" s="23">
        <v>11933659059</v>
      </c>
      <c r="G363" s="23" t="s">
        <v>32</v>
      </c>
      <c r="H363" s="18">
        <v>35</v>
      </c>
      <c r="J363" s="18"/>
      <c r="K363" s="23" t="s">
        <v>18</v>
      </c>
      <c r="L363" s="23" t="s">
        <v>39</v>
      </c>
      <c r="N363" s="16"/>
      <c r="O363" s="17"/>
      <c r="P363" s="17">
        <v>35</v>
      </c>
      <c r="Q363" s="22"/>
      <c r="R363" s="23"/>
      <c r="Z363" s="23" t="s">
        <v>535</v>
      </c>
    </row>
    <row r="364" spans="1:26" ht="12.75">
      <c r="A364" s="22">
        <v>46302</v>
      </c>
      <c r="B364" s="23" t="s">
        <v>14</v>
      </c>
      <c r="C364" s="23" t="s">
        <v>173</v>
      </c>
      <c r="D364" s="19">
        <v>31209</v>
      </c>
      <c r="E364" s="23" t="s">
        <v>24</v>
      </c>
      <c r="F364" s="23">
        <v>11910346719</v>
      </c>
      <c r="G364" s="23" t="s">
        <v>16</v>
      </c>
      <c r="H364" s="18">
        <v>45</v>
      </c>
      <c r="J364" s="18"/>
      <c r="K364" s="23" t="s">
        <v>18</v>
      </c>
      <c r="L364" s="23" t="s">
        <v>34</v>
      </c>
      <c r="N364" s="16"/>
      <c r="O364" s="17"/>
      <c r="P364" s="17">
        <v>45</v>
      </c>
      <c r="Q364" s="22"/>
      <c r="R364" s="23"/>
      <c r="Z364" s="23" t="s">
        <v>536</v>
      </c>
    </row>
    <row r="365" spans="1:26" ht="12.75">
      <c r="A365" s="22">
        <v>46302</v>
      </c>
      <c r="B365" s="23" t="s">
        <v>23</v>
      </c>
      <c r="C365" s="23" t="s">
        <v>537</v>
      </c>
      <c r="D365" s="19">
        <v>39117</v>
      </c>
      <c r="E365" s="23" t="s">
        <v>24</v>
      </c>
      <c r="F365" s="23">
        <v>82981894494</v>
      </c>
      <c r="G365" s="23" t="s">
        <v>16</v>
      </c>
      <c r="H365" s="18">
        <v>45</v>
      </c>
      <c r="J365" s="18"/>
      <c r="K365" s="23" t="s">
        <v>18</v>
      </c>
      <c r="L365" s="23" t="s">
        <v>34</v>
      </c>
      <c r="N365" s="16"/>
      <c r="O365" s="17"/>
      <c r="P365" s="17">
        <v>45</v>
      </c>
      <c r="Q365" s="22"/>
      <c r="R365" s="23"/>
      <c r="Z365" s="23" t="s">
        <v>538</v>
      </c>
    </row>
    <row r="366" spans="1:26" ht="12.75">
      <c r="A366" s="22">
        <v>46302</v>
      </c>
      <c r="B366" s="23" t="s">
        <v>14</v>
      </c>
      <c r="C366" s="23" t="s">
        <v>539</v>
      </c>
      <c r="D366" s="19">
        <v>39677</v>
      </c>
      <c r="E366" s="23" t="s">
        <v>24</v>
      </c>
      <c r="F366" s="23">
        <v>11965795779</v>
      </c>
      <c r="G366" s="23" t="s">
        <v>16</v>
      </c>
      <c r="H366" s="18">
        <v>45</v>
      </c>
      <c r="J366" s="18"/>
      <c r="K366" s="23" t="s">
        <v>18</v>
      </c>
      <c r="L366" s="23" t="s">
        <v>34</v>
      </c>
      <c r="N366" s="16"/>
      <c r="O366" s="17"/>
      <c r="P366" s="17">
        <v>45</v>
      </c>
      <c r="Q366" s="22"/>
      <c r="R366" s="23"/>
      <c r="Z366" s="23" t="s">
        <v>540</v>
      </c>
    </row>
    <row r="367" spans="1:26" ht="12.75">
      <c r="A367" s="22">
        <v>46302</v>
      </c>
      <c r="B367" s="23" t="s">
        <v>23</v>
      </c>
      <c r="C367" s="23" t="s">
        <v>223</v>
      </c>
      <c r="D367" s="19">
        <v>35532</v>
      </c>
      <c r="E367" s="23" t="s">
        <v>24</v>
      </c>
      <c r="F367" s="23">
        <v>11966006161</v>
      </c>
      <c r="G367" s="23" t="s">
        <v>16</v>
      </c>
      <c r="H367" s="18">
        <v>45</v>
      </c>
      <c r="I367" s="23" t="s">
        <v>21</v>
      </c>
      <c r="J367" s="18">
        <v>10</v>
      </c>
      <c r="K367" s="23" t="s">
        <v>18</v>
      </c>
      <c r="L367" s="23" t="s">
        <v>28</v>
      </c>
      <c r="N367" s="16"/>
      <c r="O367" s="17"/>
      <c r="P367" s="17">
        <v>55</v>
      </c>
      <c r="Q367" s="22"/>
      <c r="R367" s="23"/>
      <c r="Z367" s="23" t="s">
        <v>541</v>
      </c>
    </row>
    <row r="368" spans="1:26" ht="12.75">
      <c r="A368" s="22">
        <v>46302</v>
      </c>
      <c r="B368" s="23" t="s">
        <v>14</v>
      </c>
      <c r="C368" s="23" t="s">
        <v>542</v>
      </c>
      <c r="D368" s="19">
        <v>33257</v>
      </c>
      <c r="E368" s="23" t="s">
        <v>24</v>
      </c>
      <c r="F368" s="23">
        <v>11937767904</v>
      </c>
      <c r="G368" s="23" t="s">
        <v>16</v>
      </c>
      <c r="H368" s="18">
        <v>45</v>
      </c>
      <c r="J368" s="18"/>
      <c r="K368" s="23" t="s">
        <v>18</v>
      </c>
      <c r="L368" s="23" t="s">
        <v>39</v>
      </c>
      <c r="N368" s="16"/>
      <c r="O368" s="17"/>
      <c r="P368" s="17">
        <v>45</v>
      </c>
      <c r="Q368" s="22"/>
      <c r="R368" s="23"/>
      <c r="Z368" s="23" t="s">
        <v>543</v>
      </c>
    </row>
    <row r="369" spans="1:26" ht="12.75">
      <c r="A369" s="22">
        <v>46302</v>
      </c>
      <c r="B369" s="23" t="s">
        <v>14</v>
      </c>
      <c r="C369" s="23" t="s">
        <v>544</v>
      </c>
      <c r="D369" s="19">
        <v>36052</v>
      </c>
      <c r="E369" s="23" t="s">
        <v>24</v>
      </c>
      <c r="F369" s="23">
        <v>11966431173</v>
      </c>
      <c r="G369" s="23" t="s">
        <v>16</v>
      </c>
      <c r="H369" s="18">
        <v>45</v>
      </c>
      <c r="J369" s="18"/>
      <c r="K369" s="23" t="s">
        <v>18</v>
      </c>
      <c r="L369" s="23" t="s">
        <v>34</v>
      </c>
      <c r="N369" s="16"/>
      <c r="O369" s="17"/>
      <c r="P369" s="17">
        <v>45</v>
      </c>
      <c r="Q369" s="22"/>
      <c r="R369" s="23"/>
      <c r="Z369" s="23" t="s">
        <v>545</v>
      </c>
    </row>
    <row r="370" spans="1:26" ht="12.75">
      <c r="A370" s="22">
        <v>46302</v>
      </c>
      <c r="B370" s="23" t="s">
        <v>14</v>
      </c>
      <c r="C370" s="23" t="s">
        <v>164</v>
      </c>
      <c r="D370" s="19">
        <v>35311</v>
      </c>
      <c r="E370" s="23" t="s">
        <v>24</v>
      </c>
      <c r="F370" s="23">
        <v>11915132069</v>
      </c>
      <c r="G370" s="23" t="s">
        <v>38</v>
      </c>
      <c r="H370" s="18">
        <v>70</v>
      </c>
      <c r="J370" s="18"/>
      <c r="K370" s="23" t="s">
        <v>18</v>
      </c>
      <c r="L370" s="23" t="s">
        <v>34</v>
      </c>
      <c r="N370" s="16"/>
      <c r="O370" s="17"/>
      <c r="P370" s="17">
        <v>70</v>
      </c>
      <c r="Q370" s="22"/>
      <c r="R370" s="23"/>
      <c r="Z370" s="23" t="s">
        <v>546</v>
      </c>
    </row>
    <row r="371" spans="1:26" ht="12.75">
      <c r="A371" s="22">
        <v>46303</v>
      </c>
      <c r="B371" t="s">
        <v>14</v>
      </c>
      <c r="C371" t="s">
        <v>211</v>
      </c>
      <c r="D371" s="19">
        <v>36736</v>
      </c>
      <c r="E371" t="s">
        <v>24</v>
      </c>
      <c r="F371">
        <v>11947610335</v>
      </c>
      <c r="G371" t="s">
        <v>16</v>
      </c>
      <c r="H371" s="18">
        <v>45</v>
      </c>
      <c r="I371" t="s">
        <v>21</v>
      </c>
      <c r="J371" s="18">
        <v>10</v>
      </c>
      <c r="K371" t="s">
        <v>18</v>
      </c>
      <c r="L371" t="s">
        <v>28</v>
      </c>
      <c r="N371" s="16"/>
      <c r="O371" s="17"/>
      <c r="P371" s="17">
        <f t="shared" ref="P371:P434" si="0">H371+J371+S371</f>
        <v>55</v>
      </c>
      <c r="Q371" s="22"/>
      <c r="R371" s="23"/>
    </row>
    <row r="372" spans="1:26" ht="12.75">
      <c r="A372" s="22">
        <v>46303</v>
      </c>
      <c r="B372" t="s">
        <v>14</v>
      </c>
      <c r="C372" t="s">
        <v>97</v>
      </c>
      <c r="D372" s="19"/>
      <c r="E372" t="s">
        <v>24</v>
      </c>
      <c r="F372">
        <v>11981490848</v>
      </c>
      <c r="G372" t="s">
        <v>16</v>
      </c>
      <c r="H372" s="18">
        <v>45</v>
      </c>
      <c r="J372" s="18"/>
      <c r="K372" t="s">
        <v>18</v>
      </c>
      <c r="L372" t="s">
        <v>34</v>
      </c>
      <c r="N372" s="16"/>
      <c r="O372" s="17"/>
      <c r="P372" s="17">
        <f t="shared" si="0"/>
        <v>45</v>
      </c>
      <c r="Q372" s="22"/>
      <c r="R372" s="23"/>
    </row>
    <row r="373" spans="1:26" ht="12.75">
      <c r="A373" s="22">
        <v>46303</v>
      </c>
      <c r="B373" t="s">
        <v>14</v>
      </c>
      <c r="C373" t="s">
        <v>99</v>
      </c>
      <c r="D373" s="19"/>
      <c r="E373" t="s">
        <v>24</v>
      </c>
      <c r="F373">
        <v>11992029331</v>
      </c>
      <c r="G373" t="s">
        <v>16</v>
      </c>
      <c r="H373" s="18">
        <v>45</v>
      </c>
      <c r="J373" s="18"/>
      <c r="K373" t="s">
        <v>18</v>
      </c>
      <c r="L373" t="s">
        <v>28</v>
      </c>
      <c r="N373" s="16"/>
      <c r="O373" s="17"/>
      <c r="P373" s="17">
        <f t="shared" si="0"/>
        <v>45</v>
      </c>
      <c r="Q373" s="22"/>
      <c r="R373" s="23"/>
    </row>
    <row r="374" spans="1:26" ht="12.75">
      <c r="A374" s="22">
        <v>46303</v>
      </c>
      <c r="B374" t="s">
        <v>14</v>
      </c>
      <c r="C374" t="s">
        <v>163</v>
      </c>
      <c r="D374" s="19">
        <v>28179</v>
      </c>
      <c r="E374" t="s">
        <v>24</v>
      </c>
      <c r="G374" t="s">
        <v>25</v>
      </c>
      <c r="H374" s="18">
        <v>80</v>
      </c>
      <c r="J374" s="18"/>
      <c r="K374" t="s">
        <v>27</v>
      </c>
      <c r="L374" t="s">
        <v>27</v>
      </c>
      <c r="N374" s="16"/>
      <c r="O374" s="17"/>
      <c r="P374" s="17">
        <f t="shared" si="0"/>
        <v>80</v>
      </c>
      <c r="Q374" s="22"/>
      <c r="R374" s="23"/>
    </row>
    <row r="375" spans="1:26" ht="12.75">
      <c r="A375" s="22">
        <v>46303</v>
      </c>
      <c r="B375" t="s">
        <v>23</v>
      </c>
      <c r="C375" t="s">
        <v>130</v>
      </c>
      <c r="D375" s="19">
        <v>38774</v>
      </c>
      <c r="E375" t="s">
        <v>24</v>
      </c>
      <c r="F375">
        <v>11964662426</v>
      </c>
      <c r="G375" t="s">
        <v>16</v>
      </c>
      <c r="H375" s="18">
        <v>45</v>
      </c>
      <c r="J375" s="18"/>
      <c r="K375" t="s">
        <v>18</v>
      </c>
      <c r="L375" t="s">
        <v>28</v>
      </c>
      <c r="N375" s="16"/>
      <c r="O375" s="17"/>
      <c r="P375" s="17">
        <f t="shared" si="0"/>
        <v>45</v>
      </c>
      <c r="Q375" s="22"/>
      <c r="R375" s="23"/>
    </row>
    <row r="376" spans="1:26" ht="12.75">
      <c r="A376" s="22">
        <v>46303</v>
      </c>
      <c r="B376" t="s">
        <v>23</v>
      </c>
      <c r="C376" t="s">
        <v>133</v>
      </c>
      <c r="D376" s="19">
        <v>37148</v>
      </c>
      <c r="E376" t="s">
        <v>24</v>
      </c>
      <c r="F376">
        <v>11990004740</v>
      </c>
      <c r="G376" t="s">
        <v>16</v>
      </c>
      <c r="H376" s="18">
        <v>45</v>
      </c>
      <c r="J376" s="18"/>
      <c r="K376" t="s">
        <v>18</v>
      </c>
      <c r="L376" t="s">
        <v>28</v>
      </c>
      <c r="N376" s="16"/>
      <c r="O376" s="17"/>
      <c r="P376" s="17">
        <f t="shared" si="0"/>
        <v>45</v>
      </c>
      <c r="Q376" s="22"/>
      <c r="R376" s="23"/>
    </row>
    <row r="377" spans="1:26" ht="12.75">
      <c r="A377" s="22">
        <v>46303</v>
      </c>
      <c r="B377" t="s">
        <v>23</v>
      </c>
      <c r="C377" t="s">
        <v>532</v>
      </c>
      <c r="D377" s="19">
        <v>34963</v>
      </c>
      <c r="E377" t="s">
        <v>24</v>
      </c>
      <c r="F377">
        <v>11948025623</v>
      </c>
      <c r="G377" t="s">
        <v>16</v>
      </c>
      <c r="H377" s="18">
        <v>45</v>
      </c>
      <c r="J377" s="18"/>
      <c r="K377" t="s">
        <v>18</v>
      </c>
      <c r="L377" t="s">
        <v>19</v>
      </c>
      <c r="N377" s="16"/>
      <c r="O377" s="17"/>
      <c r="P377" s="17">
        <f t="shared" si="0"/>
        <v>45</v>
      </c>
      <c r="Q377" s="22"/>
      <c r="R377" s="23"/>
    </row>
    <row r="378" spans="1:26" ht="12.75">
      <c r="A378" s="22">
        <v>46303</v>
      </c>
      <c r="B378" t="s">
        <v>14</v>
      </c>
      <c r="C378" t="s">
        <v>547</v>
      </c>
      <c r="D378" s="19"/>
      <c r="E378" t="s">
        <v>15</v>
      </c>
      <c r="F378">
        <v>11985663623</v>
      </c>
      <c r="G378" t="s">
        <v>16</v>
      </c>
      <c r="H378" s="18">
        <v>45</v>
      </c>
      <c r="J378" s="18"/>
      <c r="K378" t="s">
        <v>27</v>
      </c>
      <c r="L378" t="s">
        <v>27</v>
      </c>
      <c r="N378" s="16"/>
      <c r="O378" s="17"/>
      <c r="P378" s="17">
        <f t="shared" si="0"/>
        <v>45</v>
      </c>
      <c r="Q378" s="22"/>
      <c r="R378" s="23"/>
    </row>
    <row r="379" spans="1:26" ht="12.75">
      <c r="A379" s="22">
        <v>46303</v>
      </c>
      <c r="B379" t="s">
        <v>23</v>
      </c>
      <c r="C379" t="s">
        <v>207</v>
      </c>
      <c r="D379" s="19">
        <v>34134</v>
      </c>
      <c r="E379" t="s">
        <v>24</v>
      </c>
      <c r="F379">
        <v>11951689244</v>
      </c>
      <c r="G379" t="s">
        <v>25</v>
      </c>
      <c r="H379" s="18">
        <v>80</v>
      </c>
      <c r="J379" s="18"/>
      <c r="K379" t="s">
        <v>27</v>
      </c>
      <c r="L379" t="s">
        <v>27</v>
      </c>
      <c r="N379" s="16"/>
      <c r="O379" s="17"/>
      <c r="P379" s="17">
        <f t="shared" si="0"/>
        <v>80</v>
      </c>
      <c r="Q379" s="22"/>
      <c r="R379" s="23"/>
    </row>
    <row r="380" spans="1:26" ht="12.75">
      <c r="A380" s="22">
        <v>46303</v>
      </c>
      <c r="B380" t="s">
        <v>14</v>
      </c>
      <c r="C380" t="s">
        <v>200</v>
      </c>
      <c r="D380" s="19"/>
      <c r="E380" t="s">
        <v>24</v>
      </c>
      <c r="G380" t="s">
        <v>16</v>
      </c>
      <c r="H380" s="18">
        <v>45</v>
      </c>
      <c r="J380" s="18"/>
      <c r="K380" t="s">
        <v>18</v>
      </c>
      <c r="L380" t="s">
        <v>39</v>
      </c>
      <c r="N380" s="16"/>
      <c r="O380" s="17"/>
      <c r="P380" s="17">
        <f t="shared" si="0"/>
        <v>45</v>
      </c>
      <c r="Q380" s="22"/>
      <c r="R380" s="23"/>
    </row>
    <row r="381" spans="1:26" ht="12.75">
      <c r="A381" s="22">
        <v>46303</v>
      </c>
      <c r="B381" t="s">
        <v>14</v>
      </c>
      <c r="C381" t="s">
        <v>109</v>
      </c>
      <c r="D381" s="19"/>
      <c r="E381" t="s">
        <v>24</v>
      </c>
      <c r="G381" t="s">
        <v>16</v>
      </c>
      <c r="H381" s="18">
        <v>45</v>
      </c>
      <c r="I381" t="s">
        <v>30</v>
      </c>
      <c r="J381" s="18">
        <v>40</v>
      </c>
      <c r="K381" t="s">
        <v>18</v>
      </c>
      <c r="L381" t="s">
        <v>34</v>
      </c>
      <c r="N381" s="16"/>
      <c r="O381" s="17"/>
      <c r="P381" s="17">
        <f t="shared" si="0"/>
        <v>85</v>
      </c>
      <c r="Q381" s="22"/>
      <c r="R381" s="23"/>
    </row>
    <row r="382" spans="1:26" ht="12.75">
      <c r="A382" s="22">
        <v>46303</v>
      </c>
      <c r="B382" t="s">
        <v>23</v>
      </c>
      <c r="C382" t="s">
        <v>381</v>
      </c>
      <c r="D382" s="19"/>
      <c r="E382" t="s">
        <v>24</v>
      </c>
      <c r="G382" t="s">
        <v>16</v>
      </c>
      <c r="H382" s="18">
        <v>45</v>
      </c>
      <c r="J382" s="18"/>
      <c r="K382" t="s">
        <v>18</v>
      </c>
      <c r="L382" t="s">
        <v>34</v>
      </c>
      <c r="N382" s="16"/>
      <c r="O382" s="17"/>
      <c r="P382" s="17">
        <f t="shared" si="0"/>
        <v>45</v>
      </c>
      <c r="Q382" s="22"/>
      <c r="R382" s="23"/>
    </row>
    <row r="383" spans="1:26" ht="12.75">
      <c r="A383" s="22">
        <v>46304</v>
      </c>
      <c r="B383" t="s">
        <v>23</v>
      </c>
      <c r="C383" t="s">
        <v>218</v>
      </c>
      <c r="D383" s="19"/>
      <c r="E383" t="s">
        <v>24</v>
      </c>
      <c r="G383" t="s">
        <v>32</v>
      </c>
      <c r="H383" s="18">
        <v>35</v>
      </c>
      <c r="J383" s="18"/>
      <c r="K383" t="s">
        <v>18</v>
      </c>
      <c r="L383" t="s">
        <v>19</v>
      </c>
      <c r="N383" s="16"/>
      <c r="O383" s="17"/>
      <c r="P383" s="17">
        <f t="shared" si="0"/>
        <v>35</v>
      </c>
      <c r="Q383" s="22"/>
      <c r="R383" s="23"/>
    </row>
    <row r="384" spans="1:26" ht="12.75">
      <c r="A384" s="22">
        <v>46304</v>
      </c>
      <c r="B384" t="s">
        <v>23</v>
      </c>
      <c r="C384" t="s">
        <v>105</v>
      </c>
      <c r="D384" s="19"/>
      <c r="E384" t="s">
        <v>24</v>
      </c>
      <c r="G384" t="s">
        <v>32</v>
      </c>
      <c r="H384" s="18">
        <v>35</v>
      </c>
      <c r="I384" t="s">
        <v>12</v>
      </c>
      <c r="J384" s="18">
        <v>20</v>
      </c>
      <c r="K384" t="s">
        <v>18</v>
      </c>
      <c r="L384" t="s">
        <v>34</v>
      </c>
      <c r="N384" s="16"/>
      <c r="O384" s="17"/>
      <c r="P384" s="17">
        <f t="shared" si="0"/>
        <v>55</v>
      </c>
      <c r="Q384" s="22"/>
      <c r="R384" s="23"/>
    </row>
    <row r="385" spans="1:18" ht="12.75">
      <c r="A385" s="22">
        <v>46304</v>
      </c>
      <c r="B385" t="s">
        <v>14</v>
      </c>
      <c r="C385" t="s">
        <v>456</v>
      </c>
      <c r="D385" s="19"/>
      <c r="E385" t="s">
        <v>24</v>
      </c>
      <c r="G385" t="s">
        <v>46</v>
      </c>
      <c r="H385" s="18">
        <v>30</v>
      </c>
      <c r="J385" s="18"/>
      <c r="K385" t="s">
        <v>18</v>
      </c>
      <c r="L385" t="s">
        <v>28</v>
      </c>
      <c r="N385" s="16"/>
      <c r="O385" s="17"/>
      <c r="P385" s="17">
        <f t="shared" si="0"/>
        <v>30</v>
      </c>
      <c r="Q385" s="22"/>
      <c r="R385" s="23"/>
    </row>
    <row r="386" spans="1:18" ht="12.75">
      <c r="A386" s="22">
        <v>46304</v>
      </c>
      <c r="B386" t="s">
        <v>14</v>
      </c>
      <c r="C386" t="s">
        <v>139</v>
      </c>
      <c r="D386" s="19">
        <v>35324</v>
      </c>
      <c r="E386" t="s">
        <v>24</v>
      </c>
      <c r="F386">
        <v>11978778175</v>
      </c>
      <c r="G386" t="s">
        <v>25</v>
      </c>
      <c r="H386" s="18">
        <v>80</v>
      </c>
      <c r="J386" s="18"/>
      <c r="K386" t="s">
        <v>18</v>
      </c>
      <c r="L386" t="s">
        <v>39</v>
      </c>
      <c r="N386" s="16"/>
      <c r="O386" s="17"/>
      <c r="P386" s="17">
        <f t="shared" si="0"/>
        <v>80</v>
      </c>
      <c r="Q386" s="22"/>
      <c r="R386" s="23"/>
    </row>
    <row r="387" spans="1:18" ht="12.75">
      <c r="A387" s="22">
        <v>46304</v>
      </c>
      <c r="B387" t="s">
        <v>14</v>
      </c>
      <c r="C387" t="s">
        <v>162</v>
      </c>
      <c r="D387" s="19">
        <v>33525</v>
      </c>
      <c r="E387" t="s">
        <v>24</v>
      </c>
      <c r="F387">
        <v>11951069136</v>
      </c>
      <c r="G387" t="s">
        <v>16</v>
      </c>
      <c r="H387" s="18">
        <v>45</v>
      </c>
      <c r="J387" s="18"/>
      <c r="K387" t="s">
        <v>18</v>
      </c>
      <c r="L387" t="s">
        <v>34</v>
      </c>
      <c r="N387" s="16"/>
      <c r="O387" s="17"/>
      <c r="P387" s="17">
        <f t="shared" si="0"/>
        <v>45</v>
      </c>
      <c r="Q387" s="22"/>
      <c r="R387" s="23"/>
    </row>
    <row r="388" spans="1:18" ht="12.75">
      <c r="A388" s="22">
        <v>46304</v>
      </c>
      <c r="B388" t="s">
        <v>14</v>
      </c>
      <c r="C388" t="s">
        <v>135</v>
      </c>
      <c r="D388" s="19">
        <v>35961</v>
      </c>
      <c r="E388" t="s">
        <v>24</v>
      </c>
      <c r="F388">
        <v>11978147895</v>
      </c>
      <c r="G388" t="s">
        <v>32</v>
      </c>
      <c r="H388" s="18">
        <v>35</v>
      </c>
      <c r="J388" s="18"/>
      <c r="K388" t="s">
        <v>18</v>
      </c>
      <c r="L388" t="s">
        <v>39</v>
      </c>
      <c r="N388" s="16"/>
      <c r="O388" s="17"/>
      <c r="P388" s="17">
        <f t="shared" si="0"/>
        <v>35</v>
      </c>
      <c r="Q388" s="22"/>
      <c r="R388" s="23"/>
    </row>
    <row r="389" spans="1:18" ht="12.75">
      <c r="A389" s="22">
        <v>46304</v>
      </c>
      <c r="B389" t="s">
        <v>14</v>
      </c>
      <c r="C389" t="s">
        <v>164</v>
      </c>
      <c r="D389" s="19">
        <v>35311</v>
      </c>
      <c r="E389" t="s">
        <v>24</v>
      </c>
      <c r="F389">
        <v>11915132069</v>
      </c>
      <c r="G389" t="s">
        <v>16</v>
      </c>
      <c r="H389" s="18">
        <v>45</v>
      </c>
      <c r="J389" s="18"/>
      <c r="K389" t="s">
        <v>18</v>
      </c>
      <c r="L389" t="s">
        <v>34</v>
      </c>
      <c r="N389" s="16"/>
      <c r="O389" s="17"/>
      <c r="P389" s="17">
        <f t="shared" si="0"/>
        <v>45</v>
      </c>
      <c r="Q389" s="22"/>
      <c r="R389" s="23"/>
    </row>
    <row r="390" spans="1:18" ht="12.75">
      <c r="A390" s="22">
        <v>46304</v>
      </c>
      <c r="B390" t="s">
        <v>23</v>
      </c>
      <c r="C390" t="s">
        <v>138</v>
      </c>
      <c r="D390" s="19">
        <v>41243</v>
      </c>
      <c r="E390" t="s">
        <v>24</v>
      </c>
      <c r="F390">
        <v>11984616960</v>
      </c>
      <c r="G390" t="s">
        <v>32</v>
      </c>
      <c r="H390" s="18">
        <v>35</v>
      </c>
      <c r="J390" s="18"/>
      <c r="K390" t="s">
        <v>18</v>
      </c>
      <c r="L390" t="s">
        <v>34</v>
      </c>
      <c r="N390" s="16"/>
      <c r="O390" s="17"/>
      <c r="P390" s="17">
        <f t="shared" si="0"/>
        <v>35</v>
      </c>
      <c r="Q390" s="22"/>
      <c r="R390" s="23"/>
    </row>
    <row r="391" spans="1:18" ht="12.75">
      <c r="A391" s="22">
        <v>46304</v>
      </c>
      <c r="B391" t="s">
        <v>14</v>
      </c>
      <c r="C391" t="s">
        <v>431</v>
      </c>
      <c r="D391" s="19">
        <v>35122</v>
      </c>
      <c r="E391" t="s">
        <v>24</v>
      </c>
      <c r="F391">
        <v>11970821462</v>
      </c>
      <c r="G391" t="s">
        <v>38</v>
      </c>
      <c r="H391" s="18">
        <v>70</v>
      </c>
      <c r="I391" t="s">
        <v>41</v>
      </c>
      <c r="J391" s="18">
        <v>25</v>
      </c>
      <c r="K391" t="s">
        <v>18</v>
      </c>
      <c r="L391" t="s">
        <v>19</v>
      </c>
      <c r="N391" s="16"/>
      <c r="O391" s="17"/>
      <c r="P391" s="17">
        <f t="shared" si="0"/>
        <v>95</v>
      </c>
      <c r="Q391" s="22"/>
      <c r="R391" s="23"/>
    </row>
    <row r="392" spans="1:18" ht="12.75">
      <c r="A392" s="22">
        <v>46304</v>
      </c>
      <c r="B392" t="s">
        <v>14</v>
      </c>
      <c r="C392" t="s">
        <v>137</v>
      </c>
      <c r="D392" s="19">
        <v>34989</v>
      </c>
      <c r="E392" t="s">
        <v>24</v>
      </c>
      <c r="F392">
        <v>11932152052</v>
      </c>
      <c r="G392" t="s">
        <v>38</v>
      </c>
      <c r="H392" s="18">
        <v>70</v>
      </c>
      <c r="I392" t="s">
        <v>41</v>
      </c>
      <c r="J392" s="18">
        <v>25</v>
      </c>
      <c r="K392" t="s">
        <v>18</v>
      </c>
      <c r="L392" t="s">
        <v>28</v>
      </c>
      <c r="N392" s="16"/>
      <c r="O392" s="17"/>
      <c r="P392" s="17">
        <f t="shared" si="0"/>
        <v>95</v>
      </c>
      <c r="Q392" s="22"/>
      <c r="R392" s="23"/>
    </row>
    <row r="393" spans="1:18" ht="12.75">
      <c r="A393" s="22">
        <v>46304</v>
      </c>
      <c r="B393" t="s">
        <v>14</v>
      </c>
      <c r="C393" t="s">
        <v>187</v>
      </c>
      <c r="D393" s="19"/>
      <c r="E393" t="s">
        <v>24</v>
      </c>
      <c r="F393">
        <v>11985693394</v>
      </c>
      <c r="G393" t="s">
        <v>46</v>
      </c>
      <c r="H393" s="18">
        <v>30</v>
      </c>
      <c r="J393" s="18"/>
      <c r="K393" t="s">
        <v>18</v>
      </c>
      <c r="L393" t="s">
        <v>34</v>
      </c>
      <c r="N393" s="16"/>
      <c r="O393" s="17"/>
      <c r="P393" s="17">
        <f t="shared" si="0"/>
        <v>30</v>
      </c>
      <c r="Q393" s="22"/>
      <c r="R393" s="23"/>
    </row>
    <row r="394" spans="1:18" ht="12.75">
      <c r="A394" s="22">
        <v>46304</v>
      </c>
      <c r="B394" t="s">
        <v>14</v>
      </c>
      <c r="C394" t="s">
        <v>113</v>
      </c>
      <c r="D394" s="19"/>
      <c r="E394" t="s">
        <v>24</v>
      </c>
      <c r="G394" t="s">
        <v>16</v>
      </c>
      <c r="H394" s="18">
        <v>45</v>
      </c>
      <c r="J394" s="18"/>
      <c r="K394" t="s">
        <v>18</v>
      </c>
      <c r="L394" t="s">
        <v>34</v>
      </c>
      <c r="N394" s="16"/>
      <c r="O394" s="17"/>
      <c r="P394" s="17">
        <f t="shared" si="0"/>
        <v>45</v>
      </c>
      <c r="Q394" s="22"/>
      <c r="R394" s="23"/>
    </row>
    <row r="395" spans="1:18" ht="12.75">
      <c r="A395" s="22">
        <v>46304</v>
      </c>
      <c r="B395" t="s">
        <v>14</v>
      </c>
      <c r="C395" t="s">
        <v>111</v>
      </c>
      <c r="D395" s="19"/>
      <c r="E395" t="s">
        <v>24</v>
      </c>
      <c r="G395" t="s">
        <v>16</v>
      </c>
      <c r="H395" s="18">
        <v>45</v>
      </c>
      <c r="J395" s="18"/>
      <c r="K395" t="s">
        <v>18</v>
      </c>
      <c r="L395" t="s">
        <v>34</v>
      </c>
      <c r="N395" s="16"/>
      <c r="O395" s="17"/>
      <c r="P395" s="17">
        <f t="shared" si="0"/>
        <v>45</v>
      </c>
      <c r="Q395" s="22"/>
      <c r="R395" s="23"/>
    </row>
    <row r="396" spans="1:18" ht="12.75">
      <c r="A396" s="22">
        <v>46304</v>
      </c>
      <c r="B396" t="s">
        <v>14</v>
      </c>
      <c r="C396" t="s">
        <v>208</v>
      </c>
      <c r="D396" s="19">
        <v>31831</v>
      </c>
      <c r="E396" t="s">
        <v>24</v>
      </c>
      <c r="F396">
        <v>11992020639</v>
      </c>
      <c r="G396" t="s">
        <v>16</v>
      </c>
      <c r="H396" s="18">
        <v>45</v>
      </c>
      <c r="I396" t="s">
        <v>41</v>
      </c>
      <c r="J396" s="18">
        <v>25</v>
      </c>
      <c r="K396" t="s">
        <v>18</v>
      </c>
      <c r="L396" t="s">
        <v>34</v>
      </c>
      <c r="N396" s="16"/>
      <c r="O396" s="17"/>
      <c r="P396" s="17">
        <f t="shared" si="0"/>
        <v>70</v>
      </c>
      <c r="Q396" s="22"/>
      <c r="R396" s="23"/>
    </row>
    <row r="397" spans="1:18" ht="12.75">
      <c r="A397" s="22">
        <v>46304</v>
      </c>
      <c r="B397" t="s">
        <v>23</v>
      </c>
      <c r="C397" t="s">
        <v>130</v>
      </c>
      <c r="D397" s="19">
        <v>38774</v>
      </c>
      <c r="E397" t="s">
        <v>24</v>
      </c>
      <c r="F397">
        <v>11964662426</v>
      </c>
      <c r="G397" t="s">
        <v>25</v>
      </c>
      <c r="H397" s="18">
        <v>80</v>
      </c>
      <c r="J397" s="18"/>
      <c r="K397" t="s">
        <v>18</v>
      </c>
      <c r="L397" t="s">
        <v>28</v>
      </c>
      <c r="N397" s="16"/>
      <c r="O397" s="17"/>
      <c r="P397" s="17">
        <f t="shared" si="0"/>
        <v>80</v>
      </c>
      <c r="Q397" s="22"/>
      <c r="R397" s="23"/>
    </row>
    <row r="398" spans="1:18" ht="12.75">
      <c r="A398" s="22">
        <v>46304</v>
      </c>
      <c r="B398" t="s">
        <v>14</v>
      </c>
      <c r="C398" t="s">
        <v>170</v>
      </c>
      <c r="D398" s="19">
        <v>34707</v>
      </c>
      <c r="E398" t="s">
        <v>24</v>
      </c>
      <c r="F398">
        <v>11990241143</v>
      </c>
      <c r="G398" t="s">
        <v>16</v>
      </c>
      <c r="H398" s="18">
        <v>45</v>
      </c>
      <c r="J398" s="18"/>
      <c r="K398" t="s">
        <v>18</v>
      </c>
      <c r="L398" t="s">
        <v>28</v>
      </c>
      <c r="N398" s="16"/>
      <c r="O398" s="17"/>
      <c r="P398" s="17">
        <f t="shared" si="0"/>
        <v>45</v>
      </c>
      <c r="Q398" s="22"/>
      <c r="R398" s="23"/>
    </row>
    <row r="399" spans="1:18" ht="12.75">
      <c r="A399" s="22">
        <v>46305</v>
      </c>
      <c r="B399" t="s">
        <v>14</v>
      </c>
      <c r="C399" t="s">
        <v>340</v>
      </c>
      <c r="D399" s="19">
        <v>28230</v>
      </c>
      <c r="E399" t="s">
        <v>24</v>
      </c>
      <c r="F399">
        <v>14981385353</v>
      </c>
      <c r="G399" t="s">
        <v>16</v>
      </c>
      <c r="H399" s="18">
        <v>45</v>
      </c>
      <c r="J399" s="18"/>
      <c r="K399" t="s">
        <v>18</v>
      </c>
      <c r="L399" t="s">
        <v>28</v>
      </c>
      <c r="N399" s="16"/>
      <c r="O399" s="17"/>
      <c r="P399" s="17">
        <f t="shared" si="0"/>
        <v>45</v>
      </c>
      <c r="Q399" s="22"/>
      <c r="R399" s="23"/>
    </row>
    <row r="400" spans="1:18" ht="12.75">
      <c r="A400" s="22">
        <v>46305</v>
      </c>
      <c r="B400" t="s">
        <v>14</v>
      </c>
      <c r="C400" t="s">
        <v>416</v>
      </c>
      <c r="D400" s="19">
        <v>33743</v>
      </c>
      <c r="E400" t="s">
        <v>24</v>
      </c>
      <c r="F400">
        <v>11960683852</v>
      </c>
      <c r="G400" t="s">
        <v>16</v>
      </c>
      <c r="H400" s="18">
        <v>45</v>
      </c>
      <c r="J400" s="18"/>
      <c r="K400" t="s">
        <v>18</v>
      </c>
      <c r="L400" t="s">
        <v>34</v>
      </c>
      <c r="N400" s="16"/>
      <c r="O400" s="17"/>
      <c r="P400" s="17">
        <f t="shared" si="0"/>
        <v>45</v>
      </c>
      <c r="Q400" s="22"/>
      <c r="R400" s="23"/>
    </row>
    <row r="401" spans="1:18" ht="12.75">
      <c r="A401" s="22">
        <v>46305</v>
      </c>
      <c r="B401" t="s">
        <v>14</v>
      </c>
      <c r="C401" t="s">
        <v>548</v>
      </c>
      <c r="D401" s="19"/>
      <c r="E401" t="s">
        <v>15</v>
      </c>
      <c r="F401">
        <v>11983790237</v>
      </c>
      <c r="G401" t="s">
        <v>16</v>
      </c>
      <c r="H401" s="18">
        <v>45</v>
      </c>
      <c r="J401" s="18"/>
      <c r="K401" t="s">
        <v>18</v>
      </c>
      <c r="L401" t="s">
        <v>28</v>
      </c>
      <c r="N401" s="16"/>
      <c r="O401" s="17"/>
      <c r="P401" s="17">
        <f t="shared" si="0"/>
        <v>45</v>
      </c>
      <c r="Q401" s="22"/>
      <c r="R401" s="23"/>
    </row>
    <row r="402" spans="1:18" ht="12.75">
      <c r="A402" s="22">
        <v>46305</v>
      </c>
      <c r="B402" t="s">
        <v>14</v>
      </c>
      <c r="C402" t="s">
        <v>289</v>
      </c>
      <c r="D402" s="19">
        <v>33542</v>
      </c>
      <c r="E402" t="s">
        <v>24</v>
      </c>
      <c r="F402">
        <v>11932137234</v>
      </c>
      <c r="G402" t="s">
        <v>16</v>
      </c>
      <c r="H402" s="18">
        <v>45</v>
      </c>
      <c r="J402" s="18"/>
      <c r="K402" t="s">
        <v>18</v>
      </c>
      <c r="L402" t="s">
        <v>34</v>
      </c>
      <c r="N402" s="16"/>
      <c r="O402" s="17"/>
      <c r="P402" s="17">
        <f t="shared" si="0"/>
        <v>45</v>
      </c>
      <c r="Q402" s="22"/>
      <c r="R402" s="23"/>
    </row>
    <row r="403" spans="1:18" ht="12.75">
      <c r="A403" s="22">
        <v>46305</v>
      </c>
      <c r="B403" t="s">
        <v>23</v>
      </c>
      <c r="C403" t="s">
        <v>221</v>
      </c>
      <c r="D403" s="19">
        <v>35938</v>
      </c>
      <c r="E403" t="s">
        <v>24</v>
      </c>
      <c r="F403">
        <v>11954398450</v>
      </c>
      <c r="G403" t="s">
        <v>16</v>
      </c>
      <c r="H403" s="18">
        <v>45</v>
      </c>
      <c r="I403" t="s">
        <v>21</v>
      </c>
      <c r="J403" s="18">
        <v>10</v>
      </c>
      <c r="K403" t="s">
        <v>18</v>
      </c>
      <c r="L403" t="s">
        <v>34</v>
      </c>
      <c r="N403" s="16"/>
      <c r="O403" s="17"/>
      <c r="P403" s="17">
        <f t="shared" si="0"/>
        <v>55</v>
      </c>
      <c r="Q403" s="22"/>
      <c r="R403" s="23"/>
    </row>
    <row r="404" spans="1:18" ht="12.75">
      <c r="A404" s="22">
        <v>46305</v>
      </c>
      <c r="B404" t="s">
        <v>23</v>
      </c>
      <c r="C404" t="s">
        <v>135</v>
      </c>
      <c r="D404" s="19">
        <v>35961</v>
      </c>
      <c r="E404" t="s">
        <v>24</v>
      </c>
      <c r="F404">
        <v>11978147895</v>
      </c>
      <c r="G404" t="s">
        <v>16</v>
      </c>
      <c r="H404" s="18">
        <v>45</v>
      </c>
      <c r="J404" s="18"/>
      <c r="K404" t="s">
        <v>27</v>
      </c>
      <c r="L404" t="s">
        <v>27</v>
      </c>
      <c r="N404" s="16"/>
      <c r="O404" s="17"/>
      <c r="P404" s="17">
        <f t="shared" si="0"/>
        <v>45</v>
      </c>
      <c r="Q404" s="22"/>
      <c r="R404" s="23"/>
    </row>
    <row r="405" spans="1:18" ht="12.75">
      <c r="A405" s="22">
        <v>46305</v>
      </c>
      <c r="B405" t="s">
        <v>14</v>
      </c>
      <c r="C405" t="s">
        <v>115</v>
      </c>
      <c r="D405" s="19"/>
      <c r="E405" t="s">
        <v>24</v>
      </c>
      <c r="G405" t="s">
        <v>25</v>
      </c>
      <c r="H405" s="18">
        <v>80</v>
      </c>
      <c r="J405" s="18"/>
      <c r="K405" t="s">
        <v>27</v>
      </c>
      <c r="L405" t="s">
        <v>27</v>
      </c>
      <c r="N405" s="16"/>
      <c r="O405" s="17"/>
      <c r="P405" s="17">
        <f t="shared" si="0"/>
        <v>80</v>
      </c>
      <c r="Q405" s="22"/>
      <c r="R405" s="23"/>
    </row>
    <row r="406" spans="1:18" ht="12.75">
      <c r="A406" s="22">
        <v>46305</v>
      </c>
      <c r="B406" t="s">
        <v>14</v>
      </c>
      <c r="C406" t="s">
        <v>101</v>
      </c>
      <c r="D406" s="19">
        <v>38070</v>
      </c>
      <c r="E406" t="s">
        <v>24</v>
      </c>
      <c r="F406">
        <v>11993117433</v>
      </c>
      <c r="G406" t="s">
        <v>16</v>
      </c>
      <c r="H406" s="18">
        <v>45</v>
      </c>
      <c r="J406" s="18"/>
      <c r="K406" t="s">
        <v>18</v>
      </c>
      <c r="L406" t="s">
        <v>34</v>
      </c>
      <c r="N406" s="16"/>
      <c r="O406" s="17"/>
      <c r="P406" s="17">
        <f t="shared" si="0"/>
        <v>45</v>
      </c>
      <c r="Q406" s="22"/>
      <c r="R406" s="23"/>
    </row>
    <row r="407" spans="1:18" ht="12.75">
      <c r="A407" s="22">
        <v>46305</v>
      </c>
      <c r="B407" t="s">
        <v>23</v>
      </c>
      <c r="C407" t="s">
        <v>542</v>
      </c>
      <c r="D407" s="19">
        <v>33257</v>
      </c>
      <c r="E407" t="s">
        <v>24</v>
      </c>
      <c r="F407">
        <v>11937767904</v>
      </c>
      <c r="G407" t="s">
        <v>16</v>
      </c>
      <c r="H407" s="18">
        <v>45</v>
      </c>
      <c r="J407" s="18"/>
      <c r="K407" t="s">
        <v>27</v>
      </c>
      <c r="L407" t="s">
        <v>27</v>
      </c>
      <c r="N407" s="16"/>
      <c r="O407" s="17"/>
      <c r="P407" s="17">
        <f t="shared" si="0"/>
        <v>45</v>
      </c>
      <c r="Q407" s="22"/>
      <c r="R407" s="23"/>
    </row>
    <row r="408" spans="1:18" ht="12.75">
      <c r="A408" s="22">
        <v>46305</v>
      </c>
      <c r="B408" t="s">
        <v>23</v>
      </c>
      <c r="C408" t="s">
        <v>118</v>
      </c>
      <c r="D408" s="19"/>
      <c r="E408" t="s">
        <v>24</v>
      </c>
      <c r="G408" t="s">
        <v>16</v>
      </c>
      <c r="H408" s="18">
        <v>45</v>
      </c>
      <c r="J408" s="18"/>
      <c r="K408" t="s">
        <v>18</v>
      </c>
      <c r="L408" t="s">
        <v>34</v>
      </c>
      <c r="N408" s="16"/>
      <c r="O408" s="17"/>
      <c r="P408" s="17">
        <f t="shared" si="0"/>
        <v>45</v>
      </c>
      <c r="Q408" s="22"/>
      <c r="R408" s="23"/>
    </row>
    <row r="409" spans="1:18" ht="12.75">
      <c r="A409" s="22">
        <v>46305</v>
      </c>
      <c r="B409" t="s">
        <v>14</v>
      </c>
      <c r="C409" t="s">
        <v>149</v>
      </c>
      <c r="D409" s="19"/>
      <c r="E409" t="s">
        <v>24</v>
      </c>
      <c r="G409" t="s">
        <v>38</v>
      </c>
      <c r="H409" s="18">
        <v>70</v>
      </c>
      <c r="J409" s="18"/>
      <c r="K409" t="s">
        <v>18</v>
      </c>
      <c r="L409" t="s">
        <v>34</v>
      </c>
      <c r="N409" s="16"/>
      <c r="O409" s="17"/>
      <c r="P409" s="17">
        <f t="shared" si="0"/>
        <v>70</v>
      </c>
      <c r="Q409" s="22"/>
      <c r="R409" s="23"/>
    </row>
    <row r="410" spans="1:18" ht="12.75">
      <c r="A410" s="22">
        <v>46305</v>
      </c>
      <c r="B410" t="s">
        <v>14</v>
      </c>
      <c r="C410" t="s">
        <v>151</v>
      </c>
      <c r="D410" s="19">
        <v>26785</v>
      </c>
      <c r="E410" t="s">
        <v>24</v>
      </c>
      <c r="F410">
        <v>11976252001</v>
      </c>
      <c r="G410" t="s">
        <v>25</v>
      </c>
      <c r="H410" s="18">
        <v>80</v>
      </c>
      <c r="J410" s="18"/>
      <c r="K410" t="s">
        <v>18</v>
      </c>
      <c r="L410" t="s">
        <v>39</v>
      </c>
      <c r="N410" s="16"/>
      <c r="O410" s="17"/>
      <c r="P410" s="17">
        <f t="shared" si="0"/>
        <v>80</v>
      </c>
      <c r="Q410" s="22"/>
      <c r="R410" s="23"/>
    </row>
    <row r="411" spans="1:18" ht="12.75">
      <c r="A411" s="22">
        <v>46305</v>
      </c>
      <c r="B411" t="s">
        <v>14</v>
      </c>
      <c r="C411" t="s">
        <v>102</v>
      </c>
      <c r="D411" s="19">
        <v>33525</v>
      </c>
      <c r="E411" t="s">
        <v>24</v>
      </c>
      <c r="F411">
        <v>11951069136</v>
      </c>
      <c r="G411" t="s">
        <v>16</v>
      </c>
      <c r="H411" s="18">
        <v>45</v>
      </c>
      <c r="J411" s="18"/>
      <c r="K411" t="s">
        <v>18</v>
      </c>
      <c r="L411" t="s">
        <v>34</v>
      </c>
      <c r="N411" s="16"/>
      <c r="O411" s="17"/>
      <c r="P411" s="17">
        <f t="shared" si="0"/>
        <v>45</v>
      </c>
      <c r="Q411" s="22"/>
      <c r="R411" s="23"/>
    </row>
    <row r="412" spans="1:18" ht="12.75">
      <c r="A412" s="22">
        <v>46305</v>
      </c>
      <c r="B412" t="s">
        <v>14</v>
      </c>
      <c r="C412" t="s">
        <v>549</v>
      </c>
      <c r="D412" s="19"/>
      <c r="E412" t="s">
        <v>15</v>
      </c>
      <c r="F412">
        <v>11983607983</v>
      </c>
      <c r="G412" t="s">
        <v>16</v>
      </c>
      <c r="H412" s="18">
        <v>45</v>
      </c>
      <c r="J412" s="18"/>
      <c r="K412" t="s">
        <v>18</v>
      </c>
      <c r="L412" t="s">
        <v>34</v>
      </c>
      <c r="N412" s="16"/>
      <c r="O412" s="17"/>
      <c r="P412" s="17">
        <f t="shared" si="0"/>
        <v>45</v>
      </c>
      <c r="Q412" s="22"/>
      <c r="R412" s="23"/>
    </row>
    <row r="413" spans="1:18" ht="12.75">
      <c r="A413" s="22">
        <v>46305</v>
      </c>
      <c r="B413" t="s">
        <v>23</v>
      </c>
      <c r="C413" t="s">
        <v>203</v>
      </c>
      <c r="D413" s="19">
        <v>36306</v>
      </c>
      <c r="E413" t="s">
        <v>24</v>
      </c>
      <c r="F413">
        <v>11985735698</v>
      </c>
      <c r="G413" t="s">
        <v>32</v>
      </c>
      <c r="H413" s="18">
        <v>35</v>
      </c>
      <c r="J413" s="18"/>
      <c r="K413" t="s">
        <v>27</v>
      </c>
      <c r="L413" t="s">
        <v>27</v>
      </c>
      <c r="N413" s="16"/>
      <c r="O413" s="17"/>
      <c r="P413" s="17">
        <f t="shared" si="0"/>
        <v>35</v>
      </c>
      <c r="Q413" s="22"/>
      <c r="R413" s="23"/>
    </row>
    <row r="414" spans="1:18" ht="12.75">
      <c r="A414" s="22">
        <v>46305</v>
      </c>
      <c r="B414" t="s">
        <v>23</v>
      </c>
      <c r="C414" t="s">
        <v>103</v>
      </c>
      <c r="D414" s="19">
        <v>36222</v>
      </c>
      <c r="E414" t="s">
        <v>24</v>
      </c>
      <c r="F414">
        <v>13982009511</v>
      </c>
      <c r="G414" t="s">
        <v>16</v>
      </c>
      <c r="H414" s="18">
        <v>45</v>
      </c>
      <c r="J414" s="18"/>
      <c r="K414" t="s">
        <v>18</v>
      </c>
      <c r="L414" t="s">
        <v>34</v>
      </c>
      <c r="N414" s="16"/>
      <c r="O414" s="17"/>
      <c r="P414" s="17">
        <f t="shared" si="0"/>
        <v>45</v>
      </c>
      <c r="Q414" s="22"/>
      <c r="R414" s="23"/>
    </row>
    <row r="415" spans="1:18" ht="12.75">
      <c r="A415" s="22">
        <v>46306</v>
      </c>
      <c r="B415" t="s">
        <v>23</v>
      </c>
      <c r="C415" t="s">
        <v>102</v>
      </c>
      <c r="D415" s="19">
        <v>33525</v>
      </c>
      <c r="E415" t="s">
        <v>24</v>
      </c>
      <c r="F415">
        <v>11951069136</v>
      </c>
      <c r="G415" t="s">
        <v>16</v>
      </c>
      <c r="H415" s="18">
        <v>45</v>
      </c>
      <c r="I415" t="s">
        <v>12</v>
      </c>
      <c r="J415" s="18">
        <v>20</v>
      </c>
      <c r="K415" t="s">
        <v>18</v>
      </c>
      <c r="L415" t="s">
        <v>28</v>
      </c>
      <c r="N415" s="16"/>
      <c r="O415" s="17"/>
      <c r="P415" s="17">
        <f t="shared" si="0"/>
        <v>65</v>
      </c>
      <c r="Q415" s="22"/>
      <c r="R415" s="23"/>
    </row>
    <row r="416" spans="1:18" ht="12.75">
      <c r="A416" s="22">
        <v>46306</v>
      </c>
      <c r="B416" t="s">
        <v>14</v>
      </c>
      <c r="C416" t="s">
        <v>102</v>
      </c>
      <c r="D416" s="19">
        <v>33525</v>
      </c>
      <c r="E416" t="s">
        <v>24</v>
      </c>
      <c r="F416">
        <v>11951069136</v>
      </c>
      <c r="G416" t="s">
        <v>16</v>
      </c>
      <c r="H416" s="18">
        <v>45</v>
      </c>
      <c r="J416" s="18"/>
      <c r="K416" t="s">
        <v>18</v>
      </c>
      <c r="L416" t="s">
        <v>28</v>
      </c>
      <c r="N416" s="16"/>
      <c r="O416" s="17"/>
      <c r="P416" s="17">
        <f t="shared" si="0"/>
        <v>45</v>
      </c>
      <c r="Q416" s="22"/>
      <c r="R416" s="23"/>
    </row>
    <row r="417" spans="1:18" ht="12.75">
      <c r="A417" s="22">
        <v>46306</v>
      </c>
      <c r="B417" t="s">
        <v>23</v>
      </c>
      <c r="C417" t="s">
        <v>202</v>
      </c>
      <c r="D417" s="19"/>
      <c r="E417" t="s">
        <v>24</v>
      </c>
      <c r="G417" t="s">
        <v>25</v>
      </c>
      <c r="H417" s="18">
        <v>80</v>
      </c>
      <c r="J417" s="18"/>
      <c r="K417" t="s">
        <v>18</v>
      </c>
      <c r="L417" t="s">
        <v>28</v>
      </c>
      <c r="N417" s="16"/>
      <c r="O417" s="17"/>
      <c r="P417" s="17">
        <f t="shared" si="0"/>
        <v>80</v>
      </c>
      <c r="Q417" s="22"/>
      <c r="R417" s="23"/>
    </row>
    <row r="418" spans="1:18" ht="12.75">
      <c r="A418" s="22">
        <v>46306</v>
      </c>
      <c r="B418" t="s">
        <v>14</v>
      </c>
      <c r="C418" t="s">
        <v>548</v>
      </c>
      <c r="D418" s="19"/>
      <c r="E418" t="s">
        <v>15</v>
      </c>
      <c r="F418">
        <v>11983726327</v>
      </c>
      <c r="G418" t="s">
        <v>38</v>
      </c>
      <c r="H418" s="18">
        <v>70</v>
      </c>
      <c r="J418" s="18"/>
      <c r="K418" t="s">
        <v>18</v>
      </c>
      <c r="L418" t="s">
        <v>34</v>
      </c>
      <c r="N418" s="16"/>
      <c r="O418" s="17"/>
      <c r="P418" s="17">
        <f t="shared" si="0"/>
        <v>70</v>
      </c>
      <c r="Q418" s="22"/>
      <c r="R418" s="23"/>
    </row>
    <row r="419" spans="1:18" ht="12.75">
      <c r="A419" s="22">
        <v>46307</v>
      </c>
      <c r="B419" t="s">
        <v>23</v>
      </c>
      <c r="C419" t="s">
        <v>237</v>
      </c>
      <c r="D419" s="19">
        <v>30371</v>
      </c>
      <c r="E419" t="s">
        <v>24</v>
      </c>
      <c r="F419">
        <v>11944581484</v>
      </c>
      <c r="G419" t="s">
        <v>25</v>
      </c>
      <c r="H419" s="18">
        <v>80</v>
      </c>
      <c r="J419" s="18"/>
      <c r="K419" t="s">
        <v>18</v>
      </c>
      <c r="L419" t="s">
        <v>34</v>
      </c>
      <c r="N419" s="16"/>
      <c r="O419" s="17"/>
      <c r="P419" s="17">
        <f t="shared" si="0"/>
        <v>80</v>
      </c>
      <c r="Q419" s="22"/>
      <c r="R419" s="23"/>
    </row>
    <row r="420" spans="1:18" ht="12.75">
      <c r="A420" s="22">
        <v>46307</v>
      </c>
      <c r="B420" t="s">
        <v>14</v>
      </c>
      <c r="C420" t="s">
        <v>100</v>
      </c>
      <c r="D420" s="19"/>
      <c r="E420" t="s">
        <v>24</v>
      </c>
      <c r="G420" t="s">
        <v>32</v>
      </c>
      <c r="H420" s="18">
        <v>35</v>
      </c>
      <c r="J420" s="18"/>
      <c r="K420" t="s">
        <v>18</v>
      </c>
      <c r="L420" t="s">
        <v>34</v>
      </c>
      <c r="N420" s="16"/>
      <c r="O420" s="17"/>
      <c r="P420" s="17">
        <f t="shared" si="0"/>
        <v>35</v>
      </c>
      <c r="Q420" s="22"/>
      <c r="R420" s="23"/>
    </row>
    <row r="421" spans="1:18" ht="12.75">
      <c r="A421" s="22">
        <v>46307</v>
      </c>
      <c r="B421" t="s">
        <v>23</v>
      </c>
      <c r="C421" t="s">
        <v>193</v>
      </c>
      <c r="D421" s="19">
        <v>28765</v>
      </c>
      <c r="E421" t="s">
        <v>24</v>
      </c>
      <c r="F421">
        <v>11983492025</v>
      </c>
      <c r="G421" t="s">
        <v>16</v>
      </c>
      <c r="H421" s="18">
        <v>45</v>
      </c>
      <c r="J421" s="18"/>
      <c r="K421" t="s">
        <v>18</v>
      </c>
      <c r="L421" t="s">
        <v>34</v>
      </c>
      <c r="N421" s="16"/>
      <c r="O421" s="17"/>
      <c r="P421" s="17">
        <f t="shared" si="0"/>
        <v>45</v>
      </c>
      <c r="Q421" s="22"/>
      <c r="R421" s="23"/>
    </row>
    <row r="422" spans="1:18" ht="12.75">
      <c r="A422" s="22">
        <v>46307</v>
      </c>
      <c r="B422" t="s">
        <v>14</v>
      </c>
      <c r="C422" t="s">
        <v>550</v>
      </c>
      <c r="D422" s="19"/>
      <c r="E422" t="s">
        <v>15</v>
      </c>
      <c r="F422">
        <v>11986891254</v>
      </c>
      <c r="G422" t="s">
        <v>16</v>
      </c>
      <c r="H422" s="18">
        <v>45</v>
      </c>
      <c r="J422" s="18"/>
      <c r="K422" t="s">
        <v>18</v>
      </c>
      <c r="L422" t="s">
        <v>34</v>
      </c>
      <c r="N422" s="16"/>
      <c r="O422" s="17"/>
      <c r="P422" s="17">
        <f t="shared" si="0"/>
        <v>45</v>
      </c>
      <c r="Q422" s="22"/>
      <c r="R422" s="23"/>
    </row>
    <row r="423" spans="1:18" ht="12.75">
      <c r="A423" s="22">
        <v>46307</v>
      </c>
      <c r="B423" t="s">
        <v>14</v>
      </c>
      <c r="C423" t="s">
        <v>113</v>
      </c>
      <c r="D423" s="19"/>
      <c r="E423" t="s">
        <v>24</v>
      </c>
      <c r="G423" t="s">
        <v>16</v>
      </c>
      <c r="H423" s="18">
        <v>45</v>
      </c>
      <c r="J423" s="18"/>
      <c r="K423" t="s">
        <v>18</v>
      </c>
      <c r="L423" t="s">
        <v>34</v>
      </c>
      <c r="N423" s="16"/>
      <c r="O423" s="17"/>
      <c r="P423" s="17">
        <f t="shared" si="0"/>
        <v>45</v>
      </c>
      <c r="Q423" s="22"/>
      <c r="R423" s="23"/>
    </row>
    <row r="424" spans="1:18" ht="12.75">
      <c r="A424" s="22">
        <v>46307</v>
      </c>
      <c r="B424" t="s">
        <v>23</v>
      </c>
      <c r="C424" t="s">
        <v>228</v>
      </c>
      <c r="D424" s="19">
        <v>27618</v>
      </c>
      <c r="E424" t="s">
        <v>24</v>
      </c>
      <c r="F424">
        <v>11986439041</v>
      </c>
      <c r="G424" t="s">
        <v>16</v>
      </c>
      <c r="H424" s="18">
        <v>45</v>
      </c>
      <c r="J424" s="18"/>
      <c r="K424" t="s">
        <v>27</v>
      </c>
      <c r="L424" t="s">
        <v>27</v>
      </c>
      <c r="N424" s="16"/>
      <c r="O424" s="17"/>
      <c r="P424" s="17">
        <f t="shared" si="0"/>
        <v>45</v>
      </c>
      <c r="Q424" s="22"/>
      <c r="R424" s="23"/>
    </row>
    <row r="425" spans="1:18" ht="12.75">
      <c r="A425" s="22">
        <v>46307</v>
      </c>
      <c r="B425" t="s">
        <v>14</v>
      </c>
      <c r="C425" t="s">
        <v>173</v>
      </c>
      <c r="D425" s="19">
        <v>31209</v>
      </c>
      <c r="E425" t="s">
        <v>24</v>
      </c>
      <c r="F425">
        <v>11910346719</v>
      </c>
      <c r="G425" t="s">
        <v>16</v>
      </c>
      <c r="H425" s="18">
        <v>45</v>
      </c>
      <c r="J425" s="18"/>
      <c r="K425" t="s">
        <v>18</v>
      </c>
      <c r="L425" t="s">
        <v>39</v>
      </c>
      <c r="N425" s="16"/>
      <c r="O425" s="17"/>
      <c r="P425" s="17">
        <f t="shared" si="0"/>
        <v>45</v>
      </c>
      <c r="Q425" s="22"/>
      <c r="R425" s="23"/>
    </row>
    <row r="426" spans="1:18" ht="12.75">
      <c r="A426" s="22">
        <v>46307</v>
      </c>
      <c r="B426" t="s">
        <v>14</v>
      </c>
      <c r="C426" t="s">
        <v>116</v>
      </c>
      <c r="D426" s="19"/>
      <c r="E426" t="s">
        <v>24</v>
      </c>
      <c r="G426" t="s">
        <v>38</v>
      </c>
      <c r="H426" s="18">
        <v>70</v>
      </c>
      <c r="J426" s="18"/>
      <c r="K426" t="s">
        <v>18</v>
      </c>
      <c r="L426" t="s">
        <v>39</v>
      </c>
      <c r="N426" s="16"/>
      <c r="O426" s="17"/>
      <c r="P426" s="17">
        <f t="shared" si="0"/>
        <v>70</v>
      </c>
      <c r="Q426" s="22"/>
      <c r="R426" s="23"/>
    </row>
    <row r="427" spans="1:18" ht="12.75">
      <c r="A427" s="22">
        <v>46307</v>
      </c>
      <c r="B427" t="s">
        <v>14</v>
      </c>
      <c r="C427" t="s">
        <v>223</v>
      </c>
      <c r="D427" s="19">
        <v>35532</v>
      </c>
      <c r="E427" t="s">
        <v>24</v>
      </c>
      <c r="F427">
        <v>11966006161</v>
      </c>
      <c r="G427" t="s">
        <v>16</v>
      </c>
      <c r="H427" s="18">
        <v>45</v>
      </c>
      <c r="J427" s="18"/>
      <c r="K427" t="s">
        <v>18</v>
      </c>
      <c r="L427" t="s">
        <v>39</v>
      </c>
      <c r="N427" s="16"/>
      <c r="O427" s="17"/>
      <c r="P427" s="17">
        <f t="shared" si="0"/>
        <v>45</v>
      </c>
      <c r="Q427" s="22"/>
      <c r="R427" s="23"/>
    </row>
    <row r="428" spans="1:18" ht="12.75">
      <c r="A428" s="22">
        <v>46307</v>
      </c>
      <c r="B428" t="s">
        <v>14</v>
      </c>
      <c r="C428" t="s">
        <v>221</v>
      </c>
      <c r="D428" s="19">
        <v>35938</v>
      </c>
      <c r="E428" t="s">
        <v>24</v>
      </c>
      <c r="F428">
        <v>11954398450</v>
      </c>
      <c r="G428" t="s">
        <v>38</v>
      </c>
      <c r="H428" s="18">
        <v>70</v>
      </c>
      <c r="J428" s="18"/>
      <c r="K428" t="s">
        <v>18</v>
      </c>
      <c r="L428" t="s">
        <v>39</v>
      </c>
      <c r="N428" s="16"/>
      <c r="O428" s="17"/>
      <c r="P428" s="17">
        <f t="shared" si="0"/>
        <v>70</v>
      </c>
      <c r="Q428" s="22"/>
      <c r="R428" s="23"/>
    </row>
    <row r="429" spans="1:18" ht="12.75">
      <c r="A429" s="22">
        <v>46307</v>
      </c>
      <c r="B429" t="s">
        <v>23</v>
      </c>
      <c r="C429" t="s">
        <v>81</v>
      </c>
      <c r="D429" s="19">
        <v>37281</v>
      </c>
      <c r="E429" t="s">
        <v>24</v>
      </c>
      <c r="F429">
        <v>11978210863</v>
      </c>
      <c r="G429" t="s">
        <v>16</v>
      </c>
      <c r="H429" s="18">
        <v>45</v>
      </c>
      <c r="J429" s="18"/>
      <c r="K429" t="s">
        <v>18</v>
      </c>
      <c r="L429" t="s">
        <v>39</v>
      </c>
      <c r="N429" s="16"/>
      <c r="O429" s="17"/>
      <c r="P429" s="17">
        <f t="shared" si="0"/>
        <v>45</v>
      </c>
      <c r="Q429" s="22"/>
      <c r="R429" s="23"/>
    </row>
    <row r="430" spans="1:18" ht="12.75">
      <c r="A430" s="22">
        <v>46307</v>
      </c>
      <c r="B430" t="s">
        <v>23</v>
      </c>
      <c r="C430" t="s">
        <v>334</v>
      </c>
      <c r="D430" s="19">
        <v>35744</v>
      </c>
      <c r="E430" t="s">
        <v>24</v>
      </c>
      <c r="F430">
        <v>11958421967</v>
      </c>
      <c r="G430" t="s">
        <v>25</v>
      </c>
      <c r="H430" s="18">
        <v>80</v>
      </c>
      <c r="J430" s="18"/>
      <c r="K430" t="s">
        <v>18</v>
      </c>
      <c r="L430" t="s">
        <v>19</v>
      </c>
      <c r="N430" s="16"/>
      <c r="O430" s="17"/>
      <c r="P430" s="17">
        <f t="shared" si="0"/>
        <v>80</v>
      </c>
      <c r="Q430" s="22"/>
      <c r="R430" s="23"/>
    </row>
    <row r="431" spans="1:18" ht="12.75">
      <c r="A431" s="22">
        <v>46308</v>
      </c>
      <c r="B431" t="s">
        <v>14</v>
      </c>
      <c r="C431" t="s">
        <v>216</v>
      </c>
      <c r="D431" s="19">
        <v>29784</v>
      </c>
      <c r="E431" t="s">
        <v>24</v>
      </c>
      <c r="F431">
        <v>11914298129</v>
      </c>
      <c r="G431" t="s">
        <v>16</v>
      </c>
      <c r="H431" s="18">
        <v>45</v>
      </c>
      <c r="J431" s="18"/>
      <c r="K431" t="s">
        <v>18</v>
      </c>
      <c r="L431" t="s">
        <v>28</v>
      </c>
      <c r="N431" s="16"/>
      <c r="O431" s="17"/>
      <c r="P431" s="17">
        <f t="shared" si="0"/>
        <v>45</v>
      </c>
      <c r="Q431" s="22"/>
      <c r="R431" s="23"/>
    </row>
    <row r="432" spans="1:18" ht="12.75">
      <c r="A432" s="22">
        <v>46308</v>
      </c>
      <c r="B432" t="s">
        <v>14</v>
      </c>
      <c r="C432" t="s">
        <v>192</v>
      </c>
      <c r="D432" s="19"/>
      <c r="E432" t="s">
        <v>24</v>
      </c>
      <c r="G432" t="s">
        <v>25</v>
      </c>
      <c r="H432" s="18">
        <v>80</v>
      </c>
      <c r="I432" t="s">
        <v>21</v>
      </c>
      <c r="J432" s="18">
        <v>10</v>
      </c>
      <c r="K432" t="s">
        <v>18</v>
      </c>
      <c r="L432" t="s">
        <v>34</v>
      </c>
      <c r="N432" s="16"/>
      <c r="O432" s="17"/>
      <c r="P432" s="17">
        <f t="shared" si="0"/>
        <v>90</v>
      </c>
      <c r="Q432" s="22"/>
      <c r="R432" s="23"/>
    </row>
    <row r="433" spans="1:18" ht="12.75">
      <c r="A433" s="22">
        <v>46308</v>
      </c>
      <c r="B433" t="s">
        <v>14</v>
      </c>
      <c r="C433" t="s">
        <v>480</v>
      </c>
      <c r="D433" s="19">
        <v>42180</v>
      </c>
      <c r="E433" t="s">
        <v>24</v>
      </c>
      <c r="F433">
        <v>11964662426</v>
      </c>
      <c r="G433" t="s">
        <v>16</v>
      </c>
      <c r="H433" s="18">
        <v>45</v>
      </c>
      <c r="J433" s="18"/>
      <c r="K433" t="s">
        <v>18</v>
      </c>
      <c r="L433" t="s">
        <v>34</v>
      </c>
      <c r="N433" s="16"/>
      <c r="O433" s="17"/>
      <c r="P433" s="17">
        <f t="shared" si="0"/>
        <v>45</v>
      </c>
      <c r="Q433" s="22"/>
      <c r="R433" s="23"/>
    </row>
    <row r="434" spans="1:18" ht="12.75">
      <c r="A434" s="22">
        <v>46308</v>
      </c>
      <c r="B434" t="s">
        <v>14</v>
      </c>
      <c r="C434" t="s">
        <v>83</v>
      </c>
      <c r="D434" s="19">
        <v>32039</v>
      </c>
      <c r="E434" t="s">
        <v>24</v>
      </c>
      <c r="F434">
        <v>11952032420</v>
      </c>
      <c r="G434" t="s">
        <v>32</v>
      </c>
      <c r="H434" s="18">
        <v>35</v>
      </c>
      <c r="J434" s="18"/>
      <c r="K434" t="s">
        <v>18</v>
      </c>
      <c r="L434" t="s">
        <v>39</v>
      </c>
      <c r="N434" s="16"/>
      <c r="O434" s="17"/>
      <c r="P434" s="17">
        <f t="shared" si="0"/>
        <v>35</v>
      </c>
      <c r="Q434" s="22"/>
      <c r="R434" s="23"/>
    </row>
    <row r="435" spans="1:18" ht="12.75">
      <c r="A435" s="22">
        <v>46308</v>
      </c>
      <c r="B435" t="s">
        <v>14</v>
      </c>
      <c r="C435" t="s">
        <v>167</v>
      </c>
      <c r="D435" s="19">
        <v>29147</v>
      </c>
      <c r="E435" t="s">
        <v>24</v>
      </c>
      <c r="F435">
        <v>11998099274</v>
      </c>
      <c r="G435" t="s">
        <v>16</v>
      </c>
      <c r="H435" s="18">
        <v>45</v>
      </c>
      <c r="I435" t="s">
        <v>12</v>
      </c>
      <c r="J435" s="18">
        <v>20</v>
      </c>
      <c r="K435" t="s">
        <v>18</v>
      </c>
      <c r="L435" t="s">
        <v>34</v>
      </c>
      <c r="N435" s="16"/>
      <c r="O435" s="17"/>
      <c r="P435" s="17">
        <f t="shared" ref="P435:P498" si="1">H435+J435+S435</f>
        <v>65</v>
      </c>
      <c r="Q435" s="22"/>
      <c r="R435" s="23"/>
    </row>
    <row r="436" spans="1:18" ht="12.75">
      <c r="A436" s="22">
        <v>46308</v>
      </c>
      <c r="B436" t="s">
        <v>14</v>
      </c>
      <c r="C436" t="s">
        <v>133</v>
      </c>
      <c r="D436" s="19">
        <v>37148</v>
      </c>
      <c r="E436" t="s">
        <v>24</v>
      </c>
      <c r="F436">
        <v>11990004740</v>
      </c>
      <c r="G436" t="s">
        <v>16</v>
      </c>
      <c r="H436" s="18">
        <v>45</v>
      </c>
      <c r="J436" s="18"/>
      <c r="K436" t="s">
        <v>18</v>
      </c>
      <c r="L436" t="s">
        <v>39</v>
      </c>
      <c r="N436" s="16"/>
      <c r="O436" s="17"/>
      <c r="P436" s="17">
        <f t="shared" si="1"/>
        <v>45</v>
      </c>
      <c r="Q436" s="22"/>
      <c r="R436" s="23"/>
    </row>
    <row r="437" spans="1:18" ht="12.75">
      <c r="A437" s="22">
        <v>46308</v>
      </c>
      <c r="B437" t="s">
        <v>23</v>
      </c>
      <c r="C437" t="s">
        <v>164</v>
      </c>
      <c r="D437" s="19">
        <v>35311</v>
      </c>
      <c r="E437" t="s">
        <v>24</v>
      </c>
      <c r="F437">
        <v>11915132069</v>
      </c>
      <c r="G437" t="s">
        <v>32</v>
      </c>
      <c r="H437" s="18">
        <v>35</v>
      </c>
      <c r="J437" s="18"/>
      <c r="K437" t="s">
        <v>18</v>
      </c>
      <c r="L437" t="s">
        <v>34</v>
      </c>
      <c r="N437" s="16"/>
      <c r="O437" s="17"/>
      <c r="P437" s="17">
        <f t="shared" si="1"/>
        <v>35</v>
      </c>
      <c r="Q437" s="22"/>
      <c r="R437" s="23"/>
    </row>
    <row r="438" spans="1:18" ht="12.75">
      <c r="A438" s="22">
        <v>46308</v>
      </c>
      <c r="B438" t="s">
        <v>14</v>
      </c>
      <c r="C438" t="s">
        <v>137</v>
      </c>
      <c r="D438" s="19">
        <v>34989</v>
      </c>
      <c r="E438" t="s">
        <v>24</v>
      </c>
      <c r="F438">
        <v>11932152052</v>
      </c>
      <c r="G438" t="s">
        <v>16</v>
      </c>
      <c r="H438" s="18">
        <v>45</v>
      </c>
      <c r="J438" s="18"/>
      <c r="K438" t="s">
        <v>18</v>
      </c>
      <c r="L438" t="s">
        <v>34</v>
      </c>
      <c r="N438" s="16"/>
      <c r="O438" s="17"/>
      <c r="P438" s="17">
        <f t="shared" si="1"/>
        <v>45</v>
      </c>
      <c r="Q438" s="22"/>
      <c r="R438" s="23"/>
    </row>
    <row r="439" spans="1:18" ht="12.75">
      <c r="A439" s="22">
        <v>46308</v>
      </c>
      <c r="B439" t="s">
        <v>23</v>
      </c>
      <c r="C439" t="s">
        <v>211</v>
      </c>
      <c r="D439" s="19">
        <v>36736</v>
      </c>
      <c r="E439" t="s">
        <v>24</v>
      </c>
      <c r="F439">
        <v>11947610335</v>
      </c>
      <c r="G439" t="s">
        <v>16</v>
      </c>
      <c r="H439" s="18">
        <v>45</v>
      </c>
      <c r="J439" s="18"/>
      <c r="K439" t="s">
        <v>18</v>
      </c>
      <c r="L439" t="s">
        <v>34</v>
      </c>
      <c r="N439" s="16"/>
      <c r="O439" s="17"/>
      <c r="P439" s="17">
        <f t="shared" si="1"/>
        <v>45</v>
      </c>
      <c r="Q439" s="22"/>
      <c r="R439" s="23"/>
    </row>
    <row r="440" spans="1:18" ht="12.75">
      <c r="A440" s="22">
        <v>46308</v>
      </c>
      <c r="B440" t="s">
        <v>14</v>
      </c>
      <c r="C440" t="s">
        <v>194</v>
      </c>
      <c r="D440" s="19">
        <v>36004</v>
      </c>
      <c r="E440" t="s">
        <v>24</v>
      </c>
      <c r="F440">
        <v>11957470599</v>
      </c>
      <c r="G440" t="s">
        <v>16</v>
      </c>
      <c r="H440" s="18">
        <v>45</v>
      </c>
      <c r="I440" t="s">
        <v>12</v>
      </c>
      <c r="J440" s="18">
        <v>20</v>
      </c>
      <c r="K440" t="s">
        <v>27</v>
      </c>
      <c r="L440" t="s">
        <v>27</v>
      </c>
      <c r="N440" s="16"/>
      <c r="O440" s="17"/>
      <c r="P440" s="17">
        <f t="shared" si="1"/>
        <v>65</v>
      </c>
      <c r="Q440" s="22"/>
      <c r="R440" s="23"/>
    </row>
    <row r="441" spans="1:18" ht="12.75">
      <c r="A441" s="22">
        <v>46308</v>
      </c>
      <c r="B441" t="s">
        <v>23</v>
      </c>
      <c r="C441" t="s">
        <v>357</v>
      </c>
      <c r="D441" s="19"/>
      <c r="E441" t="s">
        <v>24</v>
      </c>
      <c r="G441" t="s">
        <v>16</v>
      </c>
      <c r="H441" s="18">
        <v>45</v>
      </c>
      <c r="J441" s="18"/>
      <c r="K441" t="s">
        <v>18</v>
      </c>
      <c r="L441" t="s">
        <v>28</v>
      </c>
      <c r="N441" s="16"/>
      <c r="O441" s="17"/>
      <c r="P441" s="17">
        <f t="shared" si="1"/>
        <v>45</v>
      </c>
      <c r="Q441" s="22"/>
      <c r="R441" s="23"/>
    </row>
    <row r="442" spans="1:18" ht="12.75">
      <c r="A442" s="22">
        <v>46308</v>
      </c>
      <c r="B442" t="s">
        <v>14</v>
      </c>
      <c r="C442" t="s">
        <v>551</v>
      </c>
      <c r="D442" s="19"/>
      <c r="E442" t="s">
        <v>15</v>
      </c>
      <c r="F442">
        <v>11987381734</v>
      </c>
      <c r="G442" t="s">
        <v>16</v>
      </c>
      <c r="H442" s="18">
        <v>45</v>
      </c>
      <c r="J442" s="18"/>
      <c r="K442" t="s">
        <v>18</v>
      </c>
      <c r="L442" t="s">
        <v>34</v>
      </c>
      <c r="N442" s="16"/>
      <c r="O442" s="17"/>
      <c r="P442" s="17">
        <f t="shared" si="1"/>
        <v>45</v>
      </c>
      <c r="Q442" s="22"/>
      <c r="R442" s="23"/>
    </row>
    <row r="443" spans="1:18" ht="12.75">
      <c r="A443" s="22">
        <v>46309</v>
      </c>
      <c r="B443" t="s">
        <v>14</v>
      </c>
      <c r="C443" t="s">
        <v>210</v>
      </c>
      <c r="D443" s="19"/>
      <c r="E443" t="s">
        <v>24</v>
      </c>
      <c r="G443" t="s">
        <v>16</v>
      </c>
      <c r="H443" s="18">
        <v>45</v>
      </c>
      <c r="I443" t="s">
        <v>30</v>
      </c>
      <c r="J443" s="18">
        <v>40</v>
      </c>
      <c r="K443" t="s">
        <v>18</v>
      </c>
      <c r="L443" t="s">
        <v>39</v>
      </c>
      <c r="N443" s="16"/>
      <c r="O443" s="17"/>
      <c r="P443" s="17">
        <f t="shared" si="1"/>
        <v>85</v>
      </c>
      <c r="Q443" s="22"/>
      <c r="R443" s="23"/>
    </row>
    <row r="444" spans="1:18" ht="12.75">
      <c r="A444" s="22">
        <v>46309</v>
      </c>
      <c r="B444" t="s">
        <v>14</v>
      </c>
      <c r="C444" t="s">
        <v>147</v>
      </c>
      <c r="D444" s="19">
        <v>34983</v>
      </c>
      <c r="E444" t="s">
        <v>24</v>
      </c>
      <c r="F444">
        <v>11982755035</v>
      </c>
      <c r="G444" t="s">
        <v>46</v>
      </c>
      <c r="H444" s="18">
        <v>30</v>
      </c>
      <c r="J444" s="18"/>
      <c r="K444" t="s">
        <v>18</v>
      </c>
      <c r="L444" t="s">
        <v>39</v>
      </c>
      <c r="N444" s="16"/>
      <c r="O444" s="17"/>
      <c r="P444" s="17">
        <f t="shared" si="1"/>
        <v>30</v>
      </c>
      <c r="Q444" s="22"/>
      <c r="R444" s="23"/>
    </row>
    <row r="445" spans="1:18" ht="12.75">
      <c r="A445" s="22">
        <v>46309</v>
      </c>
      <c r="B445" t="s">
        <v>14</v>
      </c>
      <c r="C445" t="s">
        <v>218</v>
      </c>
      <c r="D445" s="19"/>
      <c r="E445" t="s">
        <v>24</v>
      </c>
      <c r="G445" t="s">
        <v>16</v>
      </c>
      <c r="H445" s="18">
        <v>45</v>
      </c>
      <c r="J445" s="18"/>
      <c r="K445" t="s">
        <v>27</v>
      </c>
      <c r="L445" t="s">
        <v>27</v>
      </c>
      <c r="N445" s="16"/>
      <c r="O445" s="17"/>
      <c r="P445" s="17">
        <f t="shared" si="1"/>
        <v>45</v>
      </c>
      <c r="Q445" s="22"/>
      <c r="R445" s="23"/>
    </row>
    <row r="446" spans="1:18" ht="12.75">
      <c r="A446" s="22">
        <v>46309</v>
      </c>
      <c r="B446" t="s">
        <v>23</v>
      </c>
      <c r="C446" t="s">
        <v>346</v>
      </c>
      <c r="D446" s="19">
        <v>29606</v>
      </c>
      <c r="E446" t="s">
        <v>24</v>
      </c>
      <c r="F446">
        <v>11991603313</v>
      </c>
      <c r="G446" t="s">
        <v>16</v>
      </c>
      <c r="H446" s="18">
        <v>45</v>
      </c>
      <c r="J446" s="18"/>
      <c r="K446" t="s">
        <v>18</v>
      </c>
      <c r="L446" t="s">
        <v>39</v>
      </c>
      <c r="N446" s="16"/>
      <c r="O446" s="17"/>
      <c r="P446" s="17">
        <f t="shared" si="1"/>
        <v>45</v>
      </c>
      <c r="Q446" s="22"/>
      <c r="R446" s="23"/>
    </row>
    <row r="447" spans="1:18" ht="12.75">
      <c r="A447" s="22">
        <v>46309</v>
      </c>
      <c r="B447" t="s">
        <v>23</v>
      </c>
      <c r="C447" t="s">
        <v>122</v>
      </c>
      <c r="D447" s="19">
        <v>36981</v>
      </c>
      <c r="E447" t="s">
        <v>24</v>
      </c>
      <c r="F447">
        <v>11969211468</v>
      </c>
      <c r="G447" t="s">
        <v>16</v>
      </c>
      <c r="H447" s="18">
        <v>45</v>
      </c>
      <c r="J447" s="18"/>
      <c r="K447" t="s">
        <v>27</v>
      </c>
      <c r="L447" t="s">
        <v>27</v>
      </c>
      <c r="N447" s="16"/>
      <c r="O447" s="17"/>
      <c r="P447" s="17">
        <f t="shared" si="1"/>
        <v>45</v>
      </c>
      <c r="Q447" s="22"/>
      <c r="R447" s="23"/>
    </row>
    <row r="448" spans="1:18" ht="12.75">
      <c r="A448" s="22">
        <v>46309</v>
      </c>
      <c r="B448" t="s">
        <v>23</v>
      </c>
      <c r="C448" t="s">
        <v>116</v>
      </c>
      <c r="D448" s="19"/>
      <c r="E448" t="s">
        <v>24</v>
      </c>
      <c r="G448" t="s">
        <v>25</v>
      </c>
      <c r="H448" s="18">
        <v>80</v>
      </c>
      <c r="J448" s="18"/>
      <c r="K448" t="s">
        <v>18</v>
      </c>
      <c r="L448" t="s">
        <v>28</v>
      </c>
      <c r="N448" s="16"/>
      <c r="O448" s="17"/>
      <c r="P448" s="17">
        <f t="shared" si="1"/>
        <v>80</v>
      </c>
      <c r="Q448" s="22"/>
      <c r="R448" s="23"/>
    </row>
    <row r="449" spans="1:18" ht="12.75">
      <c r="A449" s="22">
        <v>46309</v>
      </c>
      <c r="B449" t="s">
        <v>14</v>
      </c>
      <c r="C449" t="s">
        <v>120</v>
      </c>
      <c r="D449" s="19"/>
      <c r="E449" t="s">
        <v>24</v>
      </c>
      <c r="G449" t="s">
        <v>16</v>
      </c>
      <c r="H449" s="18">
        <v>45</v>
      </c>
      <c r="I449" t="s">
        <v>21</v>
      </c>
      <c r="J449" s="18">
        <v>10</v>
      </c>
      <c r="K449" t="s">
        <v>18</v>
      </c>
      <c r="L449" t="s">
        <v>34</v>
      </c>
      <c r="N449" s="16"/>
      <c r="O449" s="17"/>
      <c r="P449" s="17">
        <f t="shared" si="1"/>
        <v>55</v>
      </c>
      <c r="Q449" s="22"/>
      <c r="R449" s="23"/>
    </row>
    <row r="450" spans="1:18" ht="12.75">
      <c r="A450" s="22">
        <v>46309</v>
      </c>
      <c r="B450" t="s">
        <v>23</v>
      </c>
      <c r="C450" t="s">
        <v>167</v>
      </c>
      <c r="D450" s="19">
        <v>29147</v>
      </c>
      <c r="E450" t="s">
        <v>24</v>
      </c>
      <c r="F450">
        <v>11998099274</v>
      </c>
      <c r="G450" t="s">
        <v>16</v>
      </c>
      <c r="H450" s="18">
        <v>45</v>
      </c>
      <c r="J450" s="18"/>
      <c r="K450" t="s">
        <v>18</v>
      </c>
      <c r="L450" t="s">
        <v>39</v>
      </c>
      <c r="N450" s="16"/>
      <c r="O450" s="17"/>
      <c r="P450" s="17">
        <f t="shared" si="1"/>
        <v>45</v>
      </c>
      <c r="Q450" s="22"/>
      <c r="R450" s="23"/>
    </row>
    <row r="451" spans="1:18" ht="12.75">
      <c r="A451" s="22">
        <v>46309</v>
      </c>
      <c r="B451" t="s">
        <v>14</v>
      </c>
      <c r="C451" t="s">
        <v>552</v>
      </c>
      <c r="D451" s="19"/>
      <c r="E451" t="s">
        <v>15</v>
      </c>
      <c r="F451">
        <v>11981430812</v>
      </c>
      <c r="G451" t="s">
        <v>32</v>
      </c>
      <c r="H451" s="18">
        <v>35</v>
      </c>
      <c r="J451" s="18"/>
      <c r="K451" t="s">
        <v>18</v>
      </c>
      <c r="L451" t="s">
        <v>34</v>
      </c>
      <c r="N451" s="16"/>
      <c r="O451" s="17"/>
      <c r="P451" s="17">
        <f t="shared" si="1"/>
        <v>35</v>
      </c>
      <c r="Q451" s="22"/>
      <c r="R451" s="23"/>
    </row>
    <row r="452" spans="1:18" ht="12.75">
      <c r="A452" s="22">
        <v>46309</v>
      </c>
      <c r="B452" t="s">
        <v>14</v>
      </c>
      <c r="C452" t="s">
        <v>522</v>
      </c>
      <c r="D452" s="19">
        <v>31831</v>
      </c>
      <c r="E452" t="s">
        <v>24</v>
      </c>
      <c r="F452">
        <v>11992020639</v>
      </c>
      <c r="G452" t="s">
        <v>25</v>
      </c>
      <c r="H452" s="18">
        <v>80</v>
      </c>
      <c r="J452" s="18"/>
      <c r="K452" t="s">
        <v>18</v>
      </c>
      <c r="L452" t="s">
        <v>34</v>
      </c>
      <c r="N452" s="16"/>
      <c r="O452" s="17"/>
      <c r="P452" s="17">
        <f t="shared" si="1"/>
        <v>80</v>
      </c>
      <c r="Q452" s="22"/>
      <c r="R452" s="23"/>
    </row>
    <row r="453" spans="1:18" ht="12.75">
      <c r="A453" s="22">
        <v>46310</v>
      </c>
      <c r="B453" t="s">
        <v>14</v>
      </c>
      <c r="C453" t="s">
        <v>429</v>
      </c>
      <c r="D453" s="19">
        <v>17607</v>
      </c>
      <c r="E453" t="s">
        <v>24</v>
      </c>
      <c r="F453">
        <v>11997858734</v>
      </c>
      <c r="G453" t="s">
        <v>25</v>
      </c>
      <c r="H453" s="18">
        <v>80</v>
      </c>
      <c r="J453" s="18"/>
      <c r="K453" t="s">
        <v>18</v>
      </c>
      <c r="L453" t="s">
        <v>34</v>
      </c>
      <c r="N453" s="16"/>
      <c r="O453" s="17"/>
      <c r="P453" s="17">
        <f t="shared" si="1"/>
        <v>80</v>
      </c>
      <c r="Q453" s="22"/>
      <c r="R453" s="23"/>
    </row>
    <row r="454" spans="1:18" ht="12.75">
      <c r="A454" s="22">
        <v>46310</v>
      </c>
      <c r="B454" t="s">
        <v>23</v>
      </c>
      <c r="C454" t="s">
        <v>315</v>
      </c>
      <c r="D454" s="19">
        <v>34698</v>
      </c>
      <c r="E454" t="s">
        <v>24</v>
      </c>
      <c r="F454">
        <v>11913130479</v>
      </c>
      <c r="G454" t="s">
        <v>25</v>
      </c>
      <c r="H454" s="18">
        <v>80</v>
      </c>
      <c r="I454" t="s">
        <v>30</v>
      </c>
      <c r="J454" s="18">
        <v>40</v>
      </c>
      <c r="K454" t="s">
        <v>18</v>
      </c>
      <c r="L454" t="s">
        <v>28</v>
      </c>
      <c r="N454" s="16"/>
      <c r="O454" s="17"/>
      <c r="P454" s="17">
        <f t="shared" si="1"/>
        <v>120</v>
      </c>
      <c r="Q454" s="22"/>
      <c r="R454" s="23"/>
    </row>
    <row r="455" spans="1:18" ht="12.75">
      <c r="A455" s="22">
        <v>46310</v>
      </c>
      <c r="B455" t="s">
        <v>14</v>
      </c>
      <c r="C455" t="s">
        <v>297</v>
      </c>
      <c r="D455" s="19">
        <v>36766</v>
      </c>
      <c r="E455" t="s">
        <v>24</v>
      </c>
      <c r="G455" t="s">
        <v>38</v>
      </c>
      <c r="H455" s="18">
        <v>70</v>
      </c>
      <c r="J455" s="18"/>
      <c r="K455" t="s">
        <v>18</v>
      </c>
      <c r="L455" t="s">
        <v>34</v>
      </c>
      <c r="N455" s="16"/>
      <c r="O455" s="17"/>
      <c r="P455" s="17">
        <f t="shared" si="1"/>
        <v>70</v>
      </c>
      <c r="Q455" s="22"/>
      <c r="R455" s="23"/>
    </row>
    <row r="456" spans="1:18" ht="12.75">
      <c r="A456" s="22">
        <v>46310</v>
      </c>
      <c r="B456" t="s">
        <v>23</v>
      </c>
      <c r="C456" t="s">
        <v>101</v>
      </c>
      <c r="D456" s="19">
        <v>38070</v>
      </c>
      <c r="E456" t="s">
        <v>24</v>
      </c>
      <c r="F456">
        <v>11993117433</v>
      </c>
      <c r="G456" t="s">
        <v>16</v>
      </c>
      <c r="H456" s="18">
        <v>45</v>
      </c>
      <c r="J456" s="18"/>
      <c r="K456" t="s">
        <v>18</v>
      </c>
      <c r="L456" t="s">
        <v>34</v>
      </c>
      <c r="N456" s="16"/>
      <c r="O456" s="17"/>
      <c r="P456" s="17">
        <f t="shared" si="1"/>
        <v>45</v>
      </c>
      <c r="Q456" s="22"/>
      <c r="R456" s="23"/>
    </row>
    <row r="457" spans="1:18" ht="12.75">
      <c r="A457" s="22">
        <v>46310</v>
      </c>
      <c r="B457" t="s">
        <v>23</v>
      </c>
      <c r="C457" t="s">
        <v>355</v>
      </c>
      <c r="D457" s="19"/>
      <c r="E457" t="s">
        <v>24</v>
      </c>
      <c r="G457" t="s">
        <v>16</v>
      </c>
      <c r="H457" s="18">
        <v>45</v>
      </c>
      <c r="J457" s="18"/>
      <c r="K457" t="s">
        <v>18</v>
      </c>
      <c r="L457" t="s">
        <v>34</v>
      </c>
      <c r="N457" s="16"/>
      <c r="O457" s="17"/>
      <c r="P457" s="17">
        <f t="shared" si="1"/>
        <v>45</v>
      </c>
      <c r="Q457" s="22"/>
      <c r="R457" s="23"/>
    </row>
    <row r="458" spans="1:18" ht="12.75">
      <c r="A458" s="22">
        <v>46310</v>
      </c>
      <c r="B458" t="s">
        <v>23</v>
      </c>
      <c r="C458" t="s">
        <v>120</v>
      </c>
      <c r="D458" s="19"/>
      <c r="E458" t="s">
        <v>24</v>
      </c>
      <c r="G458" t="s">
        <v>16</v>
      </c>
      <c r="H458" s="18">
        <v>45</v>
      </c>
      <c r="J458" s="18"/>
      <c r="K458" t="s">
        <v>18</v>
      </c>
      <c r="L458" t="s">
        <v>39</v>
      </c>
      <c r="N458" s="16"/>
      <c r="O458" s="17"/>
      <c r="P458" s="17">
        <f t="shared" si="1"/>
        <v>45</v>
      </c>
      <c r="Q458" s="22"/>
      <c r="R458" s="23"/>
    </row>
    <row r="459" spans="1:18" ht="12.75">
      <c r="A459" s="22">
        <v>46310</v>
      </c>
      <c r="B459" t="s">
        <v>23</v>
      </c>
      <c r="C459" t="s">
        <v>126</v>
      </c>
      <c r="D459" s="19">
        <v>33764</v>
      </c>
      <c r="E459" t="s">
        <v>24</v>
      </c>
      <c r="F459">
        <v>11991040876</v>
      </c>
      <c r="G459" t="s">
        <v>38</v>
      </c>
      <c r="H459" s="18">
        <v>70</v>
      </c>
      <c r="I459" t="s">
        <v>41</v>
      </c>
      <c r="J459" s="18">
        <v>25</v>
      </c>
      <c r="K459" t="s">
        <v>18</v>
      </c>
      <c r="L459" t="s">
        <v>39</v>
      </c>
      <c r="N459" s="16"/>
      <c r="O459" s="17"/>
      <c r="P459" s="17">
        <f t="shared" si="1"/>
        <v>95</v>
      </c>
      <c r="Q459" s="22"/>
      <c r="R459" s="23"/>
    </row>
    <row r="460" spans="1:18" ht="12.75">
      <c r="A460" s="22">
        <v>46310</v>
      </c>
      <c r="B460" t="s">
        <v>23</v>
      </c>
      <c r="C460" t="s">
        <v>374</v>
      </c>
      <c r="D460" s="19"/>
      <c r="E460" t="s">
        <v>24</v>
      </c>
      <c r="F460">
        <v>11963562729</v>
      </c>
      <c r="G460" t="s">
        <v>16</v>
      </c>
      <c r="H460" s="18">
        <v>45</v>
      </c>
      <c r="I460" t="s">
        <v>30</v>
      </c>
      <c r="J460" s="18">
        <v>40</v>
      </c>
      <c r="K460" t="s">
        <v>18</v>
      </c>
      <c r="L460" t="s">
        <v>39</v>
      </c>
      <c r="N460" s="16"/>
      <c r="O460" s="17"/>
      <c r="P460" s="17">
        <f t="shared" si="1"/>
        <v>85</v>
      </c>
      <c r="Q460" s="22"/>
      <c r="R460" s="23"/>
    </row>
    <row r="461" spans="1:18" ht="12.75">
      <c r="A461" s="22">
        <v>46310</v>
      </c>
      <c r="B461" t="s">
        <v>23</v>
      </c>
      <c r="C461" t="s">
        <v>117</v>
      </c>
      <c r="D461" s="19"/>
      <c r="E461" t="s">
        <v>24</v>
      </c>
      <c r="G461" t="s">
        <v>16</v>
      </c>
      <c r="H461" s="18">
        <v>45</v>
      </c>
      <c r="J461" s="18"/>
      <c r="K461" t="s">
        <v>18</v>
      </c>
      <c r="L461" t="s">
        <v>39</v>
      </c>
      <c r="N461" s="16"/>
      <c r="O461" s="17"/>
      <c r="P461" s="17">
        <f t="shared" si="1"/>
        <v>45</v>
      </c>
      <c r="Q461" s="22"/>
      <c r="R461" s="23"/>
    </row>
    <row r="462" spans="1:18" ht="12.75">
      <c r="A462" s="22">
        <v>46310</v>
      </c>
      <c r="B462" t="s">
        <v>23</v>
      </c>
      <c r="C462" t="s">
        <v>346</v>
      </c>
      <c r="D462" s="19">
        <v>29606</v>
      </c>
      <c r="E462" t="s">
        <v>24</v>
      </c>
      <c r="F462">
        <v>11991603313</v>
      </c>
      <c r="G462" t="s">
        <v>16</v>
      </c>
      <c r="H462" s="18">
        <v>45</v>
      </c>
      <c r="J462" s="18"/>
      <c r="K462" t="s">
        <v>27</v>
      </c>
      <c r="L462" t="s">
        <v>27</v>
      </c>
      <c r="N462" s="16"/>
      <c r="O462" s="17"/>
      <c r="P462" s="17">
        <f t="shared" si="1"/>
        <v>45</v>
      </c>
      <c r="Q462" s="22"/>
      <c r="R462" s="23"/>
    </row>
    <row r="463" spans="1:18" ht="12.75">
      <c r="A463" s="22">
        <v>46310</v>
      </c>
      <c r="B463" t="s">
        <v>14</v>
      </c>
      <c r="C463" t="s">
        <v>404</v>
      </c>
      <c r="D463" s="19">
        <v>31504</v>
      </c>
      <c r="E463" t="s">
        <v>24</v>
      </c>
      <c r="F463">
        <v>11940460850</v>
      </c>
      <c r="G463" t="s">
        <v>38</v>
      </c>
      <c r="H463" s="18">
        <v>70</v>
      </c>
      <c r="J463" s="18"/>
      <c r="K463" t="s">
        <v>27</v>
      </c>
      <c r="L463" t="s">
        <v>27</v>
      </c>
      <c r="N463" s="16"/>
      <c r="O463" s="17"/>
      <c r="P463" s="17">
        <f t="shared" si="1"/>
        <v>70</v>
      </c>
      <c r="Q463" s="22"/>
      <c r="R463" s="23"/>
    </row>
    <row r="464" spans="1:18" ht="12.75">
      <c r="A464" s="22">
        <v>46310</v>
      </c>
      <c r="B464" t="s">
        <v>23</v>
      </c>
      <c r="C464" t="s">
        <v>450</v>
      </c>
      <c r="D464" s="19"/>
      <c r="E464" t="s">
        <v>24</v>
      </c>
      <c r="G464" t="s">
        <v>38</v>
      </c>
      <c r="H464" s="18">
        <v>70</v>
      </c>
      <c r="J464" s="18"/>
      <c r="K464" t="s">
        <v>18</v>
      </c>
      <c r="L464" t="s">
        <v>34</v>
      </c>
      <c r="N464" s="16"/>
      <c r="O464" s="17"/>
      <c r="P464" s="17">
        <f t="shared" si="1"/>
        <v>70</v>
      </c>
      <c r="Q464" s="22"/>
      <c r="R464" s="23"/>
    </row>
    <row r="465" spans="1:18" ht="12.75">
      <c r="A465" s="22">
        <v>46311</v>
      </c>
      <c r="B465" t="s">
        <v>23</v>
      </c>
      <c r="C465" t="s">
        <v>172</v>
      </c>
      <c r="D465" s="19">
        <v>45335</v>
      </c>
      <c r="E465" t="s">
        <v>24</v>
      </c>
      <c r="F465">
        <v>11954680425</v>
      </c>
      <c r="G465" t="s">
        <v>16</v>
      </c>
      <c r="H465" s="18">
        <v>45</v>
      </c>
      <c r="J465" s="18"/>
      <c r="K465" t="s">
        <v>27</v>
      </c>
      <c r="L465" t="s">
        <v>27</v>
      </c>
      <c r="N465" s="16"/>
      <c r="O465" s="17"/>
      <c r="P465" s="17">
        <f t="shared" si="1"/>
        <v>45</v>
      </c>
      <c r="Q465" s="22"/>
      <c r="R465" s="23"/>
    </row>
    <row r="466" spans="1:18" ht="12.75">
      <c r="A466" s="22">
        <v>46311</v>
      </c>
      <c r="B466" t="s">
        <v>14</v>
      </c>
      <c r="C466" t="s">
        <v>549</v>
      </c>
      <c r="D466" s="19"/>
      <c r="E466" t="s">
        <v>15</v>
      </c>
      <c r="F466">
        <v>11985901239</v>
      </c>
      <c r="G466" t="s">
        <v>25</v>
      </c>
      <c r="H466" s="18">
        <v>80</v>
      </c>
      <c r="I466" t="s">
        <v>41</v>
      </c>
      <c r="J466" s="18">
        <v>25</v>
      </c>
      <c r="K466" t="s">
        <v>27</v>
      </c>
      <c r="L466" t="s">
        <v>27</v>
      </c>
      <c r="N466" s="16"/>
      <c r="O466" s="17"/>
      <c r="P466" s="17">
        <f t="shared" si="1"/>
        <v>105</v>
      </c>
      <c r="Q466" s="22"/>
      <c r="R466" s="23"/>
    </row>
    <row r="467" spans="1:18" ht="12.75">
      <c r="A467" s="22">
        <v>46311</v>
      </c>
      <c r="B467" t="s">
        <v>14</v>
      </c>
      <c r="C467" t="s">
        <v>157</v>
      </c>
      <c r="D467" s="19"/>
      <c r="E467" t="s">
        <v>24</v>
      </c>
      <c r="G467" t="s">
        <v>16</v>
      </c>
      <c r="H467" s="18">
        <v>45</v>
      </c>
      <c r="J467" s="18"/>
      <c r="K467" t="s">
        <v>18</v>
      </c>
      <c r="L467" t="s">
        <v>34</v>
      </c>
      <c r="N467" s="16"/>
      <c r="O467" s="17"/>
      <c r="P467" s="17">
        <f t="shared" si="1"/>
        <v>45</v>
      </c>
      <c r="Q467" s="22"/>
      <c r="R467" s="23"/>
    </row>
    <row r="468" spans="1:18" ht="12.75">
      <c r="A468" s="22">
        <v>46311</v>
      </c>
      <c r="B468" t="s">
        <v>23</v>
      </c>
      <c r="C468" t="s">
        <v>114</v>
      </c>
      <c r="D468" s="19"/>
      <c r="E468" t="s">
        <v>24</v>
      </c>
      <c r="G468" t="s">
        <v>16</v>
      </c>
      <c r="H468" s="18">
        <v>45</v>
      </c>
      <c r="I468" t="s">
        <v>21</v>
      </c>
      <c r="J468" s="18">
        <v>10</v>
      </c>
      <c r="K468" t="s">
        <v>27</v>
      </c>
      <c r="L468" t="s">
        <v>27</v>
      </c>
      <c r="N468" s="16"/>
      <c r="O468" s="17"/>
      <c r="P468" s="17">
        <f t="shared" si="1"/>
        <v>55</v>
      </c>
      <c r="Q468" s="22"/>
      <c r="R468" s="23"/>
    </row>
    <row r="469" spans="1:18" ht="12.75">
      <c r="A469" s="22">
        <v>46311</v>
      </c>
      <c r="B469" t="s">
        <v>23</v>
      </c>
      <c r="C469" t="s">
        <v>202</v>
      </c>
      <c r="D469" s="19"/>
      <c r="E469" t="s">
        <v>24</v>
      </c>
      <c r="G469" t="s">
        <v>16</v>
      </c>
      <c r="H469" s="18">
        <v>45</v>
      </c>
      <c r="J469" s="18"/>
      <c r="K469" t="s">
        <v>18</v>
      </c>
      <c r="L469" t="s">
        <v>39</v>
      </c>
      <c r="N469" s="16"/>
      <c r="O469" s="17"/>
      <c r="P469" s="17">
        <f t="shared" si="1"/>
        <v>45</v>
      </c>
      <c r="Q469" s="22"/>
      <c r="R469" s="23"/>
    </row>
    <row r="470" spans="1:18" ht="12.75">
      <c r="A470" s="22">
        <v>46311</v>
      </c>
      <c r="B470" t="s">
        <v>14</v>
      </c>
      <c r="C470" t="s">
        <v>130</v>
      </c>
      <c r="D470" s="19">
        <v>38774</v>
      </c>
      <c r="E470" t="s">
        <v>24</v>
      </c>
      <c r="F470">
        <v>11964662426</v>
      </c>
      <c r="G470" t="s">
        <v>16</v>
      </c>
      <c r="H470" s="18">
        <v>45</v>
      </c>
      <c r="J470" s="18"/>
      <c r="K470" t="s">
        <v>18</v>
      </c>
      <c r="L470" t="s">
        <v>19</v>
      </c>
      <c r="N470" s="16"/>
      <c r="O470" s="17"/>
      <c r="P470" s="17">
        <f t="shared" si="1"/>
        <v>45</v>
      </c>
      <c r="Q470" s="22"/>
      <c r="R470" s="23"/>
    </row>
    <row r="471" spans="1:18" ht="12.75">
      <c r="A471" s="22">
        <v>46311</v>
      </c>
      <c r="B471" t="s">
        <v>23</v>
      </c>
      <c r="C471" t="s">
        <v>111</v>
      </c>
      <c r="D471" s="19"/>
      <c r="E471" t="s">
        <v>24</v>
      </c>
      <c r="G471" t="s">
        <v>16</v>
      </c>
      <c r="H471" s="18">
        <v>45</v>
      </c>
      <c r="J471" s="18"/>
      <c r="K471" t="s">
        <v>18</v>
      </c>
      <c r="L471" t="s">
        <v>34</v>
      </c>
      <c r="N471" s="16"/>
      <c r="O471" s="17"/>
      <c r="P471" s="17">
        <f t="shared" si="1"/>
        <v>45</v>
      </c>
      <c r="Q471" s="22"/>
      <c r="R471" s="23"/>
    </row>
    <row r="472" spans="1:18" ht="12.75">
      <c r="A472" s="22">
        <v>46311</v>
      </c>
      <c r="B472" t="s">
        <v>14</v>
      </c>
      <c r="C472" t="s">
        <v>122</v>
      </c>
      <c r="D472" s="19">
        <v>36981</v>
      </c>
      <c r="E472" t="s">
        <v>24</v>
      </c>
      <c r="F472">
        <v>11969211468</v>
      </c>
      <c r="G472" t="s">
        <v>16</v>
      </c>
      <c r="H472" s="18">
        <v>45</v>
      </c>
      <c r="I472" t="s">
        <v>21</v>
      </c>
      <c r="J472" s="18">
        <v>10</v>
      </c>
      <c r="K472" t="s">
        <v>27</v>
      </c>
      <c r="L472" t="s">
        <v>27</v>
      </c>
      <c r="N472" s="16"/>
      <c r="O472" s="17"/>
      <c r="P472" s="17">
        <f t="shared" si="1"/>
        <v>55</v>
      </c>
      <c r="Q472" s="22"/>
      <c r="R472" s="23"/>
    </row>
    <row r="473" spans="1:18" ht="12.75">
      <c r="A473" s="22">
        <v>46311</v>
      </c>
      <c r="B473" t="s">
        <v>23</v>
      </c>
      <c r="C473" t="s">
        <v>454</v>
      </c>
      <c r="D473" s="19">
        <v>40928</v>
      </c>
      <c r="E473" t="s">
        <v>24</v>
      </c>
      <c r="F473">
        <v>11983382724</v>
      </c>
      <c r="G473" t="s">
        <v>16</v>
      </c>
      <c r="H473" s="18">
        <v>45</v>
      </c>
      <c r="I473" t="s">
        <v>30</v>
      </c>
      <c r="J473" s="18">
        <v>40</v>
      </c>
      <c r="K473" t="s">
        <v>18</v>
      </c>
      <c r="L473" t="s">
        <v>39</v>
      </c>
      <c r="N473" s="16"/>
      <c r="O473" s="17"/>
      <c r="P473" s="17">
        <f t="shared" si="1"/>
        <v>85</v>
      </c>
      <c r="Q473" s="22"/>
      <c r="R473" s="23"/>
    </row>
    <row r="474" spans="1:18" ht="12.75">
      <c r="A474" s="22">
        <v>46311</v>
      </c>
      <c r="B474" t="s">
        <v>23</v>
      </c>
      <c r="C474" t="s">
        <v>195</v>
      </c>
      <c r="D474" s="19">
        <v>26329</v>
      </c>
      <c r="E474" t="s">
        <v>24</v>
      </c>
      <c r="F474">
        <v>11976164732</v>
      </c>
      <c r="G474" t="s">
        <v>32</v>
      </c>
      <c r="H474" s="18">
        <v>35</v>
      </c>
      <c r="J474" s="18"/>
      <c r="K474" t="s">
        <v>18</v>
      </c>
      <c r="L474" t="s">
        <v>39</v>
      </c>
      <c r="N474" s="16"/>
      <c r="O474" s="17"/>
      <c r="P474" s="17">
        <f t="shared" si="1"/>
        <v>35</v>
      </c>
      <c r="Q474" s="22"/>
      <c r="R474" s="23"/>
    </row>
    <row r="475" spans="1:18" ht="12.75">
      <c r="A475" s="22">
        <v>46311</v>
      </c>
      <c r="B475" t="s">
        <v>14</v>
      </c>
      <c r="C475" t="s">
        <v>151</v>
      </c>
      <c r="D475" s="19">
        <v>26785</v>
      </c>
      <c r="E475" t="s">
        <v>24</v>
      </c>
      <c r="F475">
        <v>11976252001</v>
      </c>
      <c r="G475" t="s">
        <v>16</v>
      </c>
      <c r="H475" s="18">
        <v>45</v>
      </c>
      <c r="I475" t="s">
        <v>30</v>
      </c>
      <c r="J475" s="18">
        <v>40</v>
      </c>
      <c r="K475" t="s">
        <v>18</v>
      </c>
      <c r="L475" t="s">
        <v>34</v>
      </c>
      <c r="N475" s="16"/>
      <c r="O475" s="17"/>
      <c r="P475" s="17">
        <f t="shared" si="1"/>
        <v>85</v>
      </c>
      <c r="Q475" s="22"/>
      <c r="R475" s="23"/>
    </row>
    <row r="476" spans="1:18" ht="12.75">
      <c r="A476" s="22">
        <v>46311</v>
      </c>
      <c r="B476" t="s">
        <v>14</v>
      </c>
      <c r="C476" t="s">
        <v>454</v>
      </c>
      <c r="D476" s="19">
        <v>40928</v>
      </c>
      <c r="E476" t="s">
        <v>24</v>
      </c>
      <c r="F476">
        <v>11983382724</v>
      </c>
      <c r="G476" t="s">
        <v>25</v>
      </c>
      <c r="H476" s="18">
        <v>80</v>
      </c>
      <c r="J476" s="18"/>
      <c r="K476" t="s">
        <v>18</v>
      </c>
      <c r="L476" t="s">
        <v>34</v>
      </c>
      <c r="N476" s="16"/>
      <c r="O476" s="17"/>
      <c r="P476" s="17">
        <f t="shared" si="1"/>
        <v>80</v>
      </c>
      <c r="Q476" s="22"/>
      <c r="R476" s="23"/>
    </row>
    <row r="477" spans="1:18" ht="12.75">
      <c r="A477" s="22">
        <v>46311</v>
      </c>
      <c r="B477" t="s">
        <v>23</v>
      </c>
      <c r="C477" t="s">
        <v>210</v>
      </c>
      <c r="D477" s="19"/>
      <c r="E477" t="s">
        <v>24</v>
      </c>
      <c r="G477" t="s">
        <v>16</v>
      </c>
      <c r="H477" s="18">
        <v>45</v>
      </c>
      <c r="J477" s="18"/>
      <c r="K477" t="s">
        <v>27</v>
      </c>
      <c r="L477" t="s">
        <v>27</v>
      </c>
      <c r="N477" s="16"/>
      <c r="O477" s="17"/>
      <c r="P477" s="17">
        <f t="shared" si="1"/>
        <v>45</v>
      </c>
      <c r="Q477" s="22"/>
      <c r="R477" s="23"/>
    </row>
    <row r="478" spans="1:18" ht="12.75">
      <c r="A478" s="22">
        <v>46311</v>
      </c>
      <c r="B478" t="s">
        <v>14</v>
      </c>
      <c r="C478" t="s">
        <v>553</v>
      </c>
      <c r="D478" s="19"/>
      <c r="E478" t="s">
        <v>15</v>
      </c>
      <c r="F478">
        <v>11985200476</v>
      </c>
      <c r="G478" t="s">
        <v>16</v>
      </c>
      <c r="H478" s="18">
        <v>45</v>
      </c>
      <c r="J478" s="18"/>
      <c r="K478" t="s">
        <v>18</v>
      </c>
      <c r="L478" t="s">
        <v>28</v>
      </c>
      <c r="N478" s="16"/>
      <c r="O478" s="17"/>
      <c r="P478" s="17">
        <f t="shared" si="1"/>
        <v>45</v>
      </c>
      <c r="Q478" s="22"/>
      <c r="R478" s="23"/>
    </row>
    <row r="479" spans="1:18" ht="12.75">
      <c r="A479" s="22">
        <v>46311</v>
      </c>
      <c r="B479" t="s">
        <v>14</v>
      </c>
      <c r="C479" t="s">
        <v>550</v>
      </c>
      <c r="D479" s="19"/>
      <c r="E479" t="s">
        <v>15</v>
      </c>
      <c r="F479">
        <v>11981674975</v>
      </c>
      <c r="G479" t="s">
        <v>25</v>
      </c>
      <c r="H479" s="18">
        <v>80</v>
      </c>
      <c r="I479" t="s">
        <v>41</v>
      </c>
      <c r="J479" s="18">
        <v>25</v>
      </c>
      <c r="K479" t="s">
        <v>18</v>
      </c>
      <c r="L479" t="s">
        <v>34</v>
      </c>
      <c r="N479" s="16"/>
      <c r="O479" s="17"/>
      <c r="P479" s="17">
        <f t="shared" si="1"/>
        <v>105</v>
      </c>
      <c r="Q479" s="22"/>
      <c r="R479" s="23"/>
    </row>
    <row r="480" spans="1:18" ht="12.75">
      <c r="A480" s="22">
        <v>46311</v>
      </c>
      <c r="B480" t="s">
        <v>23</v>
      </c>
      <c r="C480" t="s">
        <v>374</v>
      </c>
      <c r="D480" s="19"/>
      <c r="E480" t="s">
        <v>24</v>
      </c>
      <c r="F480">
        <v>11963562729</v>
      </c>
      <c r="G480" t="s">
        <v>38</v>
      </c>
      <c r="H480" s="18">
        <v>70</v>
      </c>
      <c r="J480" s="18"/>
      <c r="K480" t="s">
        <v>18</v>
      </c>
      <c r="L480" t="s">
        <v>34</v>
      </c>
      <c r="N480" s="16"/>
      <c r="O480" s="17"/>
      <c r="P480" s="17">
        <f t="shared" si="1"/>
        <v>70</v>
      </c>
      <c r="Q480" s="22"/>
      <c r="R480" s="23"/>
    </row>
    <row r="481" spans="1:18" ht="12.75">
      <c r="A481" s="22">
        <v>46312</v>
      </c>
      <c r="B481" t="s">
        <v>14</v>
      </c>
      <c r="C481" t="s">
        <v>525</v>
      </c>
      <c r="D481" s="19"/>
      <c r="E481" t="s">
        <v>24</v>
      </c>
      <c r="G481" t="s">
        <v>16</v>
      </c>
      <c r="H481" s="18">
        <v>45</v>
      </c>
      <c r="J481" s="18"/>
      <c r="K481" t="s">
        <v>18</v>
      </c>
      <c r="L481" t="s">
        <v>39</v>
      </c>
      <c r="N481" s="16"/>
      <c r="O481" s="17"/>
      <c r="P481" s="17">
        <f t="shared" si="1"/>
        <v>45</v>
      </c>
      <c r="Q481" s="22"/>
      <c r="R481" s="23"/>
    </row>
    <row r="482" spans="1:18" ht="12.75">
      <c r="A482" s="22">
        <v>46312</v>
      </c>
      <c r="B482" t="s">
        <v>14</v>
      </c>
      <c r="C482" t="s">
        <v>231</v>
      </c>
      <c r="D482" s="19">
        <v>39590</v>
      </c>
      <c r="E482" t="s">
        <v>24</v>
      </c>
      <c r="F482">
        <v>11981988305</v>
      </c>
      <c r="G482" t="s">
        <v>16</v>
      </c>
      <c r="H482" s="18">
        <v>45</v>
      </c>
      <c r="I482" t="s">
        <v>41</v>
      </c>
      <c r="J482" s="18">
        <v>25</v>
      </c>
      <c r="K482" t="s">
        <v>18</v>
      </c>
      <c r="L482" t="s">
        <v>28</v>
      </c>
      <c r="N482" s="16"/>
      <c r="O482" s="17"/>
      <c r="P482" s="17">
        <f t="shared" si="1"/>
        <v>70</v>
      </c>
      <c r="Q482" s="22"/>
      <c r="R482" s="23"/>
    </row>
    <row r="483" spans="1:18" ht="12.75">
      <c r="A483" s="22">
        <v>46312</v>
      </c>
      <c r="B483" t="s">
        <v>14</v>
      </c>
      <c r="C483" t="s">
        <v>408</v>
      </c>
      <c r="D483" s="19">
        <v>26025</v>
      </c>
      <c r="E483" t="s">
        <v>24</v>
      </c>
      <c r="F483">
        <v>11996118317</v>
      </c>
      <c r="G483" t="s">
        <v>16</v>
      </c>
      <c r="H483" s="18">
        <v>45</v>
      </c>
      <c r="I483" t="s">
        <v>30</v>
      </c>
      <c r="J483" s="18">
        <v>40</v>
      </c>
      <c r="K483" t="s">
        <v>18</v>
      </c>
      <c r="L483" t="s">
        <v>34</v>
      </c>
      <c r="N483" s="16"/>
      <c r="O483" s="17"/>
      <c r="P483" s="17">
        <f t="shared" si="1"/>
        <v>85</v>
      </c>
      <c r="Q483" s="22"/>
      <c r="R483" s="23"/>
    </row>
    <row r="484" spans="1:18" ht="12.75">
      <c r="A484" s="22">
        <v>46312</v>
      </c>
      <c r="B484" t="s">
        <v>23</v>
      </c>
      <c r="C484" t="s">
        <v>182</v>
      </c>
      <c r="D484" s="19"/>
      <c r="E484" t="s">
        <v>24</v>
      </c>
      <c r="F484">
        <v>11988095150</v>
      </c>
      <c r="G484" t="s">
        <v>16</v>
      </c>
      <c r="H484" s="18">
        <v>45</v>
      </c>
      <c r="I484" t="s">
        <v>30</v>
      </c>
      <c r="J484" s="18">
        <v>40</v>
      </c>
      <c r="K484" t="s">
        <v>18</v>
      </c>
      <c r="L484" t="s">
        <v>39</v>
      </c>
      <c r="N484" s="16"/>
      <c r="O484" s="17"/>
      <c r="P484" s="17">
        <f t="shared" si="1"/>
        <v>85</v>
      </c>
      <c r="Q484" s="22"/>
      <c r="R484" s="23"/>
    </row>
    <row r="485" spans="1:18" ht="12.75">
      <c r="A485" s="22">
        <v>46312</v>
      </c>
      <c r="B485" t="s">
        <v>14</v>
      </c>
      <c r="C485" t="s">
        <v>480</v>
      </c>
      <c r="D485" s="19">
        <v>42180</v>
      </c>
      <c r="E485" t="s">
        <v>24</v>
      </c>
      <c r="F485">
        <v>11964662426</v>
      </c>
      <c r="G485" t="s">
        <v>16</v>
      </c>
      <c r="H485" s="18">
        <v>45</v>
      </c>
      <c r="J485" s="18"/>
      <c r="K485" t="s">
        <v>27</v>
      </c>
      <c r="L485" t="s">
        <v>27</v>
      </c>
      <c r="N485" s="16"/>
      <c r="O485" s="17"/>
      <c r="P485" s="17">
        <f t="shared" si="1"/>
        <v>45</v>
      </c>
      <c r="Q485" s="22"/>
      <c r="R485" s="23"/>
    </row>
    <row r="486" spans="1:18" ht="12.75">
      <c r="A486" s="22">
        <v>46312</v>
      </c>
      <c r="B486" t="s">
        <v>14</v>
      </c>
      <c r="C486" t="s">
        <v>128</v>
      </c>
      <c r="D486" s="19">
        <v>37032</v>
      </c>
      <c r="E486" t="s">
        <v>24</v>
      </c>
      <c r="F486">
        <v>11915526470</v>
      </c>
      <c r="G486" t="s">
        <v>16</v>
      </c>
      <c r="H486" s="18">
        <v>45</v>
      </c>
      <c r="J486" s="18"/>
      <c r="K486" t="s">
        <v>27</v>
      </c>
      <c r="L486" t="s">
        <v>27</v>
      </c>
      <c r="N486" s="16"/>
      <c r="O486" s="17"/>
      <c r="P486" s="17">
        <f t="shared" si="1"/>
        <v>45</v>
      </c>
      <c r="Q486" s="22"/>
      <c r="R486" s="23"/>
    </row>
    <row r="487" spans="1:18" ht="12.75">
      <c r="A487" s="22">
        <v>46312</v>
      </c>
      <c r="B487" t="s">
        <v>14</v>
      </c>
      <c r="C487" t="s">
        <v>160</v>
      </c>
      <c r="D487" s="19">
        <v>36855</v>
      </c>
      <c r="E487" t="s">
        <v>24</v>
      </c>
      <c r="F487">
        <v>11984708838</v>
      </c>
      <c r="G487" t="s">
        <v>16</v>
      </c>
      <c r="H487" s="18">
        <v>45</v>
      </c>
      <c r="J487" s="18"/>
      <c r="K487" t="s">
        <v>18</v>
      </c>
      <c r="L487" t="s">
        <v>34</v>
      </c>
      <c r="N487" s="16"/>
      <c r="O487" s="17"/>
      <c r="P487" s="17">
        <f t="shared" si="1"/>
        <v>45</v>
      </c>
      <c r="Q487" s="22"/>
      <c r="R487" s="23"/>
    </row>
    <row r="488" spans="1:18" ht="12.75">
      <c r="A488" s="22">
        <v>46312</v>
      </c>
      <c r="B488" t="s">
        <v>23</v>
      </c>
      <c r="C488" t="s">
        <v>548</v>
      </c>
      <c r="D488" s="19"/>
      <c r="E488" t="s">
        <v>15</v>
      </c>
      <c r="F488">
        <v>11988663605</v>
      </c>
      <c r="G488" t="s">
        <v>16</v>
      </c>
      <c r="H488" s="18">
        <v>45</v>
      </c>
      <c r="J488" s="18"/>
      <c r="K488" t="s">
        <v>18</v>
      </c>
      <c r="L488" t="s">
        <v>34</v>
      </c>
      <c r="N488" s="16"/>
      <c r="O488" s="17"/>
      <c r="P488" s="17">
        <f t="shared" si="1"/>
        <v>45</v>
      </c>
      <c r="Q488" s="22"/>
      <c r="R488" s="23"/>
    </row>
    <row r="489" spans="1:18" ht="12.75">
      <c r="A489" s="22">
        <v>46312</v>
      </c>
      <c r="B489" t="s">
        <v>14</v>
      </c>
      <c r="C489" t="s">
        <v>550</v>
      </c>
      <c r="D489" s="19"/>
      <c r="E489" t="s">
        <v>15</v>
      </c>
      <c r="F489">
        <v>11987961578</v>
      </c>
      <c r="G489" t="s">
        <v>16</v>
      </c>
      <c r="H489" s="18">
        <v>45</v>
      </c>
      <c r="J489" s="18"/>
      <c r="K489" t="s">
        <v>18</v>
      </c>
      <c r="L489" t="s">
        <v>34</v>
      </c>
      <c r="N489" s="16"/>
      <c r="O489" s="17"/>
      <c r="P489" s="17">
        <f t="shared" si="1"/>
        <v>45</v>
      </c>
      <c r="Q489" s="22"/>
      <c r="R489" s="23"/>
    </row>
    <row r="490" spans="1:18" ht="12.75">
      <c r="A490" s="22">
        <v>46312</v>
      </c>
      <c r="B490" t="s">
        <v>23</v>
      </c>
      <c r="C490" t="s">
        <v>441</v>
      </c>
      <c r="D490" s="19"/>
      <c r="E490" t="s">
        <v>24</v>
      </c>
      <c r="G490" t="s">
        <v>46</v>
      </c>
      <c r="H490" s="18">
        <v>30</v>
      </c>
      <c r="J490" s="18"/>
      <c r="K490" t="s">
        <v>27</v>
      </c>
      <c r="L490" t="s">
        <v>27</v>
      </c>
      <c r="N490" s="16"/>
      <c r="O490" s="17"/>
      <c r="P490" s="17">
        <f t="shared" si="1"/>
        <v>30</v>
      </c>
      <c r="Q490" s="22"/>
      <c r="R490" s="23"/>
    </row>
    <row r="491" spans="1:18" ht="12.75">
      <c r="A491" s="22">
        <v>46312</v>
      </c>
      <c r="B491" t="s">
        <v>23</v>
      </c>
      <c r="C491" t="s">
        <v>418</v>
      </c>
      <c r="D491" s="19">
        <v>35274</v>
      </c>
      <c r="E491" t="s">
        <v>24</v>
      </c>
      <c r="F491">
        <v>11952327747</v>
      </c>
      <c r="G491" t="s">
        <v>25</v>
      </c>
      <c r="H491" s="18">
        <v>80</v>
      </c>
      <c r="J491" s="18"/>
      <c r="K491" t="s">
        <v>18</v>
      </c>
      <c r="L491" t="s">
        <v>28</v>
      </c>
      <c r="N491" s="16"/>
      <c r="O491" s="17"/>
      <c r="P491" s="17">
        <f t="shared" si="1"/>
        <v>80</v>
      </c>
      <c r="Q491" s="22"/>
      <c r="R491" s="23"/>
    </row>
    <row r="492" spans="1:18" ht="12.75">
      <c r="A492" s="22">
        <v>46312</v>
      </c>
      <c r="B492" t="s">
        <v>14</v>
      </c>
      <c r="C492" t="s">
        <v>195</v>
      </c>
      <c r="D492" s="19">
        <v>26329</v>
      </c>
      <c r="E492" t="s">
        <v>24</v>
      </c>
      <c r="F492">
        <v>11976164732</v>
      </c>
      <c r="G492" t="s">
        <v>32</v>
      </c>
      <c r="H492" s="18">
        <v>35</v>
      </c>
      <c r="J492" s="18"/>
      <c r="K492" t="s">
        <v>18</v>
      </c>
      <c r="L492" t="s">
        <v>34</v>
      </c>
      <c r="N492" s="16"/>
      <c r="O492" s="17"/>
      <c r="P492" s="17">
        <f t="shared" si="1"/>
        <v>35</v>
      </c>
      <c r="Q492" s="22"/>
      <c r="R492" s="23"/>
    </row>
    <row r="493" spans="1:18" ht="12.75">
      <c r="A493" s="22">
        <v>46312</v>
      </c>
      <c r="B493" t="s">
        <v>23</v>
      </c>
      <c r="C493" t="s">
        <v>501</v>
      </c>
      <c r="D493" s="19">
        <v>43622</v>
      </c>
      <c r="E493" t="s">
        <v>24</v>
      </c>
      <c r="F493">
        <v>11988037187</v>
      </c>
      <c r="G493" t="s">
        <v>25</v>
      </c>
      <c r="H493" s="18">
        <v>80</v>
      </c>
      <c r="J493" s="18"/>
      <c r="K493" t="s">
        <v>27</v>
      </c>
      <c r="L493" t="s">
        <v>27</v>
      </c>
      <c r="N493" s="16"/>
      <c r="O493" s="17"/>
      <c r="P493" s="17">
        <f t="shared" si="1"/>
        <v>80</v>
      </c>
      <c r="Q493" s="22"/>
      <c r="R493" s="23"/>
    </row>
    <row r="494" spans="1:18" ht="12.75">
      <c r="A494" s="22">
        <v>46312</v>
      </c>
      <c r="B494" t="s">
        <v>14</v>
      </c>
      <c r="C494" t="s">
        <v>169</v>
      </c>
      <c r="D494" s="19">
        <v>33922</v>
      </c>
      <c r="E494" t="s">
        <v>24</v>
      </c>
      <c r="F494">
        <v>77988077846</v>
      </c>
      <c r="G494" t="s">
        <v>16</v>
      </c>
      <c r="H494" s="18">
        <v>45</v>
      </c>
      <c r="I494" t="s">
        <v>41</v>
      </c>
      <c r="J494" s="18">
        <v>25</v>
      </c>
      <c r="K494" t="s">
        <v>27</v>
      </c>
      <c r="L494" t="s">
        <v>27</v>
      </c>
      <c r="N494" s="16"/>
      <c r="O494" s="17"/>
      <c r="P494" s="17">
        <f t="shared" si="1"/>
        <v>70</v>
      </c>
      <c r="Q494" s="22"/>
      <c r="R494" s="23"/>
    </row>
    <row r="495" spans="1:18" ht="12.75">
      <c r="A495" s="22">
        <v>46312</v>
      </c>
      <c r="B495" t="s">
        <v>23</v>
      </c>
      <c r="C495" t="s">
        <v>155</v>
      </c>
      <c r="D495" s="19"/>
      <c r="E495" t="s">
        <v>24</v>
      </c>
      <c r="F495">
        <v>11948276973</v>
      </c>
      <c r="G495" t="s">
        <v>16</v>
      </c>
      <c r="H495" s="18">
        <v>45</v>
      </c>
      <c r="J495" s="18"/>
      <c r="K495" t="s">
        <v>27</v>
      </c>
      <c r="L495" t="s">
        <v>27</v>
      </c>
      <c r="N495" s="16"/>
      <c r="O495" s="17"/>
      <c r="P495" s="17">
        <f t="shared" si="1"/>
        <v>45</v>
      </c>
      <c r="Q495" s="22"/>
      <c r="R495" s="23"/>
    </row>
    <row r="496" spans="1:18" ht="12.75">
      <c r="A496" s="22">
        <v>46313</v>
      </c>
      <c r="B496" t="s">
        <v>23</v>
      </c>
      <c r="C496" t="s">
        <v>218</v>
      </c>
      <c r="D496" s="19"/>
      <c r="E496" t="s">
        <v>24</v>
      </c>
      <c r="G496" t="s">
        <v>16</v>
      </c>
      <c r="H496" s="18">
        <v>45</v>
      </c>
      <c r="I496" t="s">
        <v>30</v>
      </c>
      <c r="J496" s="18">
        <v>40</v>
      </c>
      <c r="K496" t="s">
        <v>18</v>
      </c>
      <c r="L496" t="s">
        <v>28</v>
      </c>
      <c r="N496" s="16"/>
      <c r="O496" s="17"/>
      <c r="P496" s="17">
        <f t="shared" si="1"/>
        <v>85</v>
      </c>
      <c r="Q496" s="22"/>
      <c r="R496" s="23"/>
    </row>
    <row r="497" spans="1:18" ht="12.75">
      <c r="A497" s="22">
        <v>46313</v>
      </c>
      <c r="B497" t="s">
        <v>23</v>
      </c>
      <c r="C497" t="s">
        <v>554</v>
      </c>
      <c r="D497" s="19"/>
      <c r="E497" t="s">
        <v>15</v>
      </c>
      <c r="F497">
        <v>11981602286</v>
      </c>
      <c r="G497" t="s">
        <v>16</v>
      </c>
      <c r="H497" s="18">
        <v>45</v>
      </c>
      <c r="J497" s="18"/>
      <c r="K497" t="s">
        <v>18</v>
      </c>
      <c r="L497" t="s">
        <v>34</v>
      </c>
      <c r="N497" s="16"/>
      <c r="O497" s="17"/>
      <c r="P497" s="17">
        <f t="shared" si="1"/>
        <v>45</v>
      </c>
      <c r="Q497" s="22"/>
      <c r="R497" s="23"/>
    </row>
    <row r="498" spans="1:18" ht="12.75">
      <c r="A498" s="22">
        <v>46313</v>
      </c>
      <c r="B498" t="s">
        <v>14</v>
      </c>
      <c r="C498" t="s">
        <v>326</v>
      </c>
      <c r="D498" s="19"/>
      <c r="E498" t="s">
        <v>24</v>
      </c>
      <c r="G498" t="s">
        <v>38</v>
      </c>
      <c r="H498" s="18">
        <v>70</v>
      </c>
      <c r="J498" s="18"/>
      <c r="K498" t="s">
        <v>18</v>
      </c>
      <c r="L498" t="s">
        <v>34</v>
      </c>
      <c r="N498" s="16"/>
      <c r="O498" s="17"/>
      <c r="P498" s="17">
        <f t="shared" si="1"/>
        <v>70</v>
      </c>
      <c r="Q498" s="22"/>
      <c r="R498" s="23"/>
    </row>
    <row r="499" spans="1:18" ht="12.75">
      <c r="A499" s="22">
        <v>46314</v>
      </c>
      <c r="B499" t="s">
        <v>23</v>
      </c>
      <c r="C499" t="s">
        <v>555</v>
      </c>
      <c r="D499" s="19"/>
      <c r="E499" t="s">
        <v>15</v>
      </c>
      <c r="F499">
        <v>11986442103</v>
      </c>
      <c r="G499" t="s">
        <v>25</v>
      </c>
      <c r="H499" s="18">
        <v>80</v>
      </c>
      <c r="J499" s="18"/>
      <c r="K499" t="s">
        <v>18</v>
      </c>
      <c r="L499" t="s">
        <v>34</v>
      </c>
      <c r="N499" s="16"/>
      <c r="O499" s="17"/>
      <c r="P499" s="17">
        <f t="shared" ref="P499:P562" si="2">H499+J499+S499</f>
        <v>80</v>
      </c>
      <c r="Q499" s="22"/>
      <c r="R499" s="23"/>
    </row>
    <row r="500" spans="1:18" ht="12.75">
      <c r="A500" s="22">
        <v>46314</v>
      </c>
      <c r="B500" t="s">
        <v>23</v>
      </c>
      <c r="C500" t="s">
        <v>173</v>
      </c>
      <c r="D500" s="19"/>
      <c r="E500" t="s">
        <v>24</v>
      </c>
      <c r="G500" t="s">
        <v>16</v>
      </c>
      <c r="H500" s="18">
        <v>45</v>
      </c>
      <c r="I500" t="s">
        <v>41</v>
      </c>
      <c r="J500" s="18">
        <v>25</v>
      </c>
      <c r="K500" t="s">
        <v>18</v>
      </c>
      <c r="L500" t="s">
        <v>34</v>
      </c>
      <c r="N500" s="16"/>
      <c r="O500" s="17"/>
      <c r="P500" s="17">
        <f t="shared" si="2"/>
        <v>70</v>
      </c>
      <c r="Q500" s="22"/>
      <c r="R500" s="23"/>
    </row>
    <row r="501" spans="1:18" ht="12.75">
      <c r="A501" s="22">
        <v>46314</v>
      </c>
      <c r="B501" t="s">
        <v>14</v>
      </c>
      <c r="C501" t="s">
        <v>124</v>
      </c>
      <c r="D501" s="19"/>
      <c r="E501" t="s">
        <v>24</v>
      </c>
      <c r="G501" t="s">
        <v>16</v>
      </c>
      <c r="H501" s="18">
        <v>45</v>
      </c>
      <c r="J501" s="18"/>
      <c r="K501" t="s">
        <v>27</v>
      </c>
      <c r="L501" t="s">
        <v>27</v>
      </c>
      <c r="N501" s="16"/>
      <c r="O501" s="17"/>
      <c r="P501" s="17">
        <f t="shared" si="2"/>
        <v>45</v>
      </c>
      <c r="Q501" s="22"/>
      <c r="R501" s="23"/>
    </row>
    <row r="502" spans="1:18" ht="12.75">
      <c r="A502" s="22">
        <v>46314</v>
      </c>
      <c r="B502" t="s">
        <v>23</v>
      </c>
      <c r="C502" t="s">
        <v>549</v>
      </c>
      <c r="D502" s="19"/>
      <c r="E502" t="s">
        <v>15</v>
      </c>
      <c r="F502">
        <v>11983650391</v>
      </c>
      <c r="G502" t="s">
        <v>16</v>
      </c>
      <c r="H502" s="18">
        <v>45</v>
      </c>
      <c r="J502" s="18"/>
      <c r="K502" t="s">
        <v>18</v>
      </c>
      <c r="L502" t="s">
        <v>34</v>
      </c>
      <c r="N502" s="16"/>
      <c r="O502" s="17"/>
      <c r="P502" s="17">
        <f t="shared" si="2"/>
        <v>45</v>
      </c>
      <c r="Q502" s="22"/>
      <c r="R502" s="23"/>
    </row>
    <row r="503" spans="1:18" ht="12.75">
      <c r="A503" s="22">
        <v>46314</v>
      </c>
      <c r="B503" t="s">
        <v>23</v>
      </c>
      <c r="C503" t="s">
        <v>163</v>
      </c>
      <c r="D503" s="19">
        <v>28179</v>
      </c>
      <c r="E503" t="s">
        <v>24</v>
      </c>
      <c r="G503" t="s">
        <v>25</v>
      </c>
      <c r="H503" s="18">
        <v>80</v>
      </c>
      <c r="J503" s="18"/>
      <c r="K503" t="s">
        <v>18</v>
      </c>
      <c r="L503" t="s">
        <v>34</v>
      </c>
      <c r="N503" s="16"/>
      <c r="O503" s="17"/>
      <c r="P503" s="17">
        <f t="shared" si="2"/>
        <v>80</v>
      </c>
      <c r="Q503" s="22"/>
      <c r="R503" s="23"/>
    </row>
    <row r="504" spans="1:18" ht="12.75">
      <c r="A504" s="22">
        <v>46314</v>
      </c>
      <c r="B504" t="s">
        <v>14</v>
      </c>
      <c r="C504" t="s">
        <v>265</v>
      </c>
      <c r="D504" s="19"/>
      <c r="E504" t="s">
        <v>24</v>
      </c>
      <c r="G504" t="s">
        <v>16</v>
      </c>
      <c r="H504" s="18">
        <v>45</v>
      </c>
      <c r="J504" s="18"/>
      <c r="K504" t="s">
        <v>18</v>
      </c>
      <c r="L504" t="s">
        <v>19</v>
      </c>
      <c r="N504" s="16"/>
      <c r="O504" s="17"/>
      <c r="P504" s="17">
        <f t="shared" si="2"/>
        <v>45</v>
      </c>
      <c r="Q504" s="22"/>
      <c r="R504" s="23"/>
    </row>
    <row r="505" spans="1:18" ht="12.75">
      <c r="A505" s="22">
        <v>46314</v>
      </c>
      <c r="B505" t="s">
        <v>23</v>
      </c>
      <c r="C505" t="s">
        <v>429</v>
      </c>
      <c r="D505" s="19">
        <v>17607</v>
      </c>
      <c r="E505" t="s">
        <v>24</v>
      </c>
      <c r="F505">
        <v>11997858734</v>
      </c>
      <c r="G505" t="s">
        <v>32</v>
      </c>
      <c r="H505" s="18">
        <v>35</v>
      </c>
      <c r="J505" s="18"/>
      <c r="K505" t="s">
        <v>18</v>
      </c>
      <c r="L505" t="s">
        <v>28</v>
      </c>
      <c r="N505" s="16"/>
      <c r="O505" s="17"/>
      <c r="P505" s="17">
        <f t="shared" si="2"/>
        <v>35</v>
      </c>
      <c r="Q505" s="22"/>
      <c r="R505" s="23"/>
    </row>
    <row r="506" spans="1:18" ht="12.75">
      <c r="A506" s="22">
        <v>46314</v>
      </c>
      <c r="B506" t="s">
        <v>23</v>
      </c>
      <c r="C506" t="s">
        <v>217</v>
      </c>
      <c r="D506" s="19"/>
      <c r="E506" t="s">
        <v>24</v>
      </c>
      <c r="F506">
        <v>11933659059</v>
      </c>
      <c r="G506" t="s">
        <v>25</v>
      </c>
      <c r="H506" s="18">
        <v>80</v>
      </c>
      <c r="J506" s="18"/>
      <c r="K506" t="s">
        <v>18</v>
      </c>
      <c r="L506" t="s">
        <v>34</v>
      </c>
      <c r="N506" s="16"/>
      <c r="O506" s="17"/>
      <c r="P506" s="17">
        <f t="shared" si="2"/>
        <v>80</v>
      </c>
      <c r="Q506" s="22"/>
      <c r="R506" s="23"/>
    </row>
    <row r="507" spans="1:18" ht="12.75">
      <c r="A507" s="22">
        <v>46315</v>
      </c>
      <c r="B507" t="s">
        <v>23</v>
      </c>
      <c r="C507" t="s">
        <v>111</v>
      </c>
      <c r="D507" s="19">
        <v>25482</v>
      </c>
      <c r="E507" t="s">
        <v>24</v>
      </c>
      <c r="F507">
        <v>11960706341</v>
      </c>
      <c r="G507" t="s">
        <v>25</v>
      </c>
      <c r="H507" s="18">
        <v>80</v>
      </c>
      <c r="I507" t="s">
        <v>21</v>
      </c>
      <c r="J507" s="18">
        <v>10</v>
      </c>
      <c r="K507" t="s">
        <v>18</v>
      </c>
      <c r="L507" t="s">
        <v>39</v>
      </c>
      <c r="N507" s="16"/>
      <c r="O507" s="17"/>
      <c r="P507" s="17">
        <f t="shared" si="2"/>
        <v>90</v>
      </c>
      <c r="Q507" s="22"/>
      <c r="R507" s="23"/>
    </row>
    <row r="508" spans="1:18" ht="12.75">
      <c r="A508" s="22">
        <v>46315</v>
      </c>
      <c r="B508" t="s">
        <v>23</v>
      </c>
      <c r="C508" t="s">
        <v>98</v>
      </c>
      <c r="D508" s="19"/>
      <c r="E508" t="s">
        <v>24</v>
      </c>
      <c r="F508">
        <v>11976436368</v>
      </c>
      <c r="G508" t="s">
        <v>16</v>
      </c>
      <c r="H508" s="18">
        <v>45</v>
      </c>
      <c r="J508" s="18"/>
      <c r="K508" t="s">
        <v>27</v>
      </c>
      <c r="L508" t="s">
        <v>27</v>
      </c>
      <c r="N508" s="16"/>
      <c r="O508" s="17"/>
      <c r="P508" s="17">
        <f t="shared" si="2"/>
        <v>45</v>
      </c>
      <c r="Q508" s="22"/>
      <c r="R508" s="23"/>
    </row>
    <row r="509" spans="1:18" ht="12.75">
      <c r="A509" s="22">
        <v>46315</v>
      </c>
      <c r="B509" t="s">
        <v>23</v>
      </c>
      <c r="C509" t="s">
        <v>309</v>
      </c>
      <c r="D509" s="19">
        <v>44919</v>
      </c>
      <c r="E509" t="s">
        <v>24</v>
      </c>
      <c r="F509">
        <v>11988456540</v>
      </c>
      <c r="G509" t="s">
        <v>16</v>
      </c>
      <c r="H509" s="18">
        <v>45</v>
      </c>
      <c r="I509" t="s">
        <v>30</v>
      </c>
      <c r="J509" s="18">
        <v>40</v>
      </c>
      <c r="K509" t="s">
        <v>18</v>
      </c>
      <c r="L509" t="s">
        <v>28</v>
      </c>
      <c r="N509" s="16"/>
      <c r="O509" s="17"/>
      <c r="P509" s="17">
        <f t="shared" si="2"/>
        <v>85</v>
      </c>
      <c r="Q509" s="22"/>
      <c r="R509" s="23"/>
    </row>
    <row r="510" spans="1:18" ht="12.75">
      <c r="A510" s="22">
        <v>46315</v>
      </c>
      <c r="B510" t="s">
        <v>14</v>
      </c>
      <c r="C510" t="s">
        <v>176</v>
      </c>
      <c r="D510" s="19">
        <v>36635</v>
      </c>
      <c r="E510" t="s">
        <v>24</v>
      </c>
      <c r="F510">
        <v>11999645370</v>
      </c>
      <c r="G510" t="s">
        <v>38</v>
      </c>
      <c r="H510" s="18">
        <v>70</v>
      </c>
      <c r="J510" s="18"/>
      <c r="K510" t="s">
        <v>18</v>
      </c>
      <c r="L510" t="s">
        <v>28</v>
      </c>
      <c r="N510" s="16"/>
      <c r="O510" s="17"/>
      <c r="P510" s="17">
        <f t="shared" si="2"/>
        <v>70</v>
      </c>
      <c r="Q510" s="22"/>
      <c r="R510" s="23"/>
    </row>
    <row r="511" spans="1:18" ht="12.75">
      <c r="A511" s="22">
        <v>46315</v>
      </c>
      <c r="B511" t="s">
        <v>23</v>
      </c>
      <c r="C511" t="s">
        <v>556</v>
      </c>
      <c r="D511" s="19"/>
      <c r="E511" t="s">
        <v>15</v>
      </c>
      <c r="F511">
        <v>11984785186</v>
      </c>
      <c r="G511" t="s">
        <v>32</v>
      </c>
      <c r="H511" s="18">
        <v>35</v>
      </c>
      <c r="J511" s="18"/>
      <c r="K511" t="s">
        <v>18</v>
      </c>
      <c r="L511" t="s">
        <v>19</v>
      </c>
      <c r="N511" s="16"/>
      <c r="O511" s="17"/>
      <c r="P511" s="17">
        <f t="shared" si="2"/>
        <v>35</v>
      </c>
      <c r="Q511" s="22"/>
      <c r="R511" s="23"/>
    </row>
    <row r="512" spans="1:18" ht="12.75">
      <c r="A512" s="22">
        <v>46315</v>
      </c>
      <c r="B512" t="s">
        <v>23</v>
      </c>
      <c r="C512" t="s">
        <v>295</v>
      </c>
      <c r="D512" s="19">
        <v>35283</v>
      </c>
      <c r="E512" t="s">
        <v>24</v>
      </c>
      <c r="F512">
        <v>11983232331</v>
      </c>
      <c r="G512" t="s">
        <v>16</v>
      </c>
      <c r="H512" s="18">
        <v>45</v>
      </c>
      <c r="J512" s="18"/>
      <c r="K512" t="s">
        <v>18</v>
      </c>
      <c r="L512" t="s">
        <v>39</v>
      </c>
      <c r="N512" s="16"/>
      <c r="O512" s="17"/>
      <c r="P512" s="17">
        <f t="shared" si="2"/>
        <v>45</v>
      </c>
      <c r="Q512" s="22"/>
      <c r="R512" s="23"/>
    </row>
    <row r="513" spans="1:18" ht="12.75">
      <c r="A513" s="22">
        <v>46315</v>
      </c>
      <c r="B513" t="s">
        <v>23</v>
      </c>
      <c r="C513" t="s">
        <v>124</v>
      </c>
      <c r="D513" s="19"/>
      <c r="E513" t="s">
        <v>24</v>
      </c>
      <c r="G513" t="s">
        <v>38</v>
      </c>
      <c r="H513" s="18">
        <v>70</v>
      </c>
      <c r="I513" t="s">
        <v>12</v>
      </c>
      <c r="J513" s="18">
        <v>20</v>
      </c>
      <c r="K513" t="s">
        <v>18</v>
      </c>
      <c r="L513" t="s">
        <v>39</v>
      </c>
      <c r="N513" s="16"/>
      <c r="O513" s="17"/>
      <c r="P513" s="17">
        <f t="shared" si="2"/>
        <v>90</v>
      </c>
      <c r="Q513" s="22"/>
      <c r="R513" s="23"/>
    </row>
    <row r="514" spans="1:18" ht="12.75">
      <c r="A514" s="22">
        <v>46315</v>
      </c>
      <c r="B514" t="s">
        <v>23</v>
      </c>
      <c r="C514" t="s">
        <v>548</v>
      </c>
      <c r="D514" s="19"/>
      <c r="E514" t="s">
        <v>15</v>
      </c>
      <c r="F514">
        <v>11982060605</v>
      </c>
      <c r="G514" t="s">
        <v>16</v>
      </c>
      <c r="H514" s="18">
        <v>45</v>
      </c>
      <c r="J514" s="18"/>
      <c r="K514" t="s">
        <v>18</v>
      </c>
      <c r="L514" t="s">
        <v>39</v>
      </c>
      <c r="N514" s="16"/>
      <c r="O514" s="17"/>
      <c r="P514" s="17">
        <f t="shared" si="2"/>
        <v>45</v>
      </c>
      <c r="Q514" s="22"/>
      <c r="R514" s="23"/>
    </row>
    <row r="515" spans="1:18" ht="12.75">
      <c r="A515" s="22">
        <v>46316</v>
      </c>
      <c r="B515" t="s">
        <v>14</v>
      </c>
      <c r="C515" t="s">
        <v>100</v>
      </c>
      <c r="D515" s="19"/>
      <c r="E515" t="s">
        <v>24</v>
      </c>
      <c r="G515" t="s">
        <v>16</v>
      </c>
      <c r="H515" s="18">
        <v>45</v>
      </c>
      <c r="J515" s="18"/>
      <c r="K515" t="s">
        <v>27</v>
      </c>
      <c r="L515" t="s">
        <v>27</v>
      </c>
      <c r="N515" s="16"/>
      <c r="O515" s="17"/>
      <c r="P515" s="17">
        <f t="shared" si="2"/>
        <v>45</v>
      </c>
      <c r="Q515" s="22"/>
      <c r="R515" s="23"/>
    </row>
    <row r="516" spans="1:18" ht="12.75">
      <c r="A516" s="22">
        <v>46316</v>
      </c>
      <c r="B516" t="s">
        <v>14</v>
      </c>
      <c r="C516" t="s">
        <v>224</v>
      </c>
      <c r="D516" s="19">
        <v>31042</v>
      </c>
      <c r="E516" t="s">
        <v>24</v>
      </c>
      <c r="F516">
        <v>11973109654</v>
      </c>
      <c r="G516" t="s">
        <v>25</v>
      </c>
      <c r="H516" s="18">
        <v>80</v>
      </c>
      <c r="J516" s="18"/>
      <c r="K516" t="s">
        <v>18</v>
      </c>
      <c r="L516" t="s">
        <v>34</v>
      </c>
      <c r="N516" s="16"/>
      <c r="O516" s="17"/>
      <c r="P516" s="17">
        <f t="shared" si="2"/>
        <v>80</v>
      </c>
      <c r="Q516" s="22"/>
      <c r="R516" s="23"/>
    </row>
    <row r="517" spans="1:18" ht="12.75">
      <c r="A517" s="22">
        <v>46316</v>
      </c>
      <c r="B517" t="s">
        <v>14</v>
      </c>
      <c r="C517" t="s">
        <v>552</v>
      </c>
      <c r="D517" s="19"/>
      <c r="E517" t="s">
        <v>15</v>
      </c>
      <c r="F517">
        <v>11989209880</v>
      </c>
      <c r="G517" t="s">
        <v>16</v>
      </c>
      <c r="H517" s="18">
        <v>45</v>
      </c>
      <c r="J517" s="18"/>
      <c r="K517" t="s">
        <v>18</v>
      </c>
      <c r="L517" t="s">
        <v>39</v>
      </c>
      <c r="N517" s="16"/>
      <c r="O517" s="17"/>
      <c r="P517" s="17">
        <f t="shared" si="2"/>
        <v>45</v>
      </c>
      <c r="Q517" s="22"/>
      <c r="R517" s="23"/>
    </row>
    <row r="518" spans="1:18" ht="12.75">
      <c r="A518" s="22">
        <v>46316</v>
      </c>
      <c r="B518" t="s">
        <v>14</v>
      </c>
      <c r="C518" t="s">
        <v>196</v>
      </c>
      <c r="D518" s="19">
        <v>37886</v>
      </c>
      <c r="E518" t="s">
        <v>24</v>
      </c>
      <c r="F518">
        <v>11940625488</v>
      </c>
      <c r="G518" t="s">
        <v>32</v>
      </c>
      <c r="H518" s="18">
        <v>35</v>
      </c>
      <c r="I518" t="s">
        <v>30</v>
      </c>
      <c r="J518" s="18">
        <v>40</v>
      </c>
      <c r="K518" t="s">
        <v>18</v>
      </c>
      <c r="L518" t="s">
        <v>19</v>
      </c>
      <c r="N518" s="16"/>
      <c r="O518" s="17"/>
      <c r="P518" s="17">
        <f t="shared" si="2"/>
        <v>75</v>
      </c>
      <c r="Q518" s="22"/>
      <c r="R518" s="23"/>
    </row>
    <row r="519" spans="1:18" ht="12.75">
      <c r="A519" s="22">
        <v>46316</v>
      </c>
      <c r="B519" t="s">
        <v>23</v>
      </c>
      <c r="C519" t="s">
        <v>212</v>
      </c>
      <c r="D519" s="19">
        <v>35788</v>
      </c>
      <c r="E519" t="s">
        <v>24</v>
      </c>
      <c r="F519">
        <v>11957321678</v>
      </c>
      <c r="G519" t="s">
        <v>16</v>
      </c>
      <c r="H519" s="18">
        <v>45</v>
      </c>
      <c r="I519" t="s">
        <v>41</v>
      </c>
      <c r="J519" s="18">
        <v>25</v>
      </c>
      <c r="K519" t="s">
        <v>27</v>
      </c>
      <c r="L519" t="s">
        <v>27</v>
      </c>
      <c r="N519" s="16"/>
      <c r="O519" s="17"/>
      <c r="P519" s="17">
        <f t="shared" si="2"/>
        <v>70</v>
      </c>
      <c r="Q519" s="22"/>
      <c r="R519" s="23"/>
    </row>
    <row r="520" spans="1:18" ht="12.75">
      <c r="A520" s="22">
        <v>46316</v>
      </c>
      <c r="B520" t="s">
        <v>14</v>
      </c>
      <c r="C520" t="s">
        <v>456</v>
      </c>
      <c r="D520" s="19"/>
      <c r="E520" t="s">
        <v>24</v>
      </c>
      <c r="G520" t="s">
        <v>38</v>
      </c>
      <c r="H520" s="18">
        <v>70</v>
      </c>
      <c r="I520" t="s">
        <v>30</v>
      </c>
      <c r="J520" s="18">
        <v>40</v>
      </c>
      <c r="K520" t="s">
        <v>18</v>
      </c>
      <c r="L520" t="s">
        <v>34</v>
      </c>
      <c r="N520" s="16"/>
      <c r="O520" s="17"/>
      <c r="P520" s="17">
        <f t="shared" si="2"/>
        <v>110</v>
      </c>
      <c r="Q520" s="22"/>
      <c r="R520" s="23"/>
    </row>
    <row r="521" spans="1:18" ht="12.75">
      <c r="A521" s="22">
        <v>46316</v>
      </c>
      <c r="B521" t="s">
        <v>14</v>
      </c>
      <c r="C521" t="s">
        <v>102</v>
      </c>
      <c r="D521" s="19">
        <v>33525</v>
      </c>
      <c r="E521" t="s">
        <v>24</v>
      </c>
      <c r="F521">
        <v>11951069136</v>
      </c>
      <c r="G521" t="s">
        <v>16</v>
      </c>
      <c r="H521" s="18">
        <v>45</v>
      </c>
      <c r="J521" s="18"/>
      <c r="K521" t="s">
        <v>18</v>
      </c>
      <c r="L521" t="s">
        <v>34</v>
      </c>
      <c r="N521" s="16"/>
      <c r="O521" s="17"/>
      <c r="P521" s="17">
        <f t="shared" si="2"/>
        <v>45</v>
      </c>
      <c r="Q521" s="22"/>
      <c r="R521" s="23"/>
    </row>
    <row r="522" spans="1:18" ht="12.75">
      <c r="A522" s="22">
        <v>46317</v>
      </c>
      <c r="B522" t="s">
        <v>14</v>
      </c>
      <c r="C522" t="s">
        <v>156</v>
      </c>
      <c r="D522" s="19"/>
      <c r="E522" t="s">
        <v>24</v>
      </c>
      <c r="F522">
        <v>11963101550</v>
      </c>
      <c r="G522" t="s">
        <v>46</v>
      </c>
      <c r="H522" s="18">
        <v>30</v>
      </c>
      <c r="J522" s="18"/>
      <c r="K522" t="s">
        <v>18</v>
      </c>
      <c r="L522" t="s">
        <v>34</v>
      </c>
      <c r="N522" s="16"/>
      <c r="O522" s="17"/>
      <c r="P522" s="17">
        <f t="shared" si="2"/>
        <v>30</v>
      </c>
      <c r="Q522" s="22"/>
      <c r="R522" s="23"/>
    </row>
    <row r="523" spans="1:18" ht="12.75">
      <c r="A523" s="22">
        <v>46317</v>
      </c>
      <c r="B523" t="s">
        <v>14</v>
      </c>
      <c r="C523" t="s">
        <v>265</v>
      </c>
      <c r="D523" s="19"/>
      <c r="E523" t="s">
        <v>24</v>
      </c>
      <c r="G523" t="s">
        <v>25</v>
      </c>
      <c r="H523" s="18">
        <v>80</v>
      </c>
      <c r="J523" s="18"/>
      <c r="K523" t="s">
        <v>18</v>
      </c>
      <c r="L523" t="s">
        <v>34</v>
      </c>
      <c r="N523" s="16"/>
      <c r="O523" s="17"/>
      <c r="P523" s="17">
        <f t="shared" si="2"/>
        <v>80</v>
      </c>
      <c r="Q523" s="22"/>
      <c r="R523" s="23"/>
    </row>
    <row r="524" spans="1:18" ht="12.75">
      <c r="A524" s="22">
        <v>46317</v>
      </c>
      <c r="B524" t="s">
        <v>14</v>
      </c>
      <c r="C524" t="s">
        <v>315</v>
      </c>
      <c r="D524" s="19">
        <v>34698</v>
      </c>
      <c r="E524" t="s">
        <v>24</v>
      </c>
      <c r="F524">
        <v>11913130479</v>
      </c>
      <c r="G524" t="s">
        <v>16</v>
      </c>
      <c r="H524" s="18">
        <v>45</v>
      </c>
      <c r="J524" s="18"/>
      <c r="K524" t="s">
        <v>18</v>
      </c>
      <c r="L524" t="s">
        <v>39</v>
      </c>
      <c r="N524" s="16"/>
      <c r="O524" s="17"/>
      <c r="P524" s="17">
        <f t="shared" si="2"/>
        <v>45</v>
      </c>
      <c r="Q524" s="22"/>
      <c r="R524" s="23"/>
    </row>
    <row r="525" spans="1:18" ht="12.75">
      <c r="A525" s="22">
        <v>46317</v>
      </c>
      <c r="B525" t="s">
        <v>14</v>
      </c>
      <c r="C525" t="s">
        <v>190</v>
      </c>
      <c r="D525" s="19">
        <v>36881</v>
      </c>
      <c r="E525" t="s">
        <v>24</v>
      </c>
      <c r="F525">
        <v>11951213301</v>
      </c>
      <c r="G525" t="s">
        <v>38</v>
      </c>
      <c r="H525" s="18">
        <v>70</v>
      </c>
      <c r="I525" t="s">
        <v>30</v>
      </c>
      <c r="J525" s="18">
        <v>40</v>
      </c>
      <c r="K525" t="s">
        <v>18</v>
      </c>
      <c r="L525" t="s">
        <v>19</v>
      </c>
      <c r="N525" s="16"/>
      <c r="O525" s="17"/>
      <c r="P525" s="17">
        <f t="shared" si="2"/>
        <v>110</v>
      </c>
      <c r="Q525" s="22"/>
      <c r="R525" s="23"/>
    </row>
    <row r="526" spans="1:18" ht="12.75">
      <c r="A526" s="22">
        <v>46317</v>
      </c>
      <c r="B526" t="s">
        <v>14</v>
      </c>
      <c r="C526" t="s">
        <v>547</v>
      </c>
      <c r="D526" s="19"/>
      <c r="E526" t="s">
        <v>15</v>
      </c>
      <c r="F526">
        <v>11988151684</v>
      </c>
      <c r="G526" t="s">
        <v>25</v>
      </c>
      <c r="H526" s="18">
        <v>80</v>
      </c>
      <c r="J526" s="18"/>
      <c r="K526" t="s">
        <v>18</v>
      </c>
      <c r="L526" t="s">
        <v>34</v>
      </c>
      <c r="N526" s="16"/>
      <c r="O526" s="17"/>
      <c r="P526" s="17">
        <f t="shared" si="2"/>
        <v>80</v>
      </c>
      <c r="Q526" s="22"/>
      <c r="R526" s="23"/>
    </row>
    <row r="527" spans="1:18" ht="12.75">
      <c r="A527" s="22">
        <v>46317</v>
      </c>
      <c r="B527" t="s">
        <v>14</v>
      </c>
      <c r="C527" t="s">
        <v>157</v>
      </c>
      <c r="D527" s="19"/>
      <c r="E527" t="s">
        <v>24</v>
      </c>
      <c r="G527" t="s">
        <v>16</v>
      </c>
      <c r="H527" s="18">
        <v>45</v>
      </c>
      <c r="J527" s="18"/>
      <c r="K527" t="s">
        <v>18</v>
      </c>
      <c r="L527" t="s">
        <v>34</v>
      </c>
      <c r="N527" s="16"/>
      <c r="O527" s="17"/>
      <c r="P527" s="17">
        <f t="shared" si="2"/>
        <v>45</v>
      </c>
      <c r="Q527" s="22"/>
      <c r="R527" s="23"/>
    </row>
    <row r="528" spans="1:18" ht="12.75">
      <c r="A528" s="22">
        <v>46317</v>
      </c>
      <c r="B528" t="s">
        <v>23</v>
      </c>
      <c r="C528" t="s">
        <v>456</v>
      </c>
      <c r="D528" s="19"/>
      <c r="E528" t="s">
        <v>24</v>
      </c>
      <c r="G528" t="s">
        <v>16</v>
      </c>
      <c r="H528" s="18">
        <v>45</v>
      </c>
      <c r="J528" s="18"/>
      <c r="K528" t="s">
        <v>18</v>
      </c>
      <c r="L528" t="s">
        <v>34</v>
      </c>
      <c r="N528" s="16"/>
      <c r="O528" s="17"/>
      <c r="P528" s="17">
        <f t="shared" si="2"/>
        <v>45</v>
      </c>
      <c r="Q528" s="22"/>
      <c r="R528" s="23"/>
    </row>
    <row r="529" spans="1:18" ht="12.75">
      <c r="A529" s="22">
        <v>46317</v>
      </c>
      <c r="B529" t="s">
        <v>14</v>
      </c>
      <c r="C529" t="s">
        <v>549</v>
      </c>
      <c r="D529" s="19"/>
      <c r="E529" t="s">
        <v>15</v>
      </c>
      <c r="F529">
        <v>11984607488</v>
      </c>
      <c r="G529" t="s">
        <v>16</v>
      </c>
      <c r="H529" s="18">
        <v>45</v>
      </c>
      <c r="J529" s="18"/>
      <c r="K529" t="s">
        <v>18</v>
      </c>
      <c r="L529" t="s">
        <v>28</v>
      </c>
      <c r="N529" s="16"/>
      <c r="O529" s="17"/>
      <c r="P529" s="17">
        <f t="shared" si="2"/>
        <v>45</v>
      </c>
      <c r="Q529" s="22"/>
      <c r="R529" s="23"/>
    </row>
    <row r="530" spans="1:18" ht="12.75">
      <c r="A530" s="22">
        <v>46318</v>
      </c>
      <c r="B530" t="s">
        <v>23</v>
      </c>
      <c r="C530" t="s">
        <v>228</v>
      </c>
      <c r="D530" s="19">
        <v>27618</v>
      </c>
      <c r="E530" t="s">
        <v>24</v>
      </c>
      <c r="F530">
        <v>11986439041</v>
      </c>
      <c r="G530" t="s">
        <v>16</v>
      </c>
      <c r="H530" s="18">
        <v>45</v>
      </c>
      <c r="J530" s="18"/>
      <c r="K530" t="s">
        <v>18</v>
      </c>
      <c r="L530" t="s">
        <v>34</v>
      </c>
      <c r="N530" s="16"/>
      <c r="O530" s="17"/>
      <c r="P530" s="17">
        <f t="shared" si="2"/>
        <v>45</v>
      </c>
      <c r="Q530" s="22"/>
      <c r="R530" s="23"/>
    </row>
    <row r="531" spans="1:18" ht="12.75">
      <c r="A531" s="22">
        <v>46318</v>
      </c>
      <c r="B531" t="s">
        <v>23</v>
      </c>
      <c r="C531" t="s">
        <v>124</v>
      </c>
      <c r="D531" s="19"/>
      <c r="E531" t="s">
        <v>24</v>
      </c>
      <c r="G531" t="s">
        <v>16</v>
      </c>
      <c r="H531" s="18">
        <v>45</v>
      </c>
      <c r="I531" t="s">
        <v>30</v>
      </c>
      <c r="J531" s="18">
        <v>40</v>
      </c>
      <c r="K531" t="s">
        <v>18</v>
      </c>
      <c r="L531" t="s">
        <v>39</v>
      </c>
      <c r="N531" s="16"/>
      <c r="O531" s="17"/>
      <c r="P531" s="17">
        <f t="shared" si="2"/>
        <v>85</v>
      </c>
      <c r="Q531" s="22"/>
      <c r="R531" s="23"/>
    </row>
    <row r="532" spans="1:18" ht="12.75">
      <c r="A532" s="22">
        <v>46318</v>
      </c>
      <c r="B532" t="s">
        <v>23</v>
      </c>
      <c r="C532" t="s">
        <v>237</v>
      </c>
      <c r="D532" s="19">
        <v>30371</v>
      </c>
      <c r="E532" t="s">
        <v>24</v>
      </c>
      <c r="F532">
        <v>11944581484</v>
      </c>
      <c r="G532" t="s">
        <v>16</v>
      </c>
      <c r="H532" s="18">
        <v>45</v>
      </c>
      <c r="J532" s="18"/>
      <c r="K532" t="s">
        <v>18</v>
      </c>
      <c r="L532" t="s">
        <v>28</v>
      </c>
      <c r="N532" s="16"/>
      <c r="O532" s="17"/>
      <c r="P532" s="17">
        <f t="shared" si="2"/>
        <v>45</v>
      </c>
      <c r="Q532" s="22"/>
      <c r="R532" s="23"/>
    </row>
    <row r="533" spans="1:18" ht="12.75">
      <c r="A533" s="22">
        <v>46318</v>
      </c>
      <c r="B533" t="s">
        <v>14</v>
      </c>
      <c r="C533" t="s">
        <v>557</v>
      </c>
      <c r="D533" s="19"/>
      <c r="E533" t="s">
        <v>15</v>
      </c>
      <c r="F533">
        <v>11986242022</v>
      </c>
      <c r="G533" t="s">
        <v>16</v>
      </c>
      <c r="H533" s="18">
        <v>45</v>
      </c>
      <c r="J533" s="18"/>
      <c r="K533" t="s">
        <v>18</v>
      </c>
      <c r="L533" t="s">
        <v>39</v>
      </c>
      <c r="N533" s="16"/>
      <c r="O533" s="17"/>
      <c r="P533" s="17">
        <f t="shared" si="2"/>
        <v>45</v>
      </c>
      <c r="Q533" s="22"/>
      <c r="R533" s="23"/>
    </row>
    <row r="534" spans="1:18" ht="12.75">
      <c r="A534" s="22">
        <v>46318</v>
      </c>
      <c r="B534" t="s">
        <v>14</v>
      </c>
      <c r="C534" t="s">
        <v>258</v>
      </c>
      <c r="D534" s="19">
        <v>40801</v>
      </c>
      <c r="E534" t="s">
        <v>24</v>
      </c>
      <c r="F534">
        <v>11969426830</v>
      </c>
      <c r="G534" t="s">
        <v>25</v>
      </c>
      <c r="H534" s="18">
        <v>80</v>
      </c>
      <c r="J534" s="18"/>
      <c r="K534" t="s">
        <v>18</v>
      </c>
      <c r="L534" t="s">
        <v>39</v>
      </c>
      <c r="N534" s="16"/>
      <c r="O534" s="17"/>
      <c r="P534" s="17">
        <f t="shared" si="2"/>
        <v>80</v>
      </c>
      <c r="Q534" s="22"/>
      <c r="R534" s="23"/>
    </row>
    <row r="535" spans="1:18" ht="12.75">
      <c r="A535" s="22">
        <v>46318</v>
      </c>
      <c r="B535" t="s">
        <v>23</v>
      </c>
      <c r="C535" t="s">
        <v>120</v>
      </c>
      <c r="D535" s="19"/>
      <c r="E535" t="s">
        <v>24</v>
      </c>
      <c r="G535" t="s">
        <v>16</v>
      </c>
      <c r="H535" s="18">
        <v>45</v>
      </c>
      <c r="J535" s="18"/>
      <c r="K535" t="s">
        <v>27</v>
      </c>
      <c r="L535" t="s">
        <v>27</v>
      </c>
      <c r="N535" s="16"/>
      <c r="O535" s="17"/>
      <c r="P535" s="17">
        <f t="shared" si="2"/>
        <v>45</v>
      </c>
      <c r="Q535" s="22"/>
      <c r="R535" s="23"/>
    </row>
    <row r="536" spans="1:18" ht="12.75">
      <c r="A536" s="22">
        <v>46318</v>
      </c>
      <c r="B536" t="s">
        <v>23</v>
      </c>
      <c r="C536" t="s">
        <v>210</v>
      </c>
      <c r="D536" s="19"/>
      <c r="E536" t="s">
        <v>24</v>
      </c>
      <c r="G536" t="s">
        <v>25</v>
      </c>
      <c r="H536" s="18">
        <v>80</v>
      </c>
      <c r="J536" s="18"/>
      <c r="K536" t="s">
        <v>18</v>
      </c>
      <c r="L536" t="s">
        <v>34</v>
      </c>
      <c r="N536" s="16"/>
      <c r="O536" s="17"/>
      <c r="P536" s="17">
        <f t="shared" si="2"/>
        <v>80</v>
      </c>
      <c r="Q536" s="22"/>
      <c r="R536" s="23"/>
    </row>
    <row r="537" spans="1:18" ht="12.75">
      <c r="A537" s="22">
        <v>46318</v>
      </c>
      <c r="B537" t="s">
        <v>14</v>
      </c>
      <c r="C537" t="s">
        <v>300</v>
      </c>
      <c r="D537" s="19">
        <v>37252</v>
      </c>
      <c r="E537" t="s">
        <v>24</v>
      </c>
      <c r="F537">
        <v>11994511094</v>
      </c>
      <c r="G537" t="s">
        <v>16</v>
      </c>
      <c r="H537" s="18">
        <v>45</v>
      </c>
      <c r="J537" s="18"/>
      <c r="K537" t="s">
        <v>18</v>
      </c>
      <c r="L537" t="s">
        <v>34</v>
      </c>
      <c r="N537" s="16"/>
      <c r="O537" s="17"/>
      <c r="P537" s="17">
        <f t="shared" si="2"/>
        <v>45</v>
      </c>
      <c r="Q537" s="22"/>
      <c r="R537" s="23"/>
    </row>
    <row r="538" spans="1:18" ht="12.75">
      <c r="A538" s="22">
        <v>46318</v>
      </c>
      <c r="B538" t="s">
        <v>14</v>
      </c>
      <c r="C538" t="s">
        <v>346</v>
      </c>
      <c r="D538" s="19">
        <v>29606</v>
      </c>
      <c r="E538" t="s">
        <v>24</v>
      </c>
      <c r="F538">
        <v>11991603313</v>
      </c>
      <c r="G538" t="s">
        <v>16</v>
      </c>
      <c r="H538" s="18">
        <v>45</v>
      </c>
      <c r="J538" s="18"/>
      <c r="K538" t="s">
        <v>18</v>
      </c>
      <c r="L538" t="s">
        <v>39</v>
      </c>
      <c r="N538" s="16"/>
      <c r="O538" s="17"/>
      <c r="P538" s="17">
        <f t="shared" si="2"/>
        <v>45</v>
      </c>
      <c r="Q538" s="22"/>
      <c r="R538" s="23"/>
    </row>
    <row r="539" spans="1:18" ht="12.75">
      <c r="A539" s="22">
        <v>46318</v>
      </c>
      <c r="B539" t="s">
        <v>14</v>
      </c>
      <c r="C539" t="s">
        <v>556</v>
      </c>
      <c r="D539" s="19"/>
      <c r="E539" t="s">
        <v>15</v>
      </c>
      <c r="F539">
        <v>11983640899</v>
      </c>
      <c r="G539" t="s">
        <v>25</v>
      </c>
      <c r="H539" s="18">
        <v>80</v>
      </c>
      <c r="I539" t="s">
        <v>21</v>
      </c>
      <c r="J539" s="18">
        <v>10</v>
      </c>
      <c r="K539" t="s">
        <v>18</v>
      </c>
      <c r="L539" t="s">
        <v>39</v>
      </c>
      <c r="N539" s="16"/>
      <c r="O539" s="17"/>
      <c r="P539" s="17">
        <f t="shared" si="2"/>
        <v>90</v>
      </c>
      <c r="Q539" s="22"/>
      <c r="R539" s="23"/>
    </row>
    <row r="540" spans="1:18" ht="12.75">
      <c r="A540" s="22">
        <v>46318</v>
      </c>
      <c r="B540" t="s">
        <v>23</v>
      </c>
      <c r="C540" t="s">
        <v>309</v>
      </c>
      <c r="D540" s="19">
        <v>44919</v>
      </c>
      <c r="E540" t="s">
        <v>24</v>
      </c>
      <c r="F540">
        <v>11988456540</v>
      </c>
      <c r="G540" t="s">
        <v>16</v>
      </c>
      <c r="H540" s="18">
        <v>45</v>
      </c>
      <c r="J540" s="18"/>
      <c r="K540" t="s">
        <v>27</v>
      </c>
      <c r="L540" t="s">
        <v>27</v>
      </c>
      <c r="N540" s="16"/>
      <c r="O540" s="17"/>
      <c r="P540" s="17">
        <f t="shared" si="2"/>
        <v>45</v>
      </c>
      <c r="Q540" s="22"/>
      <c r="R540" s="23"/>
    </row>
    <row r="541" spans="1:18" ht="12.75">
      <c r="A541" s="22">
        <v>46318</v>
      </c>
      <c r="B541" t="s">
        <v>23</v>
      </c>
      <c r="C541" t="s">
        <v>513</v>
      </c>
      <c r="D541" s="19"/>
      <c r="E541" t="s">
        <v>24</v>
      </c>
      <c r="G541" t="s">
        <v>25</v>
      </c>
      <c r="H541" s="18">
        <v>80</v>
      </c>
      <c r="J541" s="18"/>
      <c r="K541" t="s">
        <v>18</v>
      </c>
      <c r="L541" t="s">
        <v>34</v>
      </c>
      <c r="N541" s="16"/>
      <c r="O541" s="17"/>
      <c r="P541" s="17">
        <f t="shared" si="2"/>
        <v>80</v>
      </c>
      <c r="Q541" s="22"/>
      <c r="R541" s="23"/>
    </row>
    <row r="542" spans="1:18" ht="12.75">
      <c r="A542" s="22">
        <v>46318</v>
      </c>
      <c r="B542" t="s">
        <v>23</v>
      </c>
      <c r="C542" t="s">
        <v>555</v>
      </c>
      <c r="D542" s="19"/>
      <c r="E542" t="s">
        <v>15</v>
      </c>
      <c r="F542">
        <v>11981128967</v>
      </c>
      <c r="G542" t="s">
        <v>16</v>
      </c>
      <c r="H542" s="18">
        <v>45</v>
      </c>
      <c r="J542" s="18"/>
      <c r="K542" t="s">
        <v>18</v>
      </c>
      <c r="L542" t="s">
        <v>39</v>
      </c>
      <c r="N542" s="16"/>
      <c r="O542" s="17"/>
      <c r="P542" s="17">
        <f t="shared" si="2"/>
        <v>45</v>
      </c>
      <c r="Q542" s="22"/>
      <c r="R542" s="23"/>
    </row>
    <row r="543" spans="1:18" ht="12.75">
      <c r="A543" s="22">
        <v>46318</v>
      </c>
      <c r="B543" t="s">
        <v>23</v>
      </c>
      <c r="C543" t="s">
        <v>84</v>
      </c>
      <c r="D543" s="19">
        <v>35272</v>
      </c>
      <c r="E543" t="s">
        <v>24</v>
      </c>
      <c r="F543">
        <v>11967250026</v>
      </c>
      <c r="G543" t="s">
        <v>16</v>
      </c>
      <c r="H543" s="18">
        <v>45</v>
      </c>
      <c r="J543" s="18"/>
      <c r="K543" t="s">
        <v>27</v>
      </c>
      <c r="L543" t="s">
        <v>27</v>
      </c>
      <c r="N543" s="16"/>
      <c r="O543" s="17"/>
      <c r="P543" s="17">
        <f t="shared" si="2"/>
        <v>45</v>
      </c>
      <c r="Q543" s="22"/>
      <c r="R543" s="23"/>
    </row>
    <row r="544" spans="1:18" ht="12.75">
      <c r="A544" s="26">
        <v>46318</v>
      </c>
      <c r="B544" t="s">
        <v>14</v>
      </c>
      <c r="C544" t="s">
        <v>505</v>
      </c>
      <c r="D544" s="26">
        <v>37839</v>
      </c>
      <c r="E544" t="s">
        <v>24</v>
      </c>
      <c r="F544">
        <v>11940496314</v>
      </c>
      <c r="G544" t="s">
        <v>25</v>
      </c>
      <c r="H544">
        <v>80</v>
      </c>
      <c r="I544" t="s">
        <v>21</v>
      </c>
      <c r="J544">
        <v>10</v>
      </c>
      <c r="K544" t="s">
        <v>18</v>
      </c>
      <c r="L544" t="s">
        <v>34</v>
      </c>
      <c r="P544">
        <f t="shared" si="2"/>
        <v>90</v>
      </c>
    </row>
    <row r="545" spans="1:16" ht="12.75">
      <c r="A545" s="26">
        <v>46318</v>
      </c>
      <c r="B545" t="s">
        <v>14</v>
      </c>
      <c r="C545" t="s">
        <v>551</v>
      </c>
      <c r="E545" t="s">
        <v>15</v>
      </c>
      <c r="F545">
        <v>11988202195</v>
      </c>
      <c r="G545" t="s">
        <v>16</v>
      </c>
      <c r="H545">
        <v>45</v>
      </c>
      <c r="K545" t="s">
        <v>18</v>
      </c>
      <c r="L545" t="s">
        <v>34</v>
      </c>
      <c r="P545">
        <f t="shared" si="2"/>
        <v>45</v>
      </c>
    </row>
    <row r="546" spans="1:16" ht="12.75">
      <c r="A546" s="26">
        <v>46318</v>
      </c>
      <c r="B546" t="s">
        <v>14</v>
      </c>
      <c r="C546" t="s">
        <v>558</v>
      </c>
      <c r="E546" t="s">
        <v>15</v>
      </c>
      <c r="F546">
        <v>11988719145</v>
      </c>
      <c r="G546" t="s">
        <v>25</v>
      </c>
      <c r="H546">
        <v>80</v>
      </c>
      <c r="K546" t="s">
        <v>27</v>
      </c>
      <c r="L546" t="s">
        <v>27</v>
      </c>
      <c r="P546">
        <f t="shared" si="2"/>
        <v>80</v>
      </c>
    </row>
    <row r="547" spans="1:16" ht="12.75">
      <c r="A547" s="26">
        <v>46318</v>
      </c>
      <c r="B547" t="s">
        <v>14</v>
      </c>
      <c r="C547" t="s">
        <v>450</v>
      </c>
      <c r="E547" t="s">
        <v>24</v>
      </c>
      <c r="G547" t="s">
        <v>16</v>
      </c>
      <c r="H547">
        <v>45</v>
      </c>
      <c r="I547" t="s">
        <v>30</v>
      </c>
      <c r="J547">
        <v>40</v>
      </c>
      <c r="K547" t="s">
        <v>18</v>
      </c>
      <c r="L547" t="s">
        <v>34</v>
      </c>
      <c r="P547">
        <f t="shared" si="2"/>
        <v>85</v>
      </c>
    </row>
    <row r="548" spans="1:16" ht="12.75">
      <c r="A548" s="26">
        <v>46319</v>
      </c>
      <c r="B548" t="s">
        <v>14</v>
      </c>
      <c r="C548" t="s">
        <v>139</v>
      </c>
      <c r="D548" s="26">
        <v>35324</v>
      </c>
      <c r="E548" t="s">
        <v>24</v>
      </c>
      <c r="F548">
        <v>11978778175</v>
      </c>
      <c r="G548" t="s">
        <v>16</v>
      </c>
      <c r="H548">
        <v>45</v>
      </c>
      <c r="K548" t="s">
        <v>18</v>
      </c>
      <c r="L548" t="s">
        <v>34</v>
      </c>
      <c r="P548">
        <f t="shared" si="2"/>
        <v>45</v>
      </c>
    </row>
    <row r="549" spans="1:16" ht="12.75">
      <c r="A549" s="26">
        <v>46319</v>
      </c>
      <c r="B549" t="s">
        <v>14</v>
      </c>
      <c r="C549" t="s">
        <v>156</v>
      </c>
      <c r="E549" t="s">
        <v>24</v>
      </c>
      <c r="F549">
        <v>11963101550</v>
      </c>
      <c r="G549" t="s">
        <v>16</v>
      </c>
      <c r="H549">
        <v>45</v>
      </c>
      <c r="I549" t="s">
        <v>12</v>
      </c>
      <c r="J549">
        <v>20</v>
      </c>
      <c r="K549" t="s">
        <v>18</v>
      </c>
      <c r="L549" t="s">
        <v>39</v>
      </c>
      <c r="P549">
        <f t="shared" si="2"/>
        <v>65</v>
      </c>
    </row>
    <row r="550" spans="1:16" ht="12.75">
      <c r="A550" s="26">
        <v>46319</v>
      </c>
      <c r="B550" t="s">
        <v>14</v>
      </c>
      <c r="C550" t="s">
        <v>554</v>
      </c>
      <c r="E550" t="s">
        <v>15</v>
      </c>
      <c r="F550">
        <v>11988783840</v>
      </c>
      <c r="G550" t="s">
        <v>25</v>
      </c>
      <c r="H550">
        <v>80</v>
      </c>
      <c r="K550" t="s">
        <v>18</v>
      </c>
      <c r="L550" t="s">
        <v>28</v>
      </c>
      <c r="P550">
        <f t="shared" si="2"/>
        <v>80</v>
      </c>
    </row>
    <row r="551" spans="1:16" ht="12.75">
      <c r="A551" s="26">
        <v>46319</v>
      </c>
      <c r="B551" t="s">
        <v>23</v>
      </c>
      <c r="C551" t="s">
        <v>553</v>
      </c>
      <c r="E551" t="s">
        <v>15</v>
      </c>
      <c r="F551">
        <v>11983532644</v>
      </c>
      <c r="G551" t="s">
        <v>16</v>
      </c>
      <c r="H551">
        <v>45</v>
      </c>
      <c r="K551" t="s">
        <v>18</v>
      </c>
      <c r="L551" t="s">
        <v>39</v>
      </c>
      <c r="P551">
        <f t="shared" si="2"/>
        <v>45</v>
      </c>
    </row>
    <row r="552" spans="1:16" ht="12.75">
      <c r="A552" s="26">
        <v>46319</v>
      </c>
      <c r="B552" t="s">
        <v>14</v>
      </c>
      <c r="C552" t="s">
        <v>118</v>
      </c>
      <c r="E552" t="s">
        <v>24</v>
      </c>
      <c r="G552" t="s">
        <v>16</v>
      </c>
      <c r="H552">
        <v>45</v>
      </c>
      <c r="K552" t="s">
        <v>27</v>
      </c>
      <c r="L552" t="s">
        <v>27</v>
      </c>
      <c r="P552">
        <f t="shared" si="2"/>
        <v>45</v>
      </c>
    </row>
    <row r="553" spans="1:16" ht="12.75">
      <c r="A553" s="26">
        <v>46319</v>
      </c>
      <c r="B553" t="s">
        <v>23</v>
      </c>
      <c r="C553" t="s">
        <v>127</v>
      </c>
      <c r="E553" t="s">
        <v>24</v>
      </c>
      <c r="G553" t="s">
        <v>16</v>
      </c>
      <c r="H553">
        <v>45</v>
      </c>
      <c r="K553" t="s">
        <v>18</v>
      </c>
      <c r="L553" t="s">
        <v>39</v>
      </c>
      <c r="P553">
        <f t="shared" si="2"/>
        <v>45</v>
      </c>
    </row>
    <row r="554" spans="1:16" ht="12.75">
      <c r="A554" s="26">
        <v>46319</v>
      </c>
      <c r="B554" t="s">
        <v>14</v>
      </c>
      <c r="C554" t="s">
        <v>163</v>
      </c>
      <c r="D554" s="26">
        <v>28179</v>
      </c>
      <c r="E554" t="s">
        <v>24</v>
      </c>
      <c r="G554" t="s">
        <v>25</v>
      </c>
      <c r="H554">
        <v>80</v>
      </c>
      <c r="K554" t="s">
        <v>18</v>
      </c>
      <c r="L554" t="s">
        <v>34</v>
      </c>
      <c r="P554">
        <f t="shared" si="2"/>
        <v>80</v>
      </c>
    </row>
    <row r="555" spans="1:16" ht="12.75">
      <c r="A555" s="26">
        <v>46319</v>
      </c>
      <c r="B555" t="s">
        <v>14</v>
      </c>
      <c r="C555" t="s">
        <v>169</v>
      </c>
      <c r="D555" s="26">
        <v>33922</v>
      </c>
      <c r="E555" t="s">
        <v>24</v>
      </c>
      <c r="F555">
        <v>77988077846</v>
      </c>
      <c r="G555" t="s">
        <v>46</v>
      </c>
      <c r="H555">
        <v>30</v>
      </c>
      <c r="I555" t="s">
        <v>12</v>
      </c>
      <c r="J555">
        <v>20</v>
      </c>
      <c r="K555" t="s">
        <v>27</v>
      </c>
      <c r="L555" t="s">
        <v>27</v>
      </c>
      <c r="P555">
        <f t="shared" si="2"/>
        <v>50</v>
      </c>
    </row>
    <row r="556" spans="1:16" ht="12.75">
      <c r="A556" s="26">
        <v>46319</v>
      </c>
      <c r="B556" t="s">
        <v>23</v>
      </c>
      <c r="C556" t="s">
        <v>559</v>
      </c>
      <c r="E556" t="s">
        <v>15</v>
      </c>
      <c r="F556">
        <v>11989770256</v>
      </c>
      <c r="G556" t="s">
        <v>16</v>
      </c>
      <c r="H556">
        <v>45</v>
      </c>
      <c r="K556" t="s">
        <v>18</v>
      </c>
      <c r="L556" t="s">
        <v>34</v>
      </c>
      <c r="P556">
        <f t="shared" si="2"/>
        <v>45</v>
      </c>
    </row>
    <row r="557" spans="1:16" ht="12.75">
      <c r="A557" s="26">
        <v>46319</v>
      </c>
      <c r="B557" t="s">
        <v>23</v>
      </c>
      <c r="C557" t="s">
        <v>107</v>
      </c>
      <c r="D557" s="26">
        <v>37495</v>
      </c>
      <c r="E557" t="s">
        <v>24</v>
      </c>
      <c r="F557">
        <v>11963686221</v>
      </c>
      <c r="G557" t="s">
        <v>25</v>
      </c>
      <c r="H557">
        <v>80</v>
      </c>
      <c r="K557" t="s">
        <v>27</v>
      </c>
      <c r="L557" t="s">
        <v>27</v>
      </c>
      <c r="P557">
        <f t="shared" si="2"/>
        <v>80</v>
      </c>
    </row>
    <row r="558" spans="1:16" ht="12.75">
      <c r="A558" s="26">
        <v>46319</v>
      </c>
      <c r="B558" t="s">
        <v>14</v>
      </c>
      <c r="C558" t="s">
        <v>136</v>
      </c>
      <c r="D558" s="26">
        <v>37678</v>
      </c>
      <c r="E558" t="s">
        <v>24</v>
      </c>
      <c r="F558">
        <v>21976608617</v>
      </c>
      <c r="G558" t="s">
        <v>16</v>
      </c>
      <c r="H558">
        <v>45</v>
      </c>
      <c r="K558" t="s">
        <v>18</v>
      </c>
      <c r="L558" t="s">
        <v>28</v>
      </c>
      <c r="P558">
        <f t="shared" si="2"/>
        <v>45</v>
      </c>
    </row>
    <row r="559" spans="1:16" ht="12.75">
      <c r="A559" s="26">
        <v>46319</v>
      </c>
      <c r="B559" t="s">
        <v>14</v>
      </c>
      <c r="C559" t="s">
        <v>445</v>
      </c>
      <c r="D559" s="26">
        <v>36632</v>
      </c>
      <c r="E559" t="s">
        <v>24</v>
      </c>
      <c r="F559">
        <v>47988262529</v>
      </c>
      <c r="G559" t="s">
        <v>25</v>
      </c>
      <c r="H559">
        <v>80</v>
      </c>
      <c r="K559" t="s">
        <v>18</v>
      </c>
      <c r="L559" t="s">
        <v>39</v>
      </c>
      <c r="P559">
        <f t="shared" si="2"/>
        <v>80</v>
      </c>
    </row>
    <row r="560" spans="1:16" ht="12.75">
      <c r="A560" s="26">
        <v>46319</v>
      </c>
      <c r="B560" t="s">
        <v>23</v>
      </c>
      <c r="C560" t="s">
        <v>173</v>
      </c>
      <c r="D560" s="26">
        <v>31209</v>
      </c>
      <c r="E560" t="s">
        <v>24</v>
      </c>
      <c r="F560">
        <v>11910346719</v>
      </c>
      <c r="G560" t="s">
        <v>38</v>
      </c>
      <c r="H560">
        <v>70</v>
      </c>
      <c r="K560" t="s">
        <v>18</v>
      </c>
      <c r="L560" t="s">
        <v>39</v>
      </c>
      <c r="P560">
        <f t="shared" si="2"/>
        <v>70</v>
      </c>
    </row>
    <row r="561" spans="1:18" ht="12.75">
      <c r="A561" s="26">
        <v>46319</v>
      </c>
      <c r="B561" t="s">
        <v>14</v>
      </c>
      <c r="C561" t="s">
        <v>270</v>
      </c>
      <c r="D561" s="26">
        <v>32101</v>
      </c>
      <c r="E561" t="s">
        <v>24</v>
      </c>
      <c r="F561">
        <v>11959165167</v>
      </c>
      <c r="G561" t="s">
        <v>32</v>
      </c>
      <c r="H561">
        <v>35</v>
      </c>
      <c r="I561" t="s">
        <v>41</v>
      </c>
      <c r="J561">
        <v>25</v>
      </c>
      <c r="K561" t="s">
        <v>18</v>
      </c>
      <c r="L561" t="s">
        <v>34</v>
      </c>
      <c r="P561">
        <f t="shared" si="2"/>
        <v>60</v>
      </c>
    </row>
    <row r="562" spans="1:18" ht="12.75">
      <c r="A562" s="26">
        <v>46319</v>
      </c>
      <c r="B562" t="s">
        <v>23</v>
      </c>
      <c r="C562" t="s">
        <v>186</v>
      </c>
      <c r="E562" t="s">
        <v>24</v>
      </c>
      <c r="G562" t="s">
        <v>16</v>
      </c>
      <c r="H562">
        <v>45</v>
      </c>
      <c r="K562" t="s">
        <v>27</v>
      </c>
      <c r="L562" t="s">
        <v>27</v>
      </c>
      <c r="P562">
        <f t="shared" si="2"/>
        <v>45</v>
      </c>
    </row>
    <row r="563" spans="1:18" ht="12.75">
      <c r="A563" s="26">
        <v>46319</v>
      </c>
      <c r="B563" t="s">
        <v>14</v>
      </c>
      <c r="C563" t="s">
        <v>221</v>
      </c>
      <c r="D563" s="26">
        <v>35938</v>
      </c>
      <c r="E563" t="s">
        <v>24</v>
      </c>
      <c r="F563">
        <v>11954398450</v>
      </c>
      <c r="G563" t="s">
        <v>25</v>
      </c>
      <c r="H563">
        <v>80</v>
      </c>
      <c r="I563" t="s">
        <v>21</v>
      </c>
      <c r="J563">
        <v>10</v>
      </c>
      <c r="K563" t="s">
        <v>18</v>
      </c>
      <c r="L563" t="s">
        <v>28</v>
      </c>
      <c r="P563">
        <f t="shared" ref="P563:P626" si="3">H563+J563+S563</f>
        <v>90</v>
      </c>
    </row>
    <row r="564" spans="1:18" ht="12.75">
      <c r="A564" s="26">
        <v>46320</v>
      </c>
      <c r="B564" t="s">
        <v>14</v>
      </c>
      <c r="C564" t="s">
        <v>160</v>
      </c>
      <c r="D564" s="26">
        <v>36855</v>
      </c>
      <c r="E564" t="s">
        <v>24</v>
      </c>
      <c r="F564">
        <v>11984708838</v>
      </c>
      <c r="G564" t="s">
        <v>16</v>
      </c>
      <c r="H564">
        <v>45</v>
      </c>
      <c r="K564" t="s">
        <v>18</v>
      </c>
      <c r="L564" t="s">
        <v>28</v>
      </c>
      <c r="P564">
        <f t="shared" si="3"/>
        <v>45</v>
      </c>
    </row>
    <row r="565" spans="1:18" ht="12.75">
      <c r="A565" s="26">
        <v>46320</v>
      </c>
      <c r="B565" t="s">
        <v>14</v>
      </c>
      <c r="C565" t="s">
        <v>103</v>
      </c>
      <c r="D565" s="26">
        <v>36222</v>
      </c>
      <c r="E565" t="s">
        <v>24</v>
      </c>
      <c r="F565">
        <v>13982009511</v>
      </c>
      <c r="G565" t="s">
        <v>16</v>
      </c>
      <c r="H565">
        <v>45</v>
      </c>
      <c r="K565" t="s">
        <v>18</v>
      </c>
      <c r="L565" t="s">
        <v>34</v>
      </c>
      <c r="P565">
        <f t="shared" si="3"/>
        <v>45</v>
      </c>
    </row>
    <row r="566" spans="1:18" ht="12.75">
      <c r="A566" s="26">
        <v>46320</v>
      </c>
      <c r="B566" t="s">
        <v>23</v>
      </c>
      <c r="C566" t="s">
        <v>340</v>
      </c>
      <c r="D566" s="26">
        <v>28230</v>
      </c>
      <c r="E566" t="s">
        <v>24</v>
      </c>
      <c r="F566">
        <v>14981385353</v>
      </c>
      <c r="G566" t="s">
        <v>16</v>
      </c>
      <c r="H566">
        <v>45</v>
      </c>
      <c r="K566" t="s">
        <v>18</v>
      </c>
      <c r="L566" t="s">
        <v>39</v>
      </c>
      <c r="P566">
        <f t="shared" si="3"/>
        <v>45</v>
      </c>
    </row>
    <row r="567" spans="1:18" ht="12.75">
      <c r="A567" s="22">
        <v>46320</v>
      </c>
      <c r="B567" t="s">
        <v>14</v>
      </c>
      <c r="C567" t="s">
        <v>163</v>
      </c>
      <c r="D567" s="19">
        <v>28179</v>
      </c>
      <c r="E567" t="s">
        <v>24</v>
      </c>
      <c r="G567" t="s">
        <v>46</v>
      </c>
      <c r="H567" s="18">
        <v>30</v>
      </c>
      <c r="J567" s="18"/>
      <c r="K567" t="s">
        <v>18</v>
      </c>
      <c r="L567" t="s">
        <v>34</v>
      </c>
      <c r="N567" s="16"/>
      <c r="O567" s="17"/>
      <c r="P567" s="17">
        <f t="shared" si="3"/>
        <v>30</v>
      </c>
      <c r="Q567" s="22"/>
      <c r="R567" s="23"/>
    </row>
    <row r="568" spans="1:18" ht="12.75">
      <c r="A568" s="22">
        <v>46321</v>
      </c>
      <c r="B568" t="s">
        <v>23</v>
      </c>
      <c r="C568" t="s">
        <v>560</v>
      </c>
      <c r="D568" s="19"/>
      <c r="E568" t="s">
        <v>15</v>
      </c>
      <c r="F568">
        <v>11983321942</v>
      </c>
      <c r="G568" t="s">
        <v>32</v>
      </c>
      <c r="H568" s="18">
        <v>35</v>
      </c>
      <c r="I568" t="s">
        <v>41</v>
      </c>
      <c r="J568" s="18">
        <v>25</v>
      </c>
      <c r="K568" t="s">
        <v>18</v>
      </c>
      <c r="L568" t="s">
        <v>39</v>
      </c>
      <c r="N568" s="16"/>
      <c r="O568" s="17"/>
      <c r="P568" s="17">
        <f t="shared" si="3"/>
        <v>60</v>
      </c>
      <c r="Q568" s="22"/>
      <c r="R568" s="23"/>
    </row>
    <row r="569" spans="1:18" ht="12.75">
      <c r="A569" s="22">
        <v>46321</v>
      </c>
      <c r="B569" t="s">
        <v>14</v>
      </c>
      <c r="C569" t="s">
        <v>126</v>
      </c>
      <c r="D569" s="19">
        <v>33764</v>
      </c>
      <c r="E569" t="s">
        <v>24</v>
      </c>
      <c r="F569">
        <v>11991040876</v>
      </c>
      <c r="G569" t="s">
        <v>32</v>
      </c>
      <c r="H569" s="18">
        <v>35</v>
      </c>
      <c r="J569" s="18"/>
      <c r="K569" t="s">
        <v>18</v>
      </c>
      <c r="L569" t="s">
        <v>34</v>
      </c>
      <c r="N569" s="16"/>
      <c r="O569" s="17"/>
      <c r="P569" s="17">
        <f t="shared" si="3"/>
        <v>35</v>
      </c>
      <c r="Q569" s="22"/>
      <c r="R569" s="23"/>
    </row>
    <row r="570" spans="1:18" ht="12.75">
      <c r="A570" s="22">
        <v>46321</v>
      </c>
      <c r="B570" t="s">
        <v>14</v>
      </c>
      <c r="C570" t="s">
        <v>127</v>
      </c>
      <c r="D570" s="19"/>
      <c r="E570" t="s">
        <v>24</v>
      </c>
      <c r="G570" t="s">
        <v>38</v>
      </c>
      <c r="H570" s="18">
        <v>70</v>
      </c>
      <c r="J570" s="18"/>
      <c r="K570" t="s">
        <v>18</v>
      </c>
      <c r="L570" t="s">
        <v>34</v>
      </c>
      <c r="N570" s="16"/>
      <c r="O570" s="17"/>
      <c r="P570" s="17">
        <f t="shared" si="3"/>
        <v>70</v>
      </c>
      <c r="Q570" s="22"/>
      <c r="R570" s="23"/>
    </row>
    <row r="571" spans="1:18" ht="12.75">
      <c r="A571" s="22">
        <v>46321</v>
      </c>
      <c r="B571" t="s">
        <v>14</v>
      </c>
      <c r="C571" t="s">
        <v>295</v>
      </c>
      <c r="D571" s="19">
        <v>35283</v>
      </c>
      <c r="E571" t="s">
        <v>24</v>
      </c>
      <c r="F571">
        <v>11983232331</v>
      </c>
      <c r="G571" t="s">
        <v>16</v>
      </c>
      <c r="H571" s="18">
        <v>45</v>
      </c>
      <c r="J571" s="18"/>
      <c r="K571" t="s">
        <v>18</v>
      </c>
      <c r="L571" t="s">
        <v>34</v>
      </c>
      <c r="N571" s="16"/>
      <c r="O571" s="17"/>
      <c r="P571" s="17">
        <f t="shared" si="3"/>
        <v>45</v>
      </c>
      <c r="Q571" s="22"/>
      <c r="R571" s="23"/>
    </row>
    <row r="572" spans="1:18" ht="12.75">
      <c r="A572" s="22">
        <v>46321</v>
      </c>
      <c r="B572" t="s">
        <v>14</v>
      </c>
      <c r="C572" t="s">
        <v>131</v>
      </c>
      <c r="D572" s="19">
        <v>35889</v>
      </c>
      <c r="E572" t="s">
        <v>24</v>
      </c>
      <c r="F572">
        <v>11970370085</v>
      </c>
      <c r="G572" t="s">
        <v>25</v>
      </c>
      <c r="H572" s="18">
        <v>80</v>
      </c>
      <c r="J572" s="18"/>
      <c r="K572" t="s">
        <v>18</v>
      </c>
      <c r="L572" t="s">
        <v>34</v>
      </c>
      <c r="N572" s="16"/>
      <c r="O572" s="17"/>
      <c r="P572" s="17">
        <f t="shared" si="3"/>
        <v>80</v>
      </c>
      <c r="Q572" s="22"/>
      <c r="R572" s="23"/>
    </row>
    <row r="573" spans="1:18" ht="12.75">
      <c r="A573" s="22">
        <v>46321</v>
      </c>
      <c r="B573" t="s">
        <v>23</v>
      </c>
      <c r="C573" t="s">
        <v>554</v>
      </c>
      <c r="D573" s="19"/>
      <c r="E573" t="s">
        <v>15</v>
      </c>
      <c r="F573">
        <v>11983328554</v>
      </c>
      <c r="G573" t="s">
        <v>25</v>
      </c>
      <c r="H573" s="18">
        <v>80</v>
      </c>
      <c r="J573" s="18"/>
      <c r="K573" t="s">
        <v>18</v>
      </c>
      <c r="L573" t="s">
        <v>28</v>
      </c>
      <c r="N573" s="16"/>
      <c r="O573" s="17"/>
      <c r="P573" s="17">
        <f t="shared" si="3"/>
        <v>80</v>
      </c>
      <c r="Q573" s="22"/>
      <c r="R573" s="23"/>
    </row>
    <row r="574" spans="1:18" ht="12.75">
      <c r="A574" s="22">
        <v>46321</v>
      </c>
      <c r="B574" t="s">
        <v>14</v>
      </c>
      <c r="C574" t="s">
        <v>158</v>
      </c>
      <c r="D574" s="19">
        <v>33112</v>
      </c>
      <c r="E574" t="s">
        <v>24</v>
      </c>
      <c r="G574" t="s">
        <v>16</v>
      </c>
      <c r="H574" s="18">
        <v>45</v>
      </c>
      <c r="J574" s="18"/>
      <c r="K574" t="s">
        <v>18</v>
      </c>
      <c r="L574" t="s">
        <v>34</v>
      </c>
      <c r="N574" s="16"/>
      <c r="O574" s="17"/>
      <c r="P574" s="17">
        <f t="shared" si="3"/>
        <v>45</v>
      </c>
      <c r="Q574" s="22"/>
      <c r="R574" s="23"/>
    </row>
    <row r="575" spans="1:18" ht="12.75">
      <c r="A575" s="22">
        <v>46321</v>
      </c>
      <c r="B575" t="s">
        <v>23</v>
      </c>
      <c r="C575" t="s">
        <v>144</v>
      </c>
      <c r="D575" s="19">
        <v>35346</v>
      </c>
      <c r="E575" t="s">
        <v>24</v>
      </c>
      <c r="F575">
        <v>11996231672</v>
      </c>
      <c r="G575" t="s">
        <v>16</v>
      </c>
      <c r="H575" s="18">
        <v>45</v>
      </c>
      <c r="J575" s="18"/>
      <c r="K575" t="s">
        <v>18</v>
      </c>
      <c r="L575" t="s">
        <v>34</v>
      </c>
      <c r="N575" s="16"/>
      <c r="O575" s="17"/>
      <c r="P575" s="17">
        <f t="shared" si="3"/>
        <v>45</v>
      </c>
      <c r="Q575" s="22"/>
      <c r="R575" s="23"/>
    </row>
    <row r="576" spans="1:18" ht="12.75">
      <c r="A576" s="22">
        <v>46321</v>
      </c>
      <c r="B576" t="s">
        <v>14</v>
      </c>
      <c r="C576" t="s">
        <v>381</v>
      </c>
      <c r="D576" s="19"/>
      <c r="E576" t="s">
        <v>24</v>
      </c>
      <c r="G576" t="s">
        <v>16</v>
      </c>
      <c r="H576" s="18">
        <v>45</v>
      </c>
      <c r="I576" t="s">
        <v>12</v>
      </c>
      <c r="J576" s="18">
        <v>20</v>
      </c>
      <c r="K576" t="s">
        <v>18</v>
      </c>
      <c r="L576" t="s">
        <v>34</v>
      </c>
      <c r="N576" s="16"/>
      <c r="O576" s="17"/>
      <c r="P576" s="17">
        <f t="shared" si="3"/>
        <v>65</v>
      </c>
      <c r="Q576" s="22"/>
      <c r="R576" s="23"/>
    </row>
    <row r="577" spans="1:18" ht="12.75">
      <c r="A577" s="22">
        <v>46321</v>
      </c>
      <c r="B577" t="s">
        <v>14</v>
      </c>
      <c r="C577" t="s">
        <v>198</v>
      </c>
      <c r="D577" s="19">
        <v>42089</v>
      </c>
      <c r="E577" t="s">
        <v>24</v>
      </c>
      <c r="F577">
        <v>11961727793</v>
      </c>
      <c r="G577" t="s">
        <v>16</v>
      </c>
      <c r="H577" s="18">
        <v>45</v>
      </c>
      <c r="J577" s="18"/>
      <c r="K577" t="s">
        <v>18</v>
      </c>
      <c r="L577" t="s">
        <v>34</v>
      </c>
      <c r="N577" s="16"/>
      <c r="O577" s="17"/>
      <c r="P577" s="17">
        <f t="shared" si="3"/>
        <v>45</v>
      </c>
      <c r="Q577" s="22"/>
      <c r="R577" s="23"/>
    </row>
    <row r="578" spans="1:18" ht="12.75">
      <c r="A578" s="22">
        <v>46321</v>
      </c>
      <c r="B578" t="s">
        <v>23</v>
      </c>
      <c r="C578" t="s">
        <v>291</v>
      </c>
      <c r="D578" s="19">
        <v>34802</v>
      </c>
      <c r="E578" t="s">
        <v>24</v>
      </c>
      <c r="F578">
        <v>11993561282</v>
      </c>
      <c r="G578" t="s">
        <v>16</v>
      </c>
      <c r="H578" s="18">
        <v>45</v>
      </c>
      <c r="J578" s="18"/>
      <c r="K578" t="s">
        <v>18</v>
      </c>
      <c r="L578" t="s">
        <v>34</v>
      </c>
      <c r="N578" s="16"/>
      <c r="O578" s="17"/>
      <c r="P578" s="17">
        <f t="shared" si="3"/>
        <v>45</v>
      </c>
      <c r="Q578" s="22"/>
      <c r="R578" s="23"/>
    </row>
    <row r="579" spans="1:18" ht="12.75">
      <c r="A579" s="22">
        <v>46322</v>
      </c>
      <c r="B579" t="s">
        <v>14</v>
      </c>
      <c r="C579" t="s">
        <v>277</v>
      </c>
      <c r="D579" s="19"/>
      <c r="E579" t="s">
        <v>24</v>
      </c>
      <c r="G579" t="s">
        <v>16</v>
      </c>
      <c r="H579" s="18">
        <v>45</v>
      </c>
      <c r="I579" t="s">
        <v>21</v>
      </c>
      <c r="J579" s="18">
        <v>10</v>
      </c>
      <c r="K579" t="s">
        <v>18</v>
      </c>
      <c r="L579" t="s">
        <v>39</v>
      </c>
      <c r="N579" s="16"/>
      <c r="O579" s="17"/>
      <c r="P579" s="17">
        <f t="shared" si="3"/>
        <v>55</v>
      </c>
      <c r="Q579" s="22"/>
      <c r="R579" s="23"/>
    </row>
    <row r="580" spans="1:18" ht="12.75">
      <c r="A580" s="22">
        <v>46322</v>
      </c>
      <c r="B580" t="s">
        <v>14</v>
      </c>
      <c r="C580" t="s">
        <v>101</v>
      </c>
      <c r="D580" s="19">
        <v>38070</v>
      </c>
      <c r="E580" t="s">
        <v>24</v>
      </c>
      <c r="F580">
        <v>11993117433</v>
      </c>
      <c r="G580" t="s">
        <v>16</v>
      </c>
      <c r="H580" s="18">
        <v>45</v>
      </c>
      <c r="J580" s="18"/>
      <c r="K580" t="s">
        <v>18</v>
      </c>
      <c r="L580" t="s">
        <v>39</v>
      </c>
      <c r="N580" s="16"/>
      <c r="O580" s="17"/>
      <c r="P580" s="17">
        <f t="shared" si="3"/>
        <v>45</v>
      </c>
      <c r="Q580" s="22"/>
      <c r="R580" s="23"/>
    </row>
    <row r="581" spans="1:18" ht="12.75">
      <c r="A581" s="22">
        <v>46322</v>
      </c>
      <c r="B581" t="s">
        <v>23</v>
      </c>
      <c r="C581" t="s">
        <v>554</v>
      </c>
      <c r="D581" s="19"/>
      <c r="E581" t="s">
        <v>15</v>
      </c>
      <c r="F581">
        <v>11984058117</v>
      </c>
      <c r="G581" t="s">
        <v>25</v>
      </c>
      <c r="H581" s="18">
        <v>80</v>
      </c>
      <c r="I581" t="s">
        <v>41</v>
      </c>
      <c r="J581" s="18">
        <v>25</v>
      </c>
      <c r="K581" t="s">
        <v>27</v>
      </c>
      <c r="L581" t="s">
        <v>27</v>
      </c>
      <c r="N581" s="16"/>
      <c r="O581" s="17"/>
      <c r="P581" s="17">
        <f t="shared" si="3"/>
        <v>105</v>
      </c>
      <c r="Q581" s="22"/>
      <c r="R581" s="23"/>
    </row>
    <row r="582" spans="1:18" ht="12.75">
      <c r="A582" s="22">
        <v>46322</v>
      </c>
      <c r="B582" t="s">
        <v>14</v>
      </c>
      <c r="C582" t="s">
        <v>181</v>
      </c>
      <c r="D582" s="19">
        <v>37883</v>
      </c>
      <c r="E582" t="s">
        <v>24</v>
      </c>
      <c r="F582">
        <v>41195254527</v>
      </c>
      <c r="G582" t="s">
        <v>32</v>
      </c>
      <c r="H582" s="18">
        <v>35</v>
      </c>
      <c r="J582" s="18"/>
      <c r="K582" t="s">
        <v>18</v>
      </c>
      <c r="L582" t="s">
        <v>34</v>
      </c>
      <c r="N582" s="16"/>
      <c r="O582" s="17"/>
      <c r="P582" s="17">
        <f t="shared" si="3"/>
        <v>35</v>
      </c>
      <c r="Q582" s="22"/>
      <c r="R582" s="23"/>
    </row>
    <row r="583" spans="1:18" ht="12.75">
      <c r="A583" s="22">
        <v>46322</v>
      </c>
      <c r="B583" t="s">
        <v>23</v>
      </c>
      <c r="C583" t="s">
        <v>284</v>
      </c>
      <c r="D583" s="19">
        <v>33679</v>
      </c>
      <c r="E583" t="s">
        <v>24</v>
      </c>
      <c r="F583">
        <v>11963141134</v>
      </c>
      <c r="G583" t="s">
        <v>16</v>
      </c>
      <c r="H583" s="18">
        <v>45</v>
      </c>
      <c r="J583" s="18"/>
      <c r="K583" t="s">
        <v>18</v>
      </c>
      <c r="L583" t="s">
        <v>28</v>
      </c>
      <c r="N583" s="16"/>
      <c r="O583" s="17"/>
      <c r="P583" s="17">
        <f t="shared" si="3"/>
        <v>45</v>
      </c>
      <c r="Q583" s="22"/>
      <c r="R583" s="23"/>
    </row>
    <row r="584" spans="1:18" ht="12.75">
      <c r="A584" s="22">
        <v>46322</v>
      </c>
      <c r="B584" t="s">
        <v>23</v>
      </c>
      <c r="C584" t="s">
        <v>117</v>
      </c>
      <c r="D584" s="19"/>
      <c r="E584" t="s">
        <v>24</v>
      </c>
      <c r="G584" t="s">
        <v>16</v>
      </c>
      <c r="H584" s="18">
        <v>45</v>
      </c>
      <c r="J584" s="18"/>
      <c r="K584" t="s">
        <v>18</v>
      </c>
      <c r="L584" t="s">
        <v>19</v>
      </c>
      <c r="N584" s="16"/>
      <c r="O584" s="17"/>
      <c r="P584" s="17">
        <f t="shared" si="3"/>
        <v>45</v>
      </c>
      <c r="Q584" s="22"/>
      <c r="R584" s="23"/>
    </row>
    <row r="585" spans="1:18" ht="12.75">
      <c r="A585" s="22">
        <v>46322</v>
      </c>
      <c r="B585" t="s">
        <v>23</v>
      </c>
      <c r="C585" t="s">
        <v>554</v>
      </c>
      <c r="D585" s="19"/>
      <c r="E585" t="s">
        <v>15</v>
      </c>
      <c r="F585">
        <v>11989347057</v>
      </c>
      <c r="G585" t="s">
        <v>16</v>
      </c>
      <c r="H585" s="18">
        <v>45</v>
      </c>
      <c r="J585" s="18"/>
      <c r="K585" t="s">
        <v>18</v>
      </c>
      <c r="L585" t="s">
        <v>34</v>
      </c>
      <c r="N585" s="16"/>
      <c r="O585" s="17"/>
      <c r="P585" s="17">
        <f t="shared" si="3"/>
        <v>45</v>
      </c>
      <c r="Q585" s="22"/>
      <c r="R585" s="23"/>
    </row>
    <row r="586" spans="1:18" ht="12.75">
      <c r="A586" s="22">
        <v>46322</v>
      </c>
      <c r="B586" t="s">
        <v>23</v>
      </c>
      <c r="C586" t="s">
        <v>114</v>
      </c>
      <c r="D586" s="19"/>
      <c r="E586" t="s">
        <v>24</v>
      </c>
      <c r="G586" t="s">
        <v>46</v>
      </c>
      <c r="H586" s="18">
        <v>30</v>
      </c>
      <c r="J586" s="18"/>
      <c r="K586" t="s">
        <v>18</v>
      </c>
      <c r="L586" t="s">
        <v>34</v>
      </c>
      <c r="N586" s="16"/>
      <c r="O586" s="17"/>
      <c r="P586" s="17">
        <f t="shared" si="3"/>
        <v>30</v>
      </c>
      <c r="Q586" s="22"/>
      <c r="R586" s="23"/>
    </row>
    <row r="587" spans="1:18" ht="12.75">
      <c r="A587" s="22">
        <v>46322</v>
      </c>
      <c r="B587" t="s">
        <v>23</v>
      </c>
      <c r="C587" t="s">
        <v>225</v>
      </c>
      <c r="D587" s="19">
        <v>36483</v>
      </c>
      <c r="E587" t="s">
        <v>24</v>
      </c>
      <c r="F587">
        <v>11967607241</v>
      </c>
      <c r="G587" t="s">
        <v>16</v>
      </c>
      <c r="H587" s="18">
        <v>45</v>
      </c>
      <c r="J587" s="18"/>
      <c r="K587" t="s">
        <v>27</v>
      </c>
      <c r="L587" t="s">
        <v>27</v>
      </c>
      <c r="N587" s="16"/>
      <c r="O587" s="17"/>
      <c r="P587" s="17">
        <f t="shared" si="3"/>
        <v>45</v>
      </c>
      <c r="Q587" s="22"/>
      <c r="R587" s="23"/>
    </row>
    <row r="588" spans="1:18" ht="12.75">
      <c r="A588" s="22">
        <v>46322</v>
      </c>
      <c r="B588" t="s">
        <v>23</v>
      </c>
      <c r="C588" t="s">
        <v>102</v>
      </c>
      <c r="D588" s="19">
        <v>33525</v>
      </c>
      <c r="E588" t="s">
        <v>24</v>
      </c>
      <c r="F588">
        <v>11951069136</v>
      </c>
      <c r="G588" t="s">
        <v>25</v>
      </c>
      <c r="H588" s="18">
        <v>80</v>
      </c>
      <c r="J588" s="18"/>
      <c r="K588" t="s">
        <v>18</v>
      </c>
      <c r="L588" t="s">
        <v>34</v>
      </c>
      <c r="N588" s="16"/>
      <c r="O588" s="17"/>
      <c r="P588" s="17">
        <f t="shared" si="3"/>
        <v>80</v>
      </c>
      <c r="Q588" s="22"/>
      <c r="R588" s="23"/>
    </row>
    <row r="589" spans="1:18" ht="12.75">
      <c r="A589" s="22">
        <v>46323</v>
      </c>
      <c r="B589" t="s">
        <v>14</v>
      </c>
      <c r="C589" t="s">
        <v>124</v>
      </c>
      <c r="D589" s="19"/>
      <c r="E589" t="s">
        <v>24</v>
      </c>
      <c r="G589" t="s">
        <v>16</v>
      </c>
      <c r="H589" s="18">
        <v>45</v>
      </c>
      <c r="J589" s="18"/>
      <c r="K589" t="s">
        <v>18</v>
      </c>
      <c r="L589" t="s">
        <v>34</v>
      </c>
      <c r="N589" s="16"/>
      <c r="O589" s="17"/>
      <c r="P589" s="17">
        <f t="shared" si="3"/>
        <v>45</v>
      </c>
      <c r="Q589" s="22"/>
      <c r="R589" s="23"/>
    </row>
    <row r="590" spans="1:18" ht="12.75">
      <c r="A590" s="22">
        <v>46323</v>
      </c>
      <c r="B590" t="s">
        <v>14</v>
      </c>
      <c r="C590" t="s">
        <v>465</v>
      </c>
      <c r="D590" s="19"/>
      <c r="E590" t="s">
        <v>24</v>
      </c>
      <c r="F590">
        <v>11974610335</v>
      </c>
      <c r="G590" t="s">
        <v>25</v>
      </c>
      <c r="H590" s="18">
        <v>80</v>
      </c>
      <c r="J590" s="18"/>
      <c r="K590" t="s">
        <v>27</v>
      </c>
      <c r="L590" t="s">
        <v>27</v>
      </c>
      <c r="N590" s="16"/>
      <c r="O590" s="17"/>
      <c r="P590" s="17">
        <f t="shared" si="3"/>
        <v>80</v>
      </c>
      <c r="Q590" s="22"/>
      <c r="R590" s="23"/>
    </row>
    <row r="591" spans="1:18" ht="12.75">
      <c r="A591" s="22">
        <v>46323</v>
      </c>
      <c r="B591" t="s">
        <v>14</v>
      </c>
      <c r="C591" t="s">
        <v>272</v>
      </c>
      <c r="D591" s="19">
        <v>32262</v>
      </c>
      <c r="E591" t="s">
        <v>24</v>
      </c>
      <c r="F591">
        <v>11973273492</v>
      </c>
      <c r="G591" t="s">
        <v>16</v>
      </c>
      <c r="H591" s="18">
        <v>45</v>
      </c>
      <c r="J591" s="18"/>
      <c r="K591" t="s">
        <v>27</v>
      </c>
      <c r="L591" t="s">
        <v>27</v>
      </c>
      <c r="N591" s="16"/>
      <c r="O591" s="17"/>
      <c r="P591" s="17">
        <f t="shared" si="3"/>
        <v>45</v>
      </c>
      <c r="Q591" s="22"/>
      <c r="R591" s="23"/>
    </row>
    <row r="592" spans="1:18" ht="12.75">
      <c r="A592" s="22">
        <v>46323</v>
      </c>
      <c r="B592" t="s">
        <v>14</v>
      </c>
      <c r="C592" t="s">
        <v>224</v>
      </c>
      <c r="D592" s="19">
        <v>31042</v>
      </c>
      <c r="E592" t="s">
        <v>24</v>
      </c>
      <c r="F592">
        <v>11973109654</v>
      </c>
      <c r="G592" t="s">
        <v>16</v>
      </c>
      <c r="H592" s="18">
        <v>45</v>
      </c>
      <c r="J592" s="18"/>
      <c r="K592" t="s">
        <v>18</v>
      </c>
      <c r="L592" t="s">
        <v>34</v>
      </c>
      <c r="N592" s="16"/>
      <c r="O592" s="17"/>
      <c r="P592" s="17">
        <f t="shared" si="3"/>
        <v>45</v>
      </c>
      <c r="Q592" s="22"/>
      <c r="R592" s="23"/>
    </row>
    <row r="593" spans="1:18" ht="12.75">
      <c r="A593" s="22">
        <v>46323</v>
      </c>
      <c r="B593" t="s">
        <v>23</v>
      </c>
      <c r="C593" t="s">
        <v>213</v>
      </c>
      <c r="D593" s="19">
        <v>35788</v>
      </c>
      <c r="E593" t="s">
        <v>24</v>
      </c>
      <c r="F593">
        <v>11912299595</v>
      </c>
      <c r="G593" t="s">
        <v>16</v>
      </c>
      <c r="H593" s="18">
        <v>45</v>
      </c>
      <c r="I593" t="s">
        <v>12</v>
      </c>
      <c r="J593" s="18">
        <v>20</v>
      </c>
      <c r="K593" t="s">
        <v>18</v>
      </c>
      <c r="L593" t="s">
        <v>34</v>
      </c>
      <c r="N593" s="16"/>
      <c r="O593" s="17"/>
      <c r="P593" s="17">
        <f t="shared" si="3"/>
        <v>65</v>
      </c>
      <c r="Q593" s="22"/>
      <c r="R593" s="23"/>
    </row>
    <row r="594" spans="1:18" ht="12.75">
      <c r="A594" s="22">
        <v>46323</v>
      </c>
      <c r="B594" t="s">
        <v>14</v>
      </c>
      <c r="C594" t="s">
        <v>113</v>
      </c>
      <c r="D594" s="19"/>
      <c r="E594" t="s">
        <v>24</v>
      </c>
      <c r="G594" t="s">
        <v>25</v>
      </c>
      <c r="H594" s="18">
        <v>80</v>
      </c>
      <c r="J594" s="18"/>
      <c r="K594" t="s">
        <v>18</v>
      </c>
      <c r="L594" t="s">
        <v>39</v>
      </c>
      <c r="N594" s="16"/>
      <c r="O594" s="17"/>
      <c r="P594" s="17">
        <f t="shared" si="3"/>
        <v>80</v>
      </c>
      <c r="Q594" s="22"/>
      <c r="R594" s="23"/>
    </row>
    <row r="595" spans="1:18" ht="12.75">
      <c r="A595" s="22">
        <v>46323</v>
      </c>
      <c r="B595" t="s">
        <v>23</v>
      </c>
      <c r="C595" t="s">
        <v>151</v>
      </c>
      <c r="D595" s="19"/>
      <c r="E595" t="s">
        <v>24</v>
      </c>
      <c r="F595">
        <v>11976252001</v>
      </c>
      <c r="G595" t="s">
        <v>32</v>
      </c>
      <c r="H595" s="18">
        <v>35</v>
      </c>
      <c r="J595" s="18"/>
      <c r="K595" t="s">
        <v>18</v>
      </c>
      <c r="L595" t="s">
        <v>34</v>
      </c>
      <c r="N595" s="16"/>
      <c r="O595" s="17"/>
      <c r="P595" s="17">
        <f t="shared" si="3"/>
        <v>35</v>
      </c>
      <c r="Q595" s="22"/>
      <c r="R595" s="23"/>
    </row>
    <row r="596" spans="1:18" ht="12.75">
      <c r="A596" s="22">
        <v>46323</v>
      </c>
      <c r="B596" t="s">
        <v>14</v>
      </c>
      <c r="C596" t="s">
        <v>157</v>
      </c>
      <c r="D596" s="19"/>
      <c r="E596" t="s">
        <v>24</v>
      </c>
      <c r="G596" t="s">
        <v>25</v>
      </c>
      <c r="H596" s="18">
        <v>80</v>
      </c>
      <c r="J596" s="18"/>
      <c r="K596" t="s">
        <v>18</v>
      </c>
      <c r="L596" t="s">
        <v>34</v>
      </c>
      <c r="N596" s="16"/>
      <c r="O596" s="17"/>
      <c r="P596" s="17">
        <f t="shared" si="3"/>
        <v>80</v>
      </c>
      <c r="Q596" s="22"/>
      <c r="R596" s="23"/>
    </row>
    <row r="597" spans="1:18" ht="12.75">
      <c r="A597" s="22">
        <v>46323</v>
      </c>
      <c r="B597" t="s">
        <v>23</v>
      </c>
      <c r="C597" t="s">
        <v>558</v>
      </c>
      <c r="D597" s="19"/>
      <c r="E597" t="s">
        <v>15</v>
      </c>
      <c r="F597">
        <v>11987064832</v>
      </c>
      <c r="G597" t="s">
        <v>16</v>
      </c>
      <c r="H597" s="18">
        <v>45</v>
      </c>
      <c r="I597" t="s">
        <v>12</v>
      </c>
      <c r="J597" s="18">
        <v>20</v>
      </c>
      <c r="K597" t="s">
        <v>18</v>
      </c>
      <c r="L597" t="s">
        <v>34</v>
      </c>
      <c r="N597" s="16"/>
      <c r="O597" s="17"/>
      <c r="P597" s="17">
        <f t="shared" si="3"/>
        <v>65</v>
      </c>
      <c r="Q597" s="22"/>
      <c r="R597" s="23"/>
    </row>
    <row r="598" spans="1:18" ht="12.75">
      <c r="A598" s="22">
        <v>46323</v>
      </c>
      <c r="B598" t="s">
        <v>23</v>
      </c>
      <c r="C598" t="s">
        <v>102</v>
      </c>
      <c r="D598" s="19">
        <v>33525</v>
      </c>
      <c r="E598" t="s">
        <v>24</v>
      </c>
      <c r="F598">
        <v>11951069136</v>
      </c>
      <c r="G598" t="s">
        <v>16</v>
      </c>
      <c r="H598" s="18">
        <v>45</v>
      </c>
      <c r="J598" s="18"/>
      <c r="K598" t="s">
        <v>18</v>
      </c>
      <c r="L598" t="s">
        <v>34</v>
      </c>
      <c r="N598" s="16"/>
      <c r="O598" s="17"/>
      <c r="P598" s="17">
        <f t="shared" si="3"/>
        <v>45</v>
      </c>
      <c r="Q598" s="22"/>
      <c r="R598" s="23"/>
    </row>
    <row r="599" spans="1:18" ht="12.75">
      <c r="A599" s="22">
        <v>46323</v>
      </c>
      <c r="B599" t="s">
        <v>14</v>
      </c>
      <c r="C599" t="s">
        <v>297</v>
      </c>
      <c r="D599" s="19">
        <v>36766</v>
      </c>
      <c r="E599" t="s">
        <v>24</v>
      </c>
      <c r="G599" t="s">
        <v>46</v>
      </c>
      <c r="H599" s="18">
        <v>30</v>
      </c>
      <c r="J599" s="18"/>
      <c r="K599" t="s">
        <v>18</v>
      </c>
      <c r="L599" t="s">
        <v>39</v>
      </c>
      <c r="N599" s="16"/>
      <c r="O599" s="17"/>
      <c r="P599" s="17">
        <f t="shared" si="3"/>
        <v>30</v>
      </c>
      <c r="Q599" s="22"/>
      <c r="R599" s="23"/>
    </row>
    <row r="600" spans="1:18" ht="12.75">
      <c r="A600" s="22">
        <v>46323</v>
      </c>
      <c r="B600" t="s">
        <v>14</v>
      </c>
      <c r="C600" t="s">
        <v>233</v>
      </c>
      <c r="D600" s="19">
        <v>34600</v>
      </c>
      <c r="E600" t="s">
        <v>24</v>
      </c>
      <c r="F600">
        <v>11983367411</v>
      </c>
      <c r="G600" t="s">
        <v>16</v>
      </c>
      <c r="H600" s="18">
        <v>45</v>
      </c>
      <c r="J600" s="18"/>
      <c r="K600" t="s">
        <v>18</v>
      </c>
      <c r="L600" t="s">
        <v>34</v>
      </c>
      <c r="N600" s="16"/>
      <c r="O600" s="17"/>
      <c r="P600" s="17">
        <f t="shared" si="3"/>
        <v>45</v>
      </c>
      <c r="Q600" s="22"/>
      <c r="R600" s="23"/>
    </row>
    <row r="601" spans="1:18" ht="12.75">
      <c r="A601" s="22">
        <v>46324</v>
      </c>
      <c r="B601" t="s">
        <v>14</v>
      </c>
      <c r="C601" t="s">
        <v>148</v>
      </c>
      <c r="D601" s="19">
        <v>29115</v>
      </c>
      <c r="E601" t="s">
        <v>24</v>
      </c>
      <c r="F601">
        <v>11963562729</v>
      </c>
      <c r="G601" t="s">
        <v>16</v>
      </c>
      <c r="H601" s="18">
        <v>45</v>
      </c>
      <c r="J601" s="18"/>
      <c r="K601" t="s">
        <v>27</v>
      </c>
      <c r="L601" t="s">
        <v>27</v>
      </c>
      <c r="N601" s="16"/>
      <c r="O601" s="17"/>
      <c r="P601" s="17">
        <f t="shared" si="3"/>
        <v>45</v>
      </c>
      <c r="Q601" s="22"/>
      <c r="R601" s="23"/>
    </row>
    <row r="602" spans="1:18" ht="12.75">
      <c r="A602" s="22">
        <v>46324</v>
      </c>
      <c r="B602" t="s">
        <v>14</v>
      </c>
      <c r="C602" t="s">
        <v>173</v>
      </c>
      <c r="D602" s="19">
        <v>31209</v>
      </c>
      <c r="E602" t="s">
        <v>24</v>
      </c>
      <c r="F602">
        <v>11910346719</v>
      </c>
      <c r="G602" t="s">
        <v>16</v>
      </c>
      <c r="H602" s="18">
        <v>45</v>
      </c>
      <c r="J602" s="18"/>
      <c r="K602" t="s">
        <v>18</v>
      </c>
      <c r="L602" t="s">
        <v>34</v>
      </c>
      <c r="N602" s="16"/>
      <c r="O602" s="17"/>
      <c r="P602" s="17">
        <f t="shared" si="3"/>
        <v>45</v>
      </c>
      <c r="Q602" s="22"/>
      <c r="R602" s="23"/>
    </row>
    <row r="603" spans="1:18" ht="12.75">
      <c r="A603" s="22">
        <v>46324</v>
      </c>
      <c r="B603" t="s">
        <v>23</v>
      </c>
      <c r="C603" t="s">
        <v>203</v>
      </c>
      <c r="D603" s="19">
        <v>36306</v>
      </c>
      <c r="E603" t="s">
        <v>24</v>
      </c>
      <c r="F603">
        <v>11985735698</v>
      </c>
      <c r="G603" t="s">
        <v>16</v>
      </c>
      <c r="H603" s="18">
        <v>45</v>
      </c>
      <c r="J603" s="18"/>
      <c r="K603" t="s">
        <v>18</v>
      </c>
      <c r="L603" t="s">
        <v>39</v>
      </c>
      <c r="N603" s="16"/>
      <c r="O603" s="17"/>
      <c r="P603" s="17">
        <f t="shared" si="3"/>
        <v>45</v>
      </c>
      <c r="Q603" s="22"/>
      <c r="R603" s="23"/>
    </row>
    <row r="604" spans="1:18" ht="12.75">
      <c r="A604" s="22">
        <v>46324</v>
      </c>
      <c r="B604" t="s">
        <v>14</v>
      </c>
      <c r="C604" t="s">
        <v>168</v>
      </c>
      <c r="D604" s="19">
        <v>37255</v>
      </c>
      <c r="E604" t="s">
        <v>24</v>
      </c>
      <c r="F604">
        <v>11958764480</v>
      </c>
      <c r="G604" t="s">
        <v>16</v>
      </c>
      <c r="H604" s="18">
        <v>45</v>
      </c>
      <c r="J604" s="18"/>
      <c r="K604" t="s">
        <v>27</v>
      </c>
      <c r="L604" t="s">
        <v>27</v>
      </c>
      <c r="N604" s="16"/>
      <c r="O604" s="17"/>
      <c r="P604" s="17">
        <f t="shared" si="3"/>
        <v>45</v>
      </c>
      <c r="Q604" s="22"/>
      <c r="R604" s="23"/>
    </row>
    <row r="605" spans="1:18" ht="12.75">
      <c r="A605" s="22">
        <v>46324</v>
      </c>
      <c r="B605" t="s">
        <v>23</v>
      </c>
      <c r="C605" t="s">
        <v>427</v>
      </c>
      <c r="D605" s="19">
        <v>37516</v>
      </c>
      <c r="E605" t="s">
        <v>24</v>
      </c>
      <c r="F605">
        <v>35997104815</v>
      </c>
      <c r="G605" t="s">
        <v>16</v>
      </c>
      <c r="H605" s="18">
        <v>45</v>
      </c>
      <c r="J605" s="18"/>
      <c r="K605" t="s">
        <v>27</v>
      </c>
      <c r="L605" t="s">
        <v>27</v>
      </c>
      <c r="N605" s="16"/>
      <c r="O605" s="17"/>
      <c r="P605" s="17">
        <f t="shared" si="3"/>
        <v>45</v>
      </c>
      <c r="Q605" s="22"/>
      <c r="R605" s="23"/>
    </row>
    <row r="606" spans="1:18" ht="12.75">
      <c r="A606" s="22">
        <v>46324</v>
      </c>
      <c r="B606" t="s">
        <v>23</v>
      </c>
      <c r="C606" t="s">
        <v>163</v>
      </c>
      <c r="D606" s="19">
        <v>28179</v>
      </c>
      <c r="E606" t="s">
        <v>24</v>
      </c>
      <c r="G606" t="s">
        <v>16</v>
      </c>
      <c r="H606" s="18">
        <v>45</v>
      </c>
      <c r="J606" s="18"/>
      <c r="K606" t="s">
        <v>18</v>
      </c>
      <c r="L606" t="s">
        <v>39</v>
      </c>
      <c r="N606" s="16"/>
      <c r="O606" s="17"/>
      <c r="P606" s="17">
        <f t="shared" si="3"/>
        <v>45</v>
      </c>
      <c r="Q606" s="22"/>
      <c r="R606" s="23"/>
    </row>
    <row r="607" spans="1:18" ht="12.75">
      <c r="A607" s="22">
        <v>46324</v>
      </c>
      <c r="B607" t="s">
        <v>23</v>
      </c>
      <c r="C607" t="s">
        <v>224</v>
      </c>
      <c r="D607" s="19">
        <v>31042</v>
      </c>
      <c r="E607" t="s">
        <v>24</v>
      </c>
      <c r="F607">
        <v>11973109654</v>
      </c>
      <c r="G607" t="s">
        <v>16</v>
      </c>
      <c r="H607" s="18">
        <v>45</v>
      </c>
      <c r="J607" s="18"/>
      <c r="K607" t="s">
        <v>18</v>
      </c>
      <c r="L607" t="s">
        <v>34</v>
      </c>
      <c r="N607" s="16"/>
      <c r="O607" s="17"/>
      <c r="P607" s="17">
        <f t="shared" si="3"/>
        <v>45</v>
      </c>
      <c r="Q607" s="22"/>
      <c r="R607" s="23"/>
    </row>
    <row r="608" spans="1:18" ht="12.75">
      <c r="A608" s="22">
        <v>46324</v>
      </c>
      <c r="B608" t="s">
        <v>14</v>
      </c>
      <c r="C608" t="s">
        <v>162</v>
      </c>
      <c r="D608" s="19">
        <v>33525</v>
      </c>
      <c r="E608" t="s">
        <v>24</v>
      </c>
      <c r="F608">
        <v>11951069136</v>
      </c>
      <c r="G608" t="s">
        <v>16</v>
      </c>
      <c r="H608" s="18">
        <v>45</v>
      </c>
      <c r="J608" s="18"/>
      <c r="K608" t="s">
        <v>18</v>
      </c>
      <c r="L608" t="s">
        <v>39</v>
      </c>
      <c r="N608" s="16"/>
      <c r="O608" s="17"/>
      <c r="P608" s="17">
        <f t="shared" si="3"/>
        <v>45</v>
      </c>
      <c r="Q608" s="22"/>
      <c r="R608" s="23"/>
    </row>
    <row r="609" spans="1:18" ht="12.75">
      <c r="A609" s="22">
        <v>46324</v>
      </c>
      <c r="B609" t="s">
        <v>23</v>
      </c>
      <c r="C609" t="s">
        <v>553</v>
      </c>
      <c r="D609" s="19"/>
      <c r="E609" t="s">
        <v>15</v>
      </c>
      <c r="F609">
        <v>11986794356</v>
      </c>
      <c r="G609" t="s">
        <v>38</v>
      </c>
      <c r="H609" s="18">
        <v>70</v>
      </c>
      <c r="I609" t="s">
        <v>30</v>
      </c>
      <c r="J609" s="18">
        <v>40</v>
      </c>
      <c r="K609" t="s">
        <v>18</v>
      </c>
      <c r="L609" t="s">
        <v>34</v>
      </c>
      <c r="N609" s="16"/>
      <c r="O609" s="17"/>
      <c r="P609" s="17">
        <f t="shared" si="3"/>
        <v>110</v>
      </c>
      <c r="Q609" s="22"/>
      <c r="R609" s="23"/>
    </row>
    <row r="610" spans="1:18" ht="12.75">
      <c r="A610" s="22">
        <v>46324</v>
      </c>
      <c r="B610" t="s">
        <v>14</v>
      </c>
      <c r="C610" t="s">
        <v>207</v>
      </c>
      <c r="D610" s="19">
        <v>34134</v>
      </c>
      <c r="E610" t="s">
        <v>24</v>
      </c>
      <c r="F610">
        <v>11951689244</v>
      </c>
      <c r="G610" t="s">
        <v>16</v>
      </c>
      <c r="H610" s="18">
        <v>45</v>
      </c>
      <c r="I610" t="s">
        <v>21</v>
      </c>
      <c r="J610" s="18">
        <v>10</v>
      </c>
      <c r="K610" t="s">
        <v>18</v>
      </c>
      <c r="L610" t="s">
        <v>34</v>
      </c>
      <c r="N610" s="16"/>
      <c r="O610" s="17"/>
      <c r="P610" s="17">
        <f t="shared" si="3"/>
        <v>55</v>
      </c>
      <c r="Q610" s="22"/>
      <c r="R610" s="23"/>
    </row>
    <row r="611" spans="1:18" ht="12.75">
      <c r="A611" s="22">
        <v>46324</v>
      </c>
      <c r="B611" t="s">
        <v>23</v>
      </c>
      <c r="C611" t="s">
        <v>163</v>
      </c>
      <c r="D611" s="19">
        <v>28179</v>
      </c>
      <c r="E611" t="s">
        <v>24</v>
      </c>
      <c r="G611" t="s">
        <v>25</v>
      </c>
      <c r="H611" s="18">
        <v>80</v>
      </c>
      <c r="J611" s="18"/>
      <c r="K611" t="s">
        <v>18</v>
      </c>
      <c r="L611" t="s">
        <v>34</v>
      </c>
      <c r="N611" s="16"/>
      <c r="O611" s="17"/>
      <c r="P611" s="17">
        <f t="shared" si="3"/>
        <v>80</v>
      </c>
      <c r="Q611" s="22"/>
      <c r="R611" s="23"/>
    </row>
    <row r="612" spans="1:18" ht="12.75">
      <c r="A612" s="22">
        <v>46325</v>
      </c>
      <c r="B612" t="s">
        <v>23</v>
      </c>
      <c r="C612" t="s">
        <v>561</v>
      </c>
      <c r="D612" s="19"/>
      <c r="E612" t="s">
        <v>15</v>
      </c>
      <c r="F612">
        <v>11989367799</v>
      </c>
      <c r="G612" t="s">
        <v>32</v>
      </c>
      <c r="H612" s="18">
        <v>35</v>
      </c>
      <c r="J612" s="18"/>
      <c r="K612" t="s">
        <v>27</v>
      </c>
      <c r="L612" t="s">
        <v>27</v>
      </c>
      <c r="N612" s="16"/>
      <c r="O612" s="17"/>
      <c r="P612" s="17">
        <f t="shared" si="3"/>
        <v>35</v>
      </c>
      <c r="Q612" s="22"/>
      <c r="R612" s="23"/>
    </row>
    <row r="613" spans="1:18" ht="12.75">
      <c r="A613" s="22">
        <v>46325</v>
      </c>
      <c r="B613" t="s">
        <v>23</v>
      </c>
      <c r="C613" t="s">
        <v>198</v>
      </c>
      <c r="D613" s="19">
        <v>42089</v>
      </c>
      <c r="E613" t="s">
        <v>24</v>
      </c>
      <c r="F613">
        <v>11961727793</v>
      </c>
      <c r="G613" t="s">
        <v>16</v>
      </c>
      <c r="H613" s="18">
        <v>45</v>
      </c>
      <c r="J613" s="18"/>
      <c r="K613" t="s">
        <v>27</v>
      </c>
      <c r="L613" t="s">
        <v>27</v>
      </c>
      <c r="N613" s="16"/>
      <c r="O613" s="17"/>
      <c r="P613" s="17">
        <f t="shared" si="3"/>
        <v>45</v>
      </c>
      <c r="Q613" s="22"/>
      <c r="R613" s="23"/>
    </row>
    <row r="614" spans="1:18" ht="12.75">
      <c r="A614" s="22">
        <v>46325</v>
      </c>
      <c r="B614" t="s">
        <v>23</v>
      </c>
      <c r="C614" t="s">
        <v>495</v>
      </c>
      <c r="D614" s="19">
        <v>37228</v>
      </c>
      <c r="E614" t="s">
        <v>24</v>
      </c>
      <c r="F614">
        <v>11953732049</v>
      </c>
      <c r="G614" t="s">
        <v>25</v>
      </c>
      <c r="H614" s="18">
        <v>80</v>
      </c>
      <c r="J614" s="18"/>
      <c r="K614" t="s">
        <v>27</v>
      </c>
      <c r="L614" t="s">
        <v>27</v>
      </c>
      <c r="N614" s="16"/>
      <c r="O614" s="17"/>
      <c r="P614" s="17">
        <f t="shared" si="3"/>
        <v>80</v>
      </c>
      <c r="Q614" s="22"/>
      <c r="R614" s="23"/>
    </row>
    <row r="615" spans="1:18" ht="12.75">
      <c r="A615" s="22">
        <v>46325</v>
      </c>
      <c r="B615" t="s">
        <v>14</v>
      </c>
      <c r="C615" t="s">
        <v>89</v>
      </c>
      <c r="D615" s="19">
        <v>32050</v>
      </c>
      <c r="E615" t="s">
        <v>24</v>
      </c>
      <c r="F615">
        <v>11989643287</v>
      </c>
      <c r="G615" t="s">
        <v>25</v>
      </c>
      <c r="H615" s="18">
        <v>80</v>
      </c>
      <c r="J615" s="18"/>
      <c r="K615" t="s">
        <v>18</v>
      </c>
      <c r="L615" t="s">
        <v>34</v>
      </c>
      <c r="N615" s="16"/>
      <c r="O615" s="17"/>
      <c r="P615" s="17">
        <f t="shared" si="3"/>
        <v>80</v>
      </c>
      <c r="Q615" s="22"/>
      <c r="R615" s="23"/>
    </row>
    <row r="616" spans="1:18" ht="12.75">
      <c r="A616" s="22">
        <v>46325</v>
      </c>
      <c r="B616" t="s">
        <v>14</v>
      </c>
      <c r="C616" t="s">
        <v>151</v>
      </c>
      <c r="D616" s="19">
        <v>26785</v>
      </c>
      <c r="E616" t="s">
        <v>24</v>
      </c>
      <c r="F616">
        <v>11976252001</v>
      </c>
      <c r="G616" t="s">
        <v>16</v>
      </c>
      <c r="H616" s="18">
        <v>45</v>
      </c>
      <c r="J616" s="18"/>
      <c r="K616" t="s">
        <v>18</v>
      </c>
      <c r="L616" t="s">
        <v>34</v>
      </c>
      <c r="N616" s="16"/>
      <c r="O616" s="17"/>
      <c r="P616" s="17">
        <f t="shared" si="3"/>
        <v>45</v>
      </c>
      <c r="Q616" s="22"/>
      <c r="R616" s="23"/>
    </row>
    <row r="617" spans="1:18" ht="12.75">
      <c r="A617" s="22">
        <v>46325</v>
      </c>
      <c r="B617" t="s">
        <v>14</v>
      </c>
      <c r="C617" t="s">
        <v>130</v>
      </c>
      <c r="D617" s="19">
        <v>38774</v>
      </c>
      <c r="E617" t="s">
        <v>24</v>
      </c>
      <c r="F617">
        <v>11964662426</v>
      </c>
      <c r="G617" t="s">
        <v>16</v>
      </c>
      <c r="H617" s="18">
        <v>45</v>
      </c>
      <c r="J617" s="18"/>
      <c r="K617" t="s">
        <v>18</v>
      </c>
      <c r="L617" t="s">
        <v>28</v>
      </c>
      <c r="N617" s="16"/>
      <c r="O617" s="17"/>
      <c r="P617" s="17">
        <f t="shared" si="3"/>
        <v>45</v>
      </c>
      <c r="Q617" s="22"/>
      <c r="R617" s="23"/>
    </row>
    <row r="618" spans="1:18" ht="12.75">
      <c r="A618" s="22">
        <v>46325</v>
      </c>
      <c r="B618" t="s">
        <v>14</v>
      </c>
      <c r="C618" t="s">
        <v>195</v>
      </c>
      <c r="D618" s="19">
        <v>26329</v>
      </c>
      <c r="E618" t="s">
        <v>24</v>
      </c>
      <c r="F618">
        <v>11976164732</v>
      </c>
      <c r="G618" t="s">
        <v>16</v>
      </c>
      <c r="H618" s="18">
        <v>45</v>
      </c>
      <c r="I618" t="s">
        <v>21</v>
      </c>
      <c r="J618" s="18">
        <v>10</v>
      </c>
      <c r="K618" t="s">
        <v>27</v>
      </c>
      <c r="L618" t="s">
        <v>27</v>
      </c>
      <c r="N618" s="16"/>
      <c r="O618" s="17"/>
      <c r="P618" s="17">
        <f t="shared" si="3"/>
        <v>55</v>
      </c>
      <c r="Q618" s="22"/>
      <c r="R618" s="23"/>
    </row>
    <row r="619" spans="1:18" ht="12.75">
      <c r="A619" s="22">
        <v>46325</v>
      </c>
      <c r="B619" t="s">
        <v>23</v>
      </c>
      <c r="C619" t="s">
        <v>132</v>
      </c>
      <c r="D619" s="19">
        <v>34844</v>
      </c>
      <c r="E619" t="s">
        <v>24</v>
      </c>
      <c r="F619">
        <v>11993702079</v>
      </c>
      <c r="G619" t="s">
        <v>16</v>
      </c>
      <c r="H619" s="18">
        <v>45</v>
      </c>
      <c r="J619" s="18"/>
      <c r="K619" t="s">
        <v>18</v>
      </c>
      <c r="L619" t="s">
        <v>34</v>
      </c>
      <c r="N619" s="16"/>
      <c r="O619" s="17"/>
      <c r="P619" s="17">
        <f t="shared" si="3"/>
        <v>45</v>
      </c>
      <c r="Q619" s="22"/>
      <c r="R619" s="23"/>
    </row>
    <row r="620" spans="1:18" ht="12.75">
      <c r="A620" s="22">
        <v>46325</v>
      </c>
      <c r="B620" t="s">
        <v>23</v>
      </c>
      <c r="C620" t="s">
        <v>204</v>
      </c>
      <c r="D620" s="19">
        <v>35964</v>
      </c>
      <c r="E620" t="s">
        <v>24</v>
      </c>
      <c r="F620">
        <v>11975951494</v>
      </c>
      <c r="G620" t="s">
        <v>25</v>
      </c>
      <c r="H620" s="18">
        <v>80</v>
      </c>
      <c r="J620" s="18"/>
      <c r="K620" t="s">
        <v>18</v>
      </c>
      <c r="L620" t="s">
        <v>28</v>
      </c>
      <c r="N620" s="16"/>
      <c r="O620" s="17"/>
      <c r="P620" s="17">
        <f t="shared" si="3"/>
        <v>80</v>
      </c>
      <c r="Q620" s="22"/>
      <c r="R620" s="23"/>
    </row>
    <row r="621" spans="1:18" ht="12.75">
      <c r="A621" s="22">
        <v>46325</v>
      </c>
      <c r="B621" t="s">
        <v>23</v>
      </c>
      <c r="C621" t="s">
        <v>223</v>
      </c>
      <c r="D621" s="19">
        <v>35532</v>
      </c>
      <c r="E621" t="s">
        <v>24</v>
      </c>
      <c r="F621">
        <v>11966006161</v>
      </c>
      <c r="G621" t="s">
        <v>16</v>
      </c>
      <c r="H621" s="18">
        <v>45</v>
      </c>
      <c r="I621" t="s">
        <v>30</v>
      </c>
      <c r="J621" s="18">
        <v>40</v>
      </c>
      <c r="K621" t="s">
        <v>18</v>
      </c>
      <c r="L621" t="s">
        <v>19</v>
      </c>
      <c r="N621" s="16"/>
      <c r="O621" s="17"/>
      <c r="P621" s="17">
        <f t="shared" si="3"/>
        <v>85</v>
      </c>
      <c r="Q621" s="22"/>
      <c r="R621" s="23"/>
    </row>
    <row r="622" spans="1:18" ht="12.75">
      <c r="A622" s="22">
        <v>46325</v>
      </c>
      <c r="B622" t="s">
        <v>23</v>
      </c>
      <c r="C622" t="s">
        <v>102</v>
      </c>
      <c r="D622" s="19">
        <v>33525</v>
      </c>
      <c r="E622" t="s">
        <v>24</v>
      </c>
      <c r="F622">
        <v>11951069136</v>
      </c>
      <c r="G622" t="s">
        <v>16</v>
      </c>
      <c r="H622" s="18">
        <v>45</v>
      </c>
      <c r="J622" s="18"/>
      <c r="K622" t="s">
        <v>18</v>
      </c>
      <c r="L622" t="s">
        <v>39</v>
      </c>
      <c r="N622" s="16"/>
      <c r="O622" s="17"/>
      <c r="P622" s="17">
        <f t="shared" si="3"/>
        <v>45</v>
      </c>
      <c r="Q622" s="22"/>
      <c r="R622" s="23"/>
    </row>
    <row r="623" spans="1:18" ht="12.75">
      <c r="A623" s="22">
        <v>46325</v>
      </c>
      <c r="B623" t="s">
        <v>14</v>
      </c>
      <c r="C623" t="s">
        <v>445</v>
      </c>
      <c r="D623" s="19">
        <v>36632</v>
      </c>
      <c r="E623" t="s">
        <v>24</v>
      </c>
      <c r="F623">
        <v>47988262529</v>
      </c>
      <c r="G623" t="s">
        <v>16</v>
      </c>
      <c r="H623" s="18">
        <v>45</v>
      </c>
      <c r="J623" s="18"/>
      <c r="K623" t="s">
        <v>18</v>
      </c>
      <c r="L623" t="s">
        <v>39</v>
      </c>
      <c r="N623" s="16"/>
      <c r="O623" s="17"/>
      <c r="P623" s="17">
        <f t="shared" si="3"/>
        <v>45</v>
      </c>
      <c r="Q623" s="22"/>
      <c r="R623" s="23"/>
    </row>
    <row r="624" spans="1:18" ht="12.75">
      <c r="A624" s="22">
        <v>46325</v>
      </c>
      <c r="B624" t="s">
        <v>23</v>
      </c>
      <c r="C624" t="s">
        <v>289</v>
      </c>
      <c r="D624" s="19">
        <v>33542</v>
      </c>
      <c r="E624" t="s">
        <v>24</v>
      </c>
      <c r="F624">
        <v>11932137234</v>
      </c>
      <c r="G624" t="s">
        <v>16</v>
      </c>
      <c r="H624" s="18">
        <v>45</v>
      </c>
      <c r="J624" s="18"/>
      <c r="K624" t="s">
        <v>18</v>
      </c>
      <c r="L624" t="s">
        <v>34</v>
      </c>
      <c r="N624" s="16"/>
      <c r="O624" s="17"/>
      <c r="P624" s="17">
        <f t="shared" si="3"/>
        <v>45</v>
      </c>
      <c r="Q624" s="22"/>
      <c r="R624" s="23"/>
    </row>
    <row r="625" spans="1:18" ht="12.75">
      <c r="A625" s="22">
        <v>46325</v>
      </c>
      <c r="B625" t="s">
        <v>23</v>
      </c>
      <c r="C625" t="s">
        <v>159</v>
      </c>
      <c r="D625" s="19">
        <v>32039</v>
      </c>
      <c r="E625" t="s">
        <v>24</v>
      </c>
      <c r="F625">
        <v>11952032420</v>
      </c>
      <c r="G625" t="s">
        <v>16</v>
      </c>
      <c r="H625" s="18">
        <v>45</v>
      </c>
      <c r="J625" s="18"/>
      <c r="K625" t="s">
        <v>18</v>
      </c>
      <c r="L625" t="s">
        <v>39</v>
      </c>
      <c r="N625" s="16"/>
      <c r="O625" s="17"/>
      <c r="P625" s="17">
        <f t="shared" si="3"/>
        <v>45</v>
      </c>
      <c r="Q625" s="22"/>
      <c r="R625" s="23"/>
    </row>
    <row r="626" spans="1:18" ht="12.75">
      <c r="A626" s="22">
        <v>46325</v>
      </c>
      <c r="B626" t="s">
        <v>23</v>
      </c>
      <c r="C626" t="s">
        <v>555</v>
      </c>
      <c r="D626" s="19"/>
      <c r="E626" t="s">
        <v>15</v>
      </c>
      <c r="F626">
        <v>11983316639</v>
      </c>
      <c r="G626" t="s">
        <v>16</v>
      </c>
      <c r="H626" s="18">
        <v>45</v>
      </c>
      <c r="J626" s="18"/>
      <c r="K626" t="s">
        <v>18</v>
      </c>
      <c r="L626" t="s">
        <v>34</v>
      </c>
      <c r="N626" s="16"/>
      <c r="O626" s="17"/>
      <c r="P626" s="17">
        <f t="shared" si="3"/>
        <v>45</v>
      </c>
      <c r="Q626" s="22"/>
      <c r="R626" s="23"/>
    </row>
    <row r="627" spans="1:18" ht="12.75">
      <c r="A627" s="22">
        <v>46325</v>
      </c>
      <c r="B627" t="s">
        <v>23</v>
      </c>
      <c r="C627" t="s">
        <v>170</v>
      </c>
      <c r="D627" s="19">
        <v>34707</v>
      </c>
      <c r="E627" t="s">
        <v>24</v>
      </c>
      <c r="F627">
        <v>11990241143</v>
      </c>
      <c r="G627" t="s">
        <v>16</v>
      </c>
      <c r="H627" s="18">
        <v>45</v>
      </c>
      <c r="J627" s="18"/>
      <c r="K627" t="s">
        <v>18</v>
      </c>
      <c r="L627" t="s">
        <v>39</v>
      </c>
      <c r="N627" s="16"/>
      <c r="O627" s="17"/>
      <c r="P627" s="17">
        <f t="shared" ref="P627:P647" si="4">H627+J627+S627</f>
        <v>45</v>
      </c>
      <c r="Q627" s="22"/>
      <c r="R627" s="23"/>
    </row>
    <row r="628" spans="1:18" ht="12.75">
      <c r="A628" s="22">
        <v>46326</v>
      </c>
      <c r="B628" t="s">
        <v>23</v>
      </c>
      <c r="C628" t="s">
        <v>178</v>
      </c>
      <c r="D628" s="19">
        <v>34215</v>
      </c>
      <c r="E628" t="s">
        <v>24</v>
      </c>
      <c r="F628">
        <v>11951488924</v>
      </c>
      <c r="G628" t="s">
        <v>38</v>
      </c>
      <c r="H628" s="18">
        <v>70</v>
      </c>
      <c r="J628" s="18"/>
      <c r="K628" t="s">
        <v>18</v>
      </c>
      <c r="L628" t="s">
        <v>28</v>
      </c>
      <c r="N628" s="16"/>
      <c r="O628" s="17"/>
      <c r="P628" s="17">
        <f t="shared" si="4"/>
        <v>70</v>
      </c>
      <c r="Q628" s="22"/>
      <c r="R628" s="23"/>
    </row>
    <row r="629" spans="1:18" ht="12.75">
      <c r="A629" s="22">
        <v>46326</v>
      </c>
      <c r="B629" t="s">
        <v>23</v>
      </c>
      <c r="C629" t="s">
        <v>532</v>
      </c>
      <c r="D629" s="19">
        <v>34963</v>
      </c>
      <c r="E629" t="s">
        <v>24</v>
      </c>
      <c r="F629">
        <v>11948025623</v>
      </c>
      <c r="G629" t="s">
        <v>16</v>
      </c>
      <c r="H629" s="18">
        <v>45</v>
      </c>
      <c r="J629" s="18"/>
      <c r="K629" t="s">
        <v>18</v>
      </c>
      <c r="L629" t="s">
        <v>34</v>
      </c>
      <c r="N629" s="16"/>
      <c r="O629" s="17"/>
      <c r="P629" s="17">
        <f t="shared" si="4"/>
        <v>45</v>
      </c>
      <c r="Q629" s="22"/>
      <c r="R629" s="23"/>
    </row>
    <row r="630" spans="1:18" ht="12.75">
      <c r="A630" s="22">
        <v>46326</v>
      </c>
      <c r="B630" t="s">
        <v>23</v>
      </c>
      <c r="C630" t="s">
        <v>436</v>
      </c>
      <c r="D630" s="19">
        <v>23966</v>
      </c>
      <c r="E630" t="s">
        <v>24</v>
      </c>
      <c r="F630">
        <v>11983023646</v>
      </c>
      <c r="G630" t="s">
        <v>25</v>
      </c>
      <c r="H630" s="18">
        <v>80</v>
      </c>
      <c r="J630" s="18"/>
      <c r="K630" t="s">
        <v>18</v>
      </c>
      <c r="L630" t="s">
        <v>28</v>
      </c>
      <c r="N630" s="16"/>
      <c r="O630" s="17"/>
      <c r="P630" s="17">
        <f t="shared" si="4"/>
        <v>80</v>
      </c>
      <c r="Q630" s="22"/>
      <c r="R630" s="23"/>
    </row>
    <row r="631" spans="1:18" ht="12.75">
      <c r="A631" s="22">
        <v>46326</v>
      </c>
      <c r="B631" t="s">
        <v>14</v>
      </c>
      <c r="C631" t="s">
        <v>151</v>
      </c>
      <c r="D631" s="19">
        <v>26785</v>
      </c>
      <c r="E631" t="s">
        <v>24</v>
      </c>
      <c r="F631">
        <v>11976252001</v>
      </c>
      <c r="G631" t="s">
        <v>38</v>
      </c>
      <c r="H631" s="18">
        <v>70</v>
      </c>
      <c r="I631" t="s">
        <v>41</v>
      </c>
      <c r="J631" s="18">
        <v>25</v>
      </c>
      <c r="K631" t="s">
        <v>18</v>
      </c>
      <c r="L631" t="s">
        <v>39</v>
      </c>
      <c r="N631" s="16"/>
      <c r="O631" s="17"/>
      <c r="P631" s="17">
        <f t="shared" si="4"/>
        <v>95</v>
      </c>
      <c r="Q631" s="22"/>
      <c r="R631" s="23"/>
    </row>
    <row r="632" spans="1:18" ht="12.75">
      <c r="A632" s="22">
        <v>46326</v>
      </c>
      <c r="B632" t="s">
        <v>14</v>
      </c>
      <c r="C632" t="s">
        <v>237</v>
      </c>
      <c r="D632" s="19">
        <v>30371</v>
      </c>
      <c r="E632" t="s">
        <v>24</v>
      </c>
      <c r="F632">
        <v>11944581484</v>
      </c>
      <c r="G632" t="s">
        <v>16</v>
      </c>
      <c r="H632" s="18">
        <v>45</v>
      </c>
      <c r="J632" s="18"/>
      <c r="K632" t="s">
        <v>18</v>
      </c>
      <c r="L632" t="s">
        <v>34</v>
      </c>
      <c r="N632" s="16"/>
      <c r="O632" s="17"/>
      <c r="P632" s="17">
        <f t="shared" si="4"/>
        <v>45</v>
      </c>
      <c r="Q632" s="22"/>
      <c r="R632" s="23"/>
    </row>
    <row r="633" spans="1:18" ht="12.75">
      <c r="A633" s="22">
        <v>46326</v>
      </c>
      <c r="B633" t="s">
        <v>14</v>
      </c>
      <c r="C633" t="s">
        <v>505</v>
      </c>
      <c r="D633" s="19">
        <v>37839</v>
      </c>
      <c r="E633" t="s">
        <v>24</v>
      </c>
      <c r="F633">
        <v>11940496314</v>
      </c>
      <c r="G633" t="s">
        <v>32</v>
      </c>
      <c r="H633" s="18">
        <v>35</v>
      </c>
      <c r="J633" s="18"/>
      <c r="K633" t="s">
        <v>18</v>
      </c>
      <c r="L633" t="s">
        <v>34</v>
      </c>
      <c r="N633" s="16"/>
      <c r="O633" s="17"/>
      <c r="P633" s="17">
        <f t="shared" si="4"/>
        <v>35</v>
      </c>
      <c r="Q633" s="22"/>
      <c r="R633" s="23"/>
    </row>
    <row r="634" spans="1:18" ht="12.75">
      <c r="A634" s="22">
        <v>46326</v>
      </c>
      <c r="B634" t="s">
        <v>23</v>
      </c>
      <c r="C634" t="s">
        <v>132</v>
      </c>
      <c r="D634" s="19">
        <v>34844</v>
      </c>
      <c r="E634" t="s">
        <v>24</v>
      </c>
      <c r="F634">
        <v>11993702079</v>
      </c>
      <c r="G634" t="s">
        <v>25</v>
      </c>
      <c r="H634" s="18">
        <v>80</v>
      </c>
      <c r="I634" t="s">
        <v>12</v>
      </c>
      <c r="J634" s="18">
        <v>20</v>
      </c>
      <c r="K634" t="s">
        <v>18</v>
      </c>
      <c r="L634" t="s">
        <v>28</v>
      </c>
      <c r="N634" s="16"/>
      <c r="O634" s="17"/>
      <c r="P634" s="17">
        <f t="shared" si="4"/>
        <v>100</v>
      </c>
      <c r="Q634" s="22"/>
      <c r="R634" s="23"/>
    </row>
    <row r="635" spans="1:18" ht="12.75">
      <c r="A635" s="22">
        <v>46326</v>
      </c>
      <c r="B635" t="s">
        <v>23</v>
      </c>
      <c r="C635" t="s">
        <v>181</v>
      </c>
      <c r="D635" s="19">
        <v>37883</v>
      </c>
      <c r="E635" t="s">
        <v>24</v>
      </c>
      <c r="F635">
        <v>41195254527</v>
      </c>
      <c r="G635" t="s">
        <v>25</v>
      </c>
      <c r="H635" s="18">
        <v>80</v>
      </c>
      <c r="J635" s="18"/>
      <c r="K635" t="s">
        <v>18</v>
      </c>
      <c r="L635" t="s">
        <v>34</v>
      </c>
      <c r="N635" s="16"/>
      <c r="O635" s="17"/>
      <c r="P635" s="17">
        <f t="shared" si="4"/>
        <v>80</v>
      </c>
      <c r="Q635" s="22"/>
      <c r="R635" s="23"/>
    </row>
    <row r="636" spans="1:18" ht="12.75">
      <c r="A636" s="22">
        <v>46326</v>
      </c>
      <c r="B636" t="s">
        <v>14</v>
      </c>
      <c r="C636" t="s">
        <v>194</v>
      </c>
      <c r="D636" s="19">
        <v>36004</v>
      </c>
      <c r="E636" t="s">
        <v>24</v>
      </c>
      <c r="F636">
        <v>11957470599</v>
      </c>
      <c r="G636" t="s">
        <v>16</v>
      </c>
      <c r="H636" s="18">
        <v>45</v>
      </c>
      <c r="J636" s="18"/>
      <c r="K636" t="s">
        <v>18</v>
      </c>
      <c r="L636" t="s">
        <v>28</v>
      </c>
      <c r="N636" s="16"/>
      <c r="O636" s="17"/>
      <c r="P636" s="17">
        <f t="shared" si="4"/>
        <v>45</v>
      </c>
      <c r="Q636" s="22"/>
      <c r="R636" s="23"/>
    </row>
    <row r="637" spans="1:18" ht="12.75">
      <c r="A637" s="22">
        <v>46326</v>
      </c>
      <c r="B637" t="s">
        <v>14</v>
      </c>
      <c r="C637" t="s">
        <v>171</v>
      </c>
      <c r="D637" s="19">
        <v>35649</v>
      </c>
      <c r="E637" t="s">
        <v>24</v>
      </c>
      <c r="F637">
        <v>11913244499</v>
      </c>
      <c r="G637" t="s">
        <v>38</v>
      </c>
      <c r="H637" s="18">
        <v>70</v>
      </c>
      <c r="I637" t="s">
        <v>41</v>
      </c>
      <c r="J637" s="18">
        <v>25</v>
      </c>
      <c r="K637" t="s">
        <v>18</v>
      </c>
      <c r="L637" t="s">
        <v>34</v>
      </c>
      <c r="N637" s="16"/>
      <c r="O637" s="17"/>
      <c r="P637" s="17">
        <f t="shared" si="4"/>
        <v>95</v>
      </c>
      <c r="Q637" s="22"/>
      <c r="R637" s="23"/>
    </row>
    <row r="638" spans="1:18" ht="12.75">
      <c r="A638" s="22">
        <v>46326</v>
      </c>
      <c r="B638" t="s">
        <v>23</v>
      </c>
      <c r="C638" t="s">
        <v>562</v>
      </c>
      <c r="D638" s="19"/>
      <c r="E638" t="s">
        <v>15</v>
      </c>
      <c r="F638">
        <v>11986006190</v>
      </c>
      <c r="G638" t="s">
        <v>16</v>
      </c>
      <c r="H638" s="18">
        <v>45</v>
      </c>
      <c r="I638" t="s">
        <v>30</v>
      </c>
      <c r="J638" s="18">
        <v>40</v>
      </c>
      <c r="K638" t="s">
        <v>18</v>
      </c>
      <c r="L638" t="s">
        <v>19</v>
      </c>
      <c r="N638" s="16"/>
      <c r="O638" s="17"/>
      <c r="P638" s="17">
        <f t="shared" si="4"/>
        <v>85</v>
      </c>
      <c r="Q638" s="22"/>
      <c r="R638" s="23"/>
    </row>
    <row r="639" spans="1:18" ht="12.75">
      <c r="A639" s="22">
        <v>46326</v>
      </c>
      <c r="B639" t="s">
        <v>23</v>
      </c>
      <c r="C639" t="s">
        <v>556</v>
      </c>
      <c r="D639" s="19"/>
      <c r="E639" t="s">
        <v>15</v>
      </c>
      <c r="F639">
        <v>11989459284</v>
      </c>
      <c r="G639" t="s">
        <v>16</v>
      </c>
      <c r="H639" s="18">
        <v>45</v>
      </c>
      <c r="J639" s="18"/>
      <c r="K639" t="s">
        <v>27</v>
      </c>
      <c r="L639" t="s">
        <v>27</v>
      </c>
      <c r="N639" s="16"/>
      <c r="O639" s="17"/>
      <c r="P639" s="17">
        <f t="shared" si="4"/>
        <v>45</v>
      </c>
      <c r="Q639" s="22"/>
      <c r="R639" s="23"/>
    </row>
    <row r="640" spans="1:18" ht="12.75">
      <c r="A640" s="22">
        <v>46326</v>
      </c>
      <c r="B640" t="s">
        <v>14</v>
      </c>
      <c r="C640" t="s">
        <v>284</v>
      </c>
      <c r="D640" s="19">
        <v>33679</v>
      </c>
      <c r="E640" t="s">
        <v>24</v>
      </c>
      <c r="F640">
        <v>11963141134</v>
      </c>
      <c r="G640" t="s">
        <v>16</v>
      </c>
      <c r="H640" s="18">
        <v>45</v>
      </c>
      <c r="J640" s="18"/>
      <c r="K640" t="s">
        <v>18</v>
      </c>
      <c r="L640" t="s">
        <v>39</v>
      </c>
      <c r="N640" s="16"/>
      <c r="O640" s="17"/>
      <c r="P640" s="17">
        <f t="shared" si="4"/>
        <v>45</v>
      </c>
      <c r="Q640" s="22"/>
      <c r="R640" s="23"/>
    </row>
    <row r="641" spans="1:18" ht="12.75">
      <c r="A641" s="22">
        <v>46326</v>
      </c>
      <c r="B641" t="s">
        <v>14</v>
      </c>
      <c r="C641" t="s">
        <v>130</v>
      </c>
      <c r="D641" s="19">
        <v>38774</v>
      </c>
      <c r="E641" t="s">
        <v>24</v>
      </c>
      <c r="F641">
        <v>11964662426</v>
      </c>
      <c r="G641" t="s">
        <v>32</v>
      </c>
      <c r="H641" s="18">
        <v>35</v>
      </c>
      <c r="J641" s="18"/>
      <c r="K641" t="s">
        <v>18</v>
      </c>
      <c r="L641" t="s">
        <v>34</v>
      </c>
      <c r="N641" s="16"/>
      <c r="O641" s="17"/>
      <c r="P641" s="17">
        <f t="shared" si="4"/>
        <v>35</v>
      </c>
      <c r="Q641" s="22"/>
      <c r="R641" s="23"/>
    </row>
    <row r="642" spans="1:18" ht="12.75">
      <c r="A642" s="22">
        <v>46326</v>
      </c>
      <c r="B642" t="s">
        <v>14</v>
      </c>
      <c r="C642" t="s">
        <v>153</v>
      </c>
      <c r="D642" s="19">
        <v>43180</v>
      </c>
      <c r="E642" t="s">
        <v>24</v>
      </c>
      <c r="G642" t="s">
        <v>16</v>
      </c>
      <c r="H642" s="18">
        <v>45</v>
      </c>
      <c r="J642" s="18"/>
      <c r="K642" t="s">
        <v>27</v>
      </c>
      <c r="L642" t="s">
        <v>27</v>
      </c>
      <c r="N642" s="16"/>
      <c r="O642" s="17"/>
      <c r="P642" s="17">
        <f t="shared" si="4"/>
        <v>45</v>
      </c>
      <c r="Q642" s="22"/>
      <c r="R642" s="23"/>
    </row>
    <row r="643" spans="1:18" ht="12.75">
      <c r="A643" s="22">
        <v>46326</v>
      </c>
      <c r="B643" t="s">
        <v>23</v>
      </c>
      <c r="C643" t="s">
        <v>207</v>
      </c>
      <c r="D643" s="19">
        <v>34134</v>
      </c>
      <c r="E643" t="s">
        <v>24</v>
      </c>
      <c r="F643">
        <v>11951689244</v>
      </c>
      <c r="G643" t="s">
        <v>38</v>
      </c>
      <c r="H643" s="18">
        <v>70</v>
      </c>
      <c r="J643" s="18"/>
      <c r="K643" t="s">
        <v>18</v>
      </c>
      <c r="L643" t="s">
        <v>34</v>
      </c>
      <c r="N643" s="16"/>
      <c r="O643" s="17"/>
      <c r="P643" s="17">
        <f t="shared" si="4"/>
        <v>70</v>
      </c>
      <c r="Q643" s="22"/>
      <c r="R643" s="23"/>
    </row>
    <row r="644" spans="1:18" ht="12.75">
      <c r="A644" s="22">
        <v>46326</v>
      </c>
      <c r="B644" t="s">
        <v>23</v>
      </c>
      <c r="C644" t="s">
        <v>112</v>
      </c>
      <c r="D644" s="19">
        <v>30972</v>
      </c>
      <c r="E644" t="s">
        <v>24</v>
      </c>
      <c r="F644">
        <v>11988001800</v>
      </c>
      <c r="G644" t="s">
        <v>25</v>
      </c>
      <c r="H644" s="18">
        <v>80</v>
      </c>
      <c r="J644" s="18"/>
      <c r="K644" t="s">
        <v>27</v>
      </c>
      <c r="L644" t="s">
        <v>27</v>
      </c>
      <c r="N644" s="16"/>
      <c r="O644" s="17"/>
      <c r="P644" s="17">
        <f t="shared" si="4"/>
        <v>80</v>
      </c>
      <c r="Q644" s="22"/>
      <c r="R644" s="23"/>
    </row>
    <row r="645" spans="1:18" ht="12.75">
      <c r="A645" s="22">
        <v>46326</v>
      </c>
      <c r="B645" t="s">
        <v>23</v>
      </c>
      <c r="C645" t="s">
        <v>130</v>
      </c>
      <c r="D645" s="19">
        <v>38774</v>
      </c>
      <c r="E645" t="s">
        <v>24</v>
      </c>
      <c r="F645">
        <v>11964662426</v>
      </c>
      <c r="G645" t="s">
        <v>32</v>
      </c>
      <c r="H645" s="18">
        <v>35</v>
      </c>
      <c r="J645" s="18"/>
      <c r="K645" t="s">
        <v>18</v>
      </c>
      <c r="L645" t="s">
        <v>34</v>
      </c>
      <c r="N645" s="16"/>
      <c r="O645" s="17"/>
      <c r="P645" s="17">
        <f t="shared" si="4"/>
        <v>35</v>
      </c>
      <c r="Q645" s="22"/>
      <c r="R645" s="23"/>
    </row>
    <row r="646" spans="1:18" ht="12.75">
      <c r="A646" s="22">
        <v>46326</v>
      </c>
      <c r="B646" t="s">
        <v>14</v>
      </c>
      <c r="C646" t="s">
        <v>346</v>
      </c>
      <c r="D646" s="19">
        <v>29606</v>
      </c>
      <c r="E646" t="s">
        <v>24</v>
      </c>
      <c r="F646">
        <v>11991603313</v>
      </c>
      <c r="G646" t="s">
        <v>25</v>
      </c>
      <c r="H646" s="18">
        <v>80</v>
      </c>
      <c r="J646" s="18"/>
      <c r="K646" t="s">
        <v>18</v>
      </c>
      <c r="L646" t="s">
        <v>34</v>
      </c>
      <c r="N646" s="16"/>
      <c r="O646" s="17"/>
      <c r="P646" s="17">
        <f t="shared" si="4"/>
        <v>80</v>
      </c>
      <c r="Q646" s="22"/>
      <c r="R646" s="23"/>
    </row>
    <row r="647" spans="1:18" ht="12.75">
      <c r="A647" s="22">
        <v>46326</v>
      </c>
      <c r="B647" t="s">
        <v>23</v>
      </c>
      <c r="C647" t="s">
        <v>221</v>
      </c>
      <c r="D647" s="19">
        <v>35938</v>
      </c>
      <c r="E647" t="s">
        <v>24</v>
      </c>
      <c r="F647">
        <v>11954398450</v>
      </c>
      <c r="G647" t="s">
        <v>25</v>
      </c>
      <c r="H647" s="18">
        <v>80</v>
      </c>
      <c r="J647" s="18"/>
      <c r="K647" t="s">
        <v>18</v>
      </c>
      <c r="L647" t="s">
        <v>39</v>
      </c>
      <c r="N647" s="16"/>
      <c r="O647" s="17"/>
      <c r="P647" s="17">
        <f t="shared" si="4"/>
        <v>80</v>
      </c>
      <c r="Q647" s="22"/>
      <c r="R647" s="23"/>
    </row>
    <row r="648" spans="1:18" ht="12.75">
      <c r="A648" s="22"/>
      <c r="D648" s="19"/>
      <c r="H648" s="18"/>
      <c r="J648" s="18"/>
      <c r="N648" s="16"/>
      <c r="O648" s="17"/>
      <c r="P648" s="17"/>
      <c r="Q648" s="22"/>
      <c r="R648" s="23"/>
    </row>
    <row r="649" spans="1:18" ht="12.75">
      <c r="A649" s="22"/>
      <c r="D649" s="19"/>
      <c r="H649" s="18"/>
      <c r="J649" s="18"/>
      <c r="N649" s="16"/>
      <c r="O649" s="17"/>
      <c r="P649" s="17"/>
      <c r="Q649" s="22"/>
      <c r="R649" s="23"/>
    </row>
    <row r="650" spans="1:18" ht="12.75">
      <c r="A650" s="22"/>
      <c r="D650" s="19"/>
      <c r="H650" s="18"/>
      <c r="J650" s="18"/>
      <c r="N650" s="16"/>
      <c r="O650" s="17"/>
      <c r="P650" s="17"/>
      <c r="Q650" s="22"/>
      <c r="R650" s="23"/>
    </row>
    <row r="651" spans="1:18" ht="12.75">
      <c r="A651" s="22"/>
      <c r="D651" s="19"/>
      <c r="H651" s="18"/>
      <c r="J651" s="18"/>
      <c r="N651" s="16"/>
      <c r="O651" s="17"/>
      <c r="P651" s="17"/>
      <c r="Q651" s="22"/>
      <c r="R651" s="23"/>
    </row>
    <row r="652" spans="1:18" ht="12.75">
      <c r="A652" s="22"/>
      <c r="D652" s="19"/>
      <c r="H652" s="18"/>
      <c r="J652" s="18"/>
      <c r="N652" s="16"/>
      <c r="O652" s="17"/>
      <c r="P652" s="17"/>
      <c r="Q652" s="22"/>
      <c r="R652" s="23"/>
    </row>
    <row r="653" spans="1:18" ht="12.75">
      <c r="A653" s="22"/>
      <c r="D653" s="19"/>
      <c r="H653" s="18"/>
      <c r="J653" s="18"/>
      <c r="N653" s="16"/>
      <c r="O653" s="17"/>
      <c r="P653" s="17"/>
      <c r="Q653" s="22"/>
      <c r="R653" s="23"/>
    </row>
    <row r="654" spans="1:18" ht="12.75">
      <c r="A654" s="22"/>
      <c r="D654" s="19"/>
      <c r="H654" s="18"/>
      <c r="J654" s="18"/>
      <c r="N654" s="16"/>
      <c r="O654" s="17"/>
      <c r="P654" s="17"/>
      <c r="Q654" s="22"/>
      <c r="R654" s="23"/>
    </row>
    <row r="655" spans="1:18" ht="12.75">
      <c r="A655" s="22"/>
      <c r="D655" s="19"/>
      <c r="H655" s="18"/>
      <c r="J655" s="18"/>
      <c r="N655" s="16"/>
      <c r="O655" s="17"/>
      <c r="P655" s="17"/>
      <c r="Q655" s="22"/>
      <c r="R655" s="23"/>
    </row>
    <row r="656" spans="1:18" ht="12.75">
      <c r="A656" s="22"/>
      <c r="D656" s="19"/>
      <c r="H656" s="18"/>
      <c r="J656" s="18"/>
      <c r="N656" s="16"/>
      <c r="O656" s="17"/>
      <c r="P656" s="17"/>
      <c r="Q656" s="22"/>
      <c r="R656" s="23"/>
    </row>
    <row r="657" spans="1:18" ht="12.75">
      <c r="A657" s="22"/>
      <c r="D657" s="19"/>
      <c r="H657" s="18"/>
      <c r="J657" s="18"/>
      <c r="N657" s="16"/>
      <c r="O657" s="17"/>
      <c r="P657" s="17"/>
      <c r="Q657" s="22"/>
      <c r="R657" s="23"/>
    </row>
    <row r="658" spans="1:18" ht="12.75">
      <c r="A658" s="22"/>
      <c r="D658" s="19"/>
      <c r="H658" s="18"/>
      <c r="J658" s="18"/>
      <c r="N658" s="16"/>
      <c r="O658" s="17"/>
      <c r="P658" s="17"/>
      <c r="Q658" s="22"/>
      <c r="R658" s="23"/>
    </row>
    <row r="659" spans="1:18" ht="12.75">
      <c r="A659" s="22"/>
      <c r="D659" s="19"/>
      <c r="H659" s="18"/>
      <c r="J659" s="18"/>
      <c r="N659" s="16"/>
      <c r="O659" s="17"/>
      <c r="P659" s="17"/>
      <c r="Q659" s="22"/>
      <c r="R659" s="23"/>
    </row>
    <row r="660" spans="1:18" ht="12.75">
      <c r="A660" s="22"/>
      <c r="D660" s="19"/>
      <c r="H660" s="18"/>
      <c r="J660" s="18"/>
      <c r="N660" s="16"/>
      <c r="O660" s="17"/>
      <c r="P660" s="17"/>
      <c r="Q660" s="22"/>
      <c r="R660" s="23"/>
    </row>
    <row r="661" spans="1:18" ht="12.75">
      <c r="A661" s="22"/>
      <c r="D661" s="19"/>
      <c r="H661" s="18"/>
      <c r="J661" s="18"/>
      <c r="N661" s="16"/>
      <c r="O661" s="17"/>
      <c r="P661" s="17"/>
      <c r="Q661" s="22"/>
      <c r="R661" s="23"/>
    </row>
    <row r="662" spans="1:18" ht="12.75">
      <c r="A662" s="22"/>
      <c r="D662" s="19"/>
      <c r="H662" s="18"/>
      <c r="J662" s="18"/>
      <c r="N662" s="16"/>
      <c r="O662" s="17"/>
      <c r="P662" s="17"/>
      <c r="Q662" s="22"/>
      <c r="R662" s="23"/>
    </row>
    <row r="663" spans="1:18" ht="12.75">
      <c r="A663" s="22"/>
      <c r="D663" s="19"/>
      <c r="H663" s="18"/>
      <c r="J663" s="18"/>
      <c r="N663" s="16"/>
      <c r="O663" s="17"/>
      <c r="P663" s="17"/>
      <c r="Q663" s="22"/>
      <c r="R663" s="23"/>
    </row>
    <row r="664" spans="1:18" ht="12.75">
      <c r="A664" s="22"/>
      <c r="D664" s="19"/>
      <c r="H664" s="18"/>
      <c r="J664" s="18"/>
      <c r="N664" s="16"/>
      <c r="O664" s="17"/>
      <c r="P664" s="17"/>
      <c r="Q664" s="22"/>
      <c r="R664" s="23"/>
    </row>
    <row r="665" spans="1:18" ht="12.75">
      <c r="A665" s="22"/>
      <c r="D665" s="19"/>
      <c r="H665" s="18"/>
      <c r="J665" s="18"/>
      <c r="N665" s="16"/>
      <c r="O665" s="17"/>
      <c r="P665" s="17"/>
      <c r="Q665" s="22"/>
      <c r="R665" s="23"/>
    </row>
    <row r="666" spans="1:18" ht="12.75">
      <c r="A666" s="22"/>
      <c r="D666" s="19"/>
      <c r="H666" s="18"/>
      <c r="J666" s="18"/>
      <c r="N666" s="16"/>
      <c r="O666" s="17"/>
      <c r="P666" s="17"/>
      <c r="Q666" s="22"/>
      <c r="R666" s="23"/>
    </row>
    <row r="667" spans="1:18" ht="12.75">
      <c r="A667" s="22"/>
      <c r="D667" s="19"/>
      <c r="H667" s="18"/>
      <c r="J667" s="18"/>
      <c r="N667" s="16"/>
      <c r="O667" s="17"/>
      <c r="P667" s="17"/>
      <c r="Q667" s="22"/>
      <c r="R667" s="23"/>
    </row>
    <row r="668" spans="1:18" ht="12.75">
      <c r="A668" s="22"/>
      <c r="D668" s="19"/>
      <c r="H668" s="18"/>
      <c r="J668" s="18"/>
      <c r="N668" s="16"/>
      <c r="O668" s="17"/>
      <c r="P668" s="17"/>
      <c r="Q668" s="22"/>
      <c r="R668" s="23"/>
    </row>
    <row r="669" spans="1:18" ht="12.75">
      <c r="A669" s="22"/>
      <c r="D669" s="19"/>
      <c r="H669" s="18"/>
      <c r="J669" s="18"/>
      <c r="N669" s="16"/>
      <c r="O669" s="17"/>
      <c r="P669" s="17"/>
      <c r="Q669" s="22"/>
      <c r="R669" s="23"/>
    </row>
    <row r="670" spans="1:18" ht="12.75">
      <c r="A670" s="22"/>
      <c r="D670" s="19"/>
      <c r="H670" s="18"/>
      <c r="J670" s="18"/>
      <c r="N670" s="16"/>
      <c r="O670" s="17"/>
      <c r="P670" s="17"/>
      <c r="Q670" s="22"/>
      <c r="R670" s="23"/>
    </row>
    <row r="671" spans="1:18" ht="12.75">
      <c r="A671" s="22"/>
      <c r="D671" s="19"/>
      <c r="H671" s="18"/>
      <c r="J671" s="18"/>
      <c r="N671" s="16"/>
      <c r="O671" s="17"/>
      <c r="P671" s="17"/>
      <c r="Q671" s="22"/>
      <c r="R671" s="23"/>
    </row>
    <row r="672" spans="1:18" ht="12.75">
      <c r="A672" s="22"/>
      <c r="D672" s="19"/>
      <c r="H672" s="18"/>
      <c r="J672" s="18"/>
      <c r="N672" s="16"/>
      <c r="O672" s="17"/>
      <c r="P672" s="17"/>
      <c r="Q672" s="22"/>
      <c r="R672" s="23"/>
    </row>
    <row r="673" spans="1:18" ht="12.75">
      <c r="A673" s="22"/>
      <c r="D673" s="19"/>
      <c r="H673" s="18"/>
      <c r="J673" s="18"/>
      <c r="N673" s="16"/>
      <c r="O673" s="17"/>
      <c r="P673" s="17"/>
      <c r="Q673" s="22"/>
      <c r="R673" s="23"/>
    </row>
    <row r="674" spans="1:18" ht="12.75">
      <c r="A674" s="22"/>
      <c r="D674" s="19"/>
      <c r="H674" s="18"/>
      <c r="J674" s="18"/>
      <c r="N674" s="16"/>
      <c r="O674" s="17"/>
      <c r="P674" s="17"/>
      <c r="Q674" s="22"/>
      <c r="R674" s="23"/>
    </row>
    <row r="675" spans="1:18" ht="12.75">
      <c r="A675" s="22"/>
      <c r="D675" s="19"/>
      <c r="H675" s="18"/>
      <c r="J675" s="18"/>
      <c r="N675" s="16"/>
      <c r="O675" s="17"/>
      <c r="P675" s="17"/>
      <c r="Q675" s="22"/>
      <c r="R675" s="23"/>
    </row>
    <row r="676" spans="1:18" ht="12.75">
      <c r="A676" s="22"/>
      <c r="D676" s="19"/>
      <c r="H676" s="18"/>
      <c r="J676" s="18"/>
      <c r="N676" s="16"/>
      <c r="O676" s="17"/>
      <c r="P676" s="17"/>
      <c r="Q676" s="22"/>
      <c r="R676" s="23"/>
    </row>
    <row r="677" spans="1:18" ht="12.75">
      <c r="A677" s="22"/>
      <c r="D677" s="19"/>
      <c r="H677" s="18"/>
      <c r="J677" s="18"/>
      <c r="N677" s="16"/>
      <c r="O677" s="17"/>
      <c r="P677" s="17"/>
      <c r="Q677" s="22"/>
      <c r="R677" s="23"/>
    </row>
    <row r="678" spans="1:18" ht="12.75">
      <c r="A678" s="22"/>
      <c r="D678" s="19"/>
      <c r="H678" s="18"/>
      <c r="J678" s="18"/>
      <c r="N678" s="16"/>
      <c r="O678" s="17"/>
      <c r="P678" s="17"/>
      <c r="Q678" s="22"/>
      <c r="R678" s="23"/>
    </row>
    <row r="679" spans="1:18" ht="12.75">
      <c r="A679" s="22"/>
      <c r="D679" s="19"/>
      <c r="H679" s="18"/>
      <c r="J679" s="18"/>
      <c r="N679" s="16"/>
      <c r="O679" s="17"/>
      <c r="P679" s="17"/>
      <c r="Q679" s="22"/>
      <c r="R679" s="23"/>
    </row>
    <row r="680" spans="1:18" ht="12.75">
      <c r="A680" s="22"/>
      <c r="D680" s="19"/>
      <c r="H680" s="18"/>
      <c r="J680" s="18"/>
      <c r="N680" s="16"/>
      <c r="O680" s="17"/>
      <c r="P680" s="17"/>
      <c r="Q680" s="22"/>
      <c r="R680" s="23"/>
    </row>
    <row r="681" spans="1:18" ht="12.75">
      <c r="A681" s="22"/>
      <c r="D681" s="19"/>
      <c r="H681" s="18"/>
      <c r="J681" s="18"/>
      <c r="N681" s="16"/>
      <c r="O681" s="17"/>
      <c r="P681" s="17"/>
      <c r="Q681" s="22"/>
      <c r="R681" s="23"/>
    </row>
    <row r="682" spans="1:18" ht="12.75">
      <c r="A682" s="22"/>
      <c r="D682" s="19"/>
      <c r="H682" s="18"/>
      <c r="J682" s="18"/>
      <c r="N682" s="16"/>
      <c r="O682" s="17"/>
      <c r="P682" s="17"/>
      <c r="Q682" s="22"/>
      <c r="R682" s="23"/>
    </row>
    <row r="683" spans="1:18" ht="12.75">
      <c r="A683" s="22"/>
      <c r="D683" s="19"/>
      <c r="H683" s="18"/>
      <c r="J683" s="18"/>
      <c r="N683" s="16"/>
      <c r="O683" s="17"/>
      <c r="P683" s="17"/>
      <c r="Q683" s="22"/>
      <c r="R683" s="23"/>
    </row>
    <row r="684" spans="1:18" ht="12.75">
      <c r="A684" s="22"/>
      <c r="D684" s="19"/>
      <c r="H684" s="18"/>
      <c r="J684" s="18"/>
      <c r="N684" s="16"/>
      <c r="O684" s="17"/>
      <c r="P684" s="17"/>
      <c r="Q684" s="22"/>
      <c r="R684" s="23"/>
    </row>
    <row r="685" spans="1:18" ht="12.75">
      <c r="A685" s="22"/>
      <c r="D685" s="19"/>
      <c r="H685" s="18"/>
      <c r="J685" s="18"/>
      <c r="N685" s="16"/>
      <c r="O685" s="17"/>
      <c r="P685" s="17"/>
      <c r="Q685" s="22"/>
      <c r="R685" s="23"/>
    </row>
    <row r="686" spans="1:18" ht="12.75">
      <c r="A686" s="22"/>
      <c r="D686" s="19"/>
      <c r="H686" s="18"/>
      <c r="J686" s="18"/>
      <c r="N686" s="16"/>
      <c r="O686" s="17"/>
      <c r="P686" s="17"/>
      <c r="Q686" s="22"/>
      <c r="R686" s="23"/>
    </row>
    <row r="687" spans="1:18" ht="12.75">
      <c r="A687" s="22"/>
      <c r="D687" s="19"/>
      <c r="H687" s="18"/>
      <c r="J687" s="18"/>
      <c r="N687" s="16"/>
      <c r="O687" s="17"/>
      <c r="P687" s="17"/>
      <c r="Q687" s="22"/>
      <c r="R687" s="23"/>
    </row>
    <row r="688" spans="1:18" ht="12.75">
      <c r="A688" s="22"/>
      <c r="D688" s="19"/>
      <c r="H688" s="18"/>
      <c r="J688" s="18"/>
      <c r="N688" s="16"/>
      <c r="O688" s="17"/>
      <c r="P688" s="17"/>
      <c r="Q688" s="22"/>
      <c r="R688" s="23"/>
    </row>
    <row r="689" spans="1:18" ht="12.75">
      <c r="A689" s="22"/>
      <c r="D689" s="19"/>
      <c r="H689" s="18"/>
      <c r="J689" s="18"/>
      <c r="N689" s="16"/>
      <c r="O689" s="17"/>
      <c r="P689" s="17"/>
      <c r="Q689" s="22"/>
      <c r="R689" s="23"/>
    </row>
    <row r="690" spans="1:18" ht="12.75">
      <c r="A690" s="22"/>
      <c r="D690" s="19"/>
      <c r="H690" s="18"/>
      <c r="J690" s="18"/>
      <c r="N690" s="16"/>
      <c r="O690" s="17"/>
      <c r="P690" s="17"/>
      <c r="Q690" s="22"/>
      <c r="R690" s="23"/>
    </row>
    <row r="691" spans="1:18" ht="12.75">
      <c r="A691" s="22"/>
      <c r="D691" s="19"/>
      <c r="H691" s="18"/>
      <c r="J691" s="18"/>
      <c r="N691" s="16"/>
      <c r="O691" s="17"/>
      <c r="P691" s="17"/>
      <c r="Q691" s="22"/>
      <c r="R691" s="23"/>
    </row>
    <row r="692" spans="1:18" ht="12.75">
      <c r="A692" s="22"/>
      <c r="D692" s="19"/>
      <c r="H692" s="18"/>
      <c r="J692" s="18"/>
      <c r="N692" s="16"/>
      <c r="O692" s="17"/>
      <c r="P692" s="17"/>
      <c r="Q692" s="22"/>
      <c r="R692" s="23"/>
    </row>
    <row r="693" spans="1:18" ht="12.75">
      <c r="A693" s="22"/>
      <c r="D693" s="19"/>
      <c r="H693" s="18"/>
      <c r="J693" s="18"/>
      <c r="N693" s="16"/>
      <c r="O693" s="17"/>
      <c r="P693" s="17"/>
      <c r="Q693" s="22"/>
      <c r="R693" s="23"/>
    </row>
    <row r="694" spans="1:18" ht="12.75">
      <c r="A694" s="22"/>
      <c r="D694" s="19"/>
      <c r="H694" s="18"/>
      <c r="J694" s="18"/>
      <c r="N694" s="16"/>
      <c r="O694" s="17"/>
      <c r="P694" s="17"/>
      <c r="Q694" s="22"/>
      <c r="R694" s="23"/>
    </row>
    <row r="695" spans="1:18" ht="12.75">
      <c r="A695" s="22"/>
      <c r="D695" s="19"/>
      <c r="H695" s="18"/>
      <c r="J695" s="18"/>
      <c r="N695" s="16"/>
      <c r="O695" s="17"/>
      <c r="P695" s="17"/>
      <c r="Q695" s="22"/>
      <c r="R695" s="23"/>
    </row>
    <row r="696" spans="1:18" ht="12.75">
      <c r="A696" s="22"/>
      <c r="D696" s="19"/>
      <c r="H696" s="18"/>
      <c r="J696" s="18"/>
      <c r="N696" s="16"/>
      <c r="O696" s="17"/>
      <c r="P696" s="17"/>
      <c r="Q696" s="22"/>
      <c r="R696" s="23"/>
    </row>
    <row r="697" spans="1:18" ht="12.75">
      <c r="A697" s="22"/>
      <c r="D697" s="19"/>
      <c r="H697" s="18"/>
      <c r="J697" s="18"/>
      <c r="N697" s="16"/>
      <c r="O697" s="17"/>
      <c r="P697" s="17"/>
      <c r="Q697" s="22"/>
      <c r="R697" s="23"/>
    </row>
    <row r="698" spans="1:18" ht="12.75">
      <c r="A698" s="22"/>
      <c r="D698" s="19"/>
      <c r="H698" s="18"/>
      <c r="J698" s="18"/>
      <c r="N698" s="16"/>
      <c r="O698" s="17"/>
      <c r="P698" s="17"/>
      <c r="Q698" s="22"/>
      <c r="R698" s="23"/>
    </row>
    <row r="699" spans="1:18" ht="12.75">
      <c r="A699" s="22"/>
      <c r="D699" s="19"/>
      <c r="H699" s="18"/>
      <c r="J699" s="18"/>
      <c r="N699" s="16"/>
      <c r="O699" s="17"/>
      <c r="P699" s="17"/>
      <c r="Q699" s="22"/>
      <c r="R699" s="23"/>
    </row>
    <row r="700" spans="1:18" ht="12.75">
      <c r="A700" s="22"/>
      <c r="D700" s="19"/>
      <c r="H700" s="18"/>
      <c r="J700" s="18"/>
      <c r="N700" s="16"/>
      <c r="O700" s="17"/>
      <c r="P700" s="17"/>
      <c r="Q700" s="22"/>
      <c r="R700" s="23"/>
    </row>
    <row r="701" spans="1:18" ht="12.75">
      <c r="A701" s="22"/>
      <c r="D701" s="19"/>
      <c r="H701" s="18"/>
      <c r="J701" s="18"/>
      <c r="N701" s="16"/>
      <c r="O701" s="17"/>
      <c r="P701" s="17"/>
      <c r="Q701" s="22"/>
      <c r="R701" s="23"/>
    </row>
    <row r="702" spans="1:18" ht="12.75">
      <c r="A702" s="22"/>
      <c r="D702" s="19"/>
      <c r="H702" s="18"/>
      <c r="J702" s="18"/>
      <c r="N702" s="16"/>
      <c r="O702" s="17"/>
      <c r="P702" s="17"/>
      <c r="Q702" s="22"/>
      <c r="R702" s="23"/>
    </row>
    <row r="703" spans="1:18" ht="12.75">
      <c r="A703" s="22"/>
      <c r="D703" s="19"/>
      <c r="H703" s="18"/>
      <c r="J703" s="18"/>
      <c r="N703" s="16"/>
      <c r="O703" s="17"/>
      <c r="P703" s="17"/>
      <c r="Q703" s="22"/>
      <c r="R703" s="23"/>
    </row>
    <row r="704" spans="1:18" ht="12.75">
      <c r="A704" s="22"/>
      <c r="D704" s="19"/>
      <c r="H704" s="18"/>
      <c r="J704" s="18"/>
      <c r="N704" s="16"/>
      <c r="O704" s="17"/>
      <c r="P704" s="17"/>
      <c r="Q704" s="22"/>
      <c r="R704" s="23"/>
    </row>
    <row r="705" spans="1:18" ht="12.75">
      <c r="A705" s="22"/>
      <c r="D705" s="19"/>
      <c r="H705" s="18"/>
      <c r="J705" s="18"/>
      <c r="N705" s="16"/>
      <c r="O705" s="17"/>
      <c r="P705" s="17"/>
      <c r="Q705" s="22"/>
      <c r="R705" s="23"/>
    </row>
    <row r="706" spans="1:18" ht="12.75">
      <c r="A706" s="22"/>
      <c r="D706" s="19"/>
      <c r="H706" s="18"/>
      <c r="J706" s="18"/>
      <c r="N706" s="16"/>
      <c r="O706" s="17"/>
      <c r="P706" s="17"/>
      <c r="Q706" s="22"/>
      <c r="R706" s="23"/>
    </row>
    <row r="707" spans="1:18" ht="12.75">
      <c r="A707" s="22"/>
      <c r="D707" s="19"/>
      <c r="H707" s="18"/>
      <c r="J707" s="18"/>
      <c r="N707" s="16"/>
      <c r="O707" s="17"/>
      <c r="P707" s="17"/>
      <c r="Q707" s="22"/>
      <c r="R707" s="23"/>
    </row>
    <row r="708" spans="1:18" ht="12.75">
      <c r="A708" s="22"/>
      <c r="D708" s="19"/>
      <c r="H708" s="18"/>
      <c r="J708" s="18"/>
      <c r="N708" s="16"/>
      <c r="O708" s="17"/>
      <c r="P708" s="17"/>
      <c r="Q708" s="22"/>
      <c r="R708" s="23"/>
    </row>
    <row r="709" spans="1:18" ht="12.75">
      <c r="A709" s="22"/>
      <c r="D709" s="19"/>
      <c r="H709" s="18"/>
      <c r="J709" s="18"/>
      <c r="N709" s="16"/>
      <c r="O709" s="17"/>
      <c r="P709" s="17"/>
      <c r="Q709" s="22"/>
      <c r="R709" s="23"/>
    </row>
    <row r="710" spans="1:18" ht="12.75">
      <c r="A710" s="22"/>
      <c r="D710" s="19"/>
      <c r="H710" s="18"/>
      <c r="J710" s="18"/>
      <c r="N710" s="16"/>
      <c r="O710" s="17"/>
      <c r="P710" s="17"/>
      <c r="Q710" s="22"/>
      <c r="R710" s="23"/>
    </row>
    <row r="711" spans="1:18" ht="12.75">
      <c r="A711" s="22"/>
      <c r="D711" s="19"/>
      <c r="H711" s="18"/>
      <c r="J711" s="18"/>
      <c r="N711" s="16"/>
      <c r="O711" s="17"/>
      <c r="P711" s="17"/>
      <c r="Q711" s="22"/>
      <c r="R711" s="23"/>
    </row>
    <row r="712" spans="1:18" ht="12.75">
      <c r="A712" s="22"/>
      <c r="D712" s="19"/>
      <c r="H712" s="18"/>
      <c r="J712" s="18"/>
      <c r="N712" s="16"/>
      <c r="O712" s="17"/>
      <c r="P712" s="17"/>
      <c r="Q712" s="22"/>
      <c r="R712" s="23"/>
    </row>
    <row r="713" spans="1:18" ht="12.75">
      <c r="A713" s="22"/>
      <c r="D713" s="19"/>
      <c r="H713" s="18"/>
      <c r="J713" s="18"/>
      <c r="N713" s="16"/>
      <c r="O713" s="17"/>
      <c r="P713" s="17"/>
      <c r="Q713" s="22"/>
      <c r="R713" s="23"/>
    </row>
    <row r="714" spans="1:18" ht="12.75">
      <c r="A714" s="22"/>
      <c r="D714" s="19"/>
      <c r="H714" s="18"/>
      <c r="J714" s="18"/>
      <c r="N714" s="16"/>
      <c r="O714" s="17"/>
      <c r="P714" s="17"/>
      <c r="Q714" s="22"/>
      <c r="R714" s="23"/>
    </row>
    <row r="715" spans="1:18" ht="12.75">
      <c r="A715" s="22"/>
      <c r="D715" s="19"/>
      <c r="H715" s="18"/>
      <c r="J715" s="18"/>
      <c r="N715" s="16"/>
      <c r="O715" s="17"/>
      <c r="P715" s="17"/>
      <c r="Q715" s="22"/>
      <c r="R715" s="23"/>
    </row>
    <row r="716" spans="1:18" ht="12.75">
      <c r="A716" s="22"/>
      <c r="D716" s="19"/>
      <c r="H716" s="18"/>
      <c r="J716" s="18"/>
      <c r="N716" s="16"/>
      <c r="O716" s="17"/>
      <c r="P716" s="17"/>
      <c r="Q716" s="22"/>
      <c r="R716" s="23"/>
    </row>
    <row r="717" spans="1:18" ht="12.75">
      <c r="A717" s="22"/>
      <c r="D717" s="19"/>
      <c r="H717" s="18"/>
      <c r="J717" s="18"/>
      <c r="N717" s="16"/>
      <c r="O717" s="17"/>
      <c r="P717" s="17"/>
      <c r="Q717" s="22"/>
      <c r="R717" s="23"/>
    </row>
    <row r="718" spans="1:18" ht="12.75">
      <c r="A718" s="22"/>
      <c r="D718" s="19"/>
      <c r="H718" s="18"/>
      <c r="J718" s="18"/>
      <c r="N718" s="16"/>
      <c r="O718" s="17"/>
      <c r="P718" s="17"/>
      <c r="Q718" s="22"/>
      <c r="R718" s="23"/>
    </row>
    <row r="719" spans="1:18" ht="12.75">
      <c r="A719" s="22"/>
      <c r="D719" s="19"/>
      <c r="H719" s="18"/>
      <c r="J719" s="18"/>
      <c r="N719" s="16"/>
      <c r="O719" s="17"/>
      <c r="P719" s="17"/>
      <c r="Q719" s="22"/>
      <c r="R719" s="23"/>
    </row>
    <row r="720" spans="1:18" ht="12.75">
      <c r="A720" s="22"/>
      <c r="D720" s="19"/>
      <c r="H720" s="18"/>
      <c r="J720" s="18"/>
      <c r="N720" s="16"/>
      <c r="O720" s="17"/>
      <c r="P720" s="17"/>
      <c r="Q720" s="22"/>
      <c r="R720" s="23"/>
    </row>
    <row r="721" spans="1:18" ht="12.75">
      <c r="A721" s="22"/>
      <c r="D721" s="19"/>
      <c r="H721" s="18"/>
      <c r="J721" s="18"/>
      <c r="N721" s="16"/>
      <c r="O721" s="17"/>
      <c r="P721" s="17"/>
      <c r="Q721" s="22"/>
      <c r="R721" s="23"/>
    </row>
    <row r="722" spans="1:18" ht="12.75">
      <c r="A722" s="22"/>
      <c r="D722" s="19"/>
      <c r="H722" s="18"/>
      <c r="J722" s="18"/>
      <c r="N722" s="16"/>
      <c r="O722" s="17"/>
      <c r="P722" s="17"/>
      <c r="Q722" s="22"/>
      <c r="R722" s="23"/>
    </row>
    <row r="723" spans="1:18" ht="12.75">
      <c r="A723" s="22"/>
      <c r="D723" s="19"/>
      <c r="H723" s="18"/>
      <c r="J723" s="18"/>
      <c r="N723" s="16"/>
      <c r="O723" s="17"/>
      <c r="P723" s="17"/>
      <c r="Q723" s="22"/>
      <c r="R723" s="23"/>
    </row>
    <row r="724" spans="1:18" ht="12.75">
      <c r="A724" s="22"/>
      <c r="D724" s="19"/>
      <c r="H724" s="18"/>
      <c r="J724" s="18"/>
      <c r="N724" s="16"/>
      <c r="O724" s="17"/>
      <c r="P724" s="17"/>
      <c r="Q724" s="22"/>
      <c r="R724" s="23"/>
    </row>
    <row r="725" spans="1:18" ht="12.75">
      <c r="A725" s="22"/>
      <c r="D725" s="19"/>
      <c r="H725" s="18"/>
      <c r="J725" s="18"/>
      <c r="N725" s="16"/>
      <c r="O725" s="17"/>
      <c r="P725" s="17"/>
      <c r="Q725" s="22"/>
      <c r="R725" s="23"/>
    </row>
    <row r="726" spans="1:18" ht="12.75">
      <c r="A726" s="22"/>
      <c r="D726" s="19"/>
      <c r="H726" s="18"/>
      <c r="J726" s="18"/>
      <c r="N726" s="16"/>
      <c r="O726" s="17"/>
      <c r="P726" s="17"/>
      <c r="Q726" s="22"/>
      <c r="R726" s="23"/>
    </row>
    <row r="727" spans="1:18" ht="12.75">
      <c r="A727" s="22"/>
      <c r="D727" s="19"/>
      <c r="H727" s="18"/>
      <c r="J727" s="18"/>
      <c r="N727" s="16"/>
      <c r="O727" s="17"/>
      <c r="P727" s="17"/>
      <c r="Q727" s="22"/>
      <c r="R727" s="23"/>
    </row>
    <row r="728" spans="1:18" ht="12.75">
      <c r="A728" s="22"/>
      <c r="D728" s="19"/>
      <c r="H728" s="18"/>
      <c r="J728" s="18"/>
      <c r="N728" s="16"/>
      <c r="O728" s="17"/>
      <c r="P728" s="17"/>
      <c r="Q728" s="22"/>
      <c r="R728" s="23"/>
    </row>
    <row r="729" spans="1:18" ht="12.75">
      <c r="A729" s="22"/>
      <c r="D729" s="19"/>
      <c r="H729" s="18"/>
      <c r="J729" s="18"/>
      <c r="N729" s="16"/>
      <c r="O729" s="17"/>
      <c r="P729" s="17"/>
      <c r="Q729" s="22"/>
      <c r="R729" s="23"/>
    </row>
    <row r="730" spans="1:18" ht="12.75">
      <c r="A730" s="22"/>
      <c r="D730" s="19"/>
      <c r="H730" s="18"/>
      <c r="J730" s="18"/>
      <c r="N730" s="16"/>
      <c r="O730" s="17"/>
      <c r="P730" s="17"/>
      <c r="Q730" s="22"/>
      <c r="R730" s="23"/>
    </row>
    <row r="731" spans="1:18" ht="12.75">
      <c r="A731" s="22"/>
      <c r="D731" s="19"/>
      <c r="H731" s="18"/>
      <c r="J731" s="18"/>
      <c r="N731" s="16"/>
      <c r="O731" s="17"/>
      <c r="P731" s="17"/>
      <c r="Q731" s="22"/>
      <c r="R731" s="23"/>
    </row>
    <row r="732" spans="1:18" ht="12.75">
      <c r="A732" s="22"/>
      <c r="D732" s="19"/>
      <c r="H732" s="18"/>
      <c r="J732" s="18"/>
      <c r="N732" s="16"/>
      <c r="O732" s="17"/>
      <c r="P732" s="17"/>
      <c r="Q732" s="22"/>
      <c r="R732" s="23"/>
    </row>
    <row r="733" spans="1:18" ht="12.75">
      <c r="A733" s="22"/>
      <c r="D733" s="19"/>
      <c r="H733" s="18"/>
      <c r="J733" s="18"/>
      <c r="N733" s="16"/>
      <c r="O733" s="17"/>
      <c r="P733" s="17"/>
      <c r="Q733" s="22"/>
      <c r="R733" s="23"/>
    </row>
    <row r="734" spans="1:18" ht="12.75">
      <c r="A734" s="22"/>
      <c r="D734" s="19"/>
      <c r="H734" s="18"/>
      <c r="J734" s="18"/>
      <c r="N734" s="16"/>
      <c r="O734" s="17"/>
      <c r="P734" s="17"/>
      <c r="Q734" s="22"/>
      <c r="R734" s="23"/>
    </row>
    <row r="735" spans="1:18" ht="12.75">
      <c r="A735" s="22"/>
      <c r="D735" s="19"/>
      <c r="H735" s="18"/>
      <c r="J735" s="18"/>
      <c r="N735" s="16"/>
      <c r="O735" s="17"/>
      <c r="P735" s="17"/>
      <c r="Q735" s="22"/>
      <c r="R735" s="23"/>
    </row>
    <row r="736" spans="1:18" ht="12.75">
      <c r="A736" s="22"/>
      <c r="D736" s="19"/>
      <c r="H736" s="18"/>
      <c r="J736" s="18"/>
      <c r="N736" s="16"/>
      <c r="O736" s="17"/>
      <c r="P736" s="17"/>
      <c r="Q736" s="22"/>
      <c r="R736" s="23"/>
    </row>
    <row r="737" spans="1:18" ht="12.75">
      <c r="A737" s="22"/>
      <c r="D737" s="19"/>
      <c r="H737" s="18"/>
      <c r="J737" s="18"/>
      <c r="N737" s="16"/>
      <c r="O737" s="17"/>
      <c r="P737" s="17"/>
      <c r="Q737" s="22"/>
      <c r="R737" s="23"/>
    </row>
    <row r="738" spans="1:18" ht="12.75">
      <c r="A738" s="22"/>
      <c r="D738" s="19"/>
      <c r="H738" s="18"/>
      <c r="J738" s="18"/>
      <c r="N738" s="16"/>
      <c r="O738" s="17"/>
      <c r="P738" s="17"/>
      <c r="Q738" s="22"/>
      <c r="R738" s="23"/>
    </row>
    <row r="739" spans="1:18" ht="12.75">
      <c r="A739" s="22"/>
      <c r="D739" s="19"/>
      <c r="H739" s="18"/>
      <c r="J739" s="18"/>
      <c r="N739" s="16"/>
      <c r="O739" s="17"/>
      <c r="P739" s="17"/>
      <c r="Q739" s="22"/>
      <c r="R739" s="23"/>
    </row>
    <row r="740" spans="1:18" ht="12.75">
      <c r="A740" s="22"/>
      <c r="D740" s="19"/>
      <c r="H740" s="18"/>
      <c r="J740" s="18"/>
      <c r="N740" s="16"/>
      <c r="O740" s="17"/>
      <c r="P740" s="17"/>
      <c r="Q740" s="22"/>
      <c r="R740" s="23"/>
    </row>
    <row r="741" spans="1:18" ht="12.75">
      <c r="A741" s="22"/>
      <c r="D741" s="19"/>
      <c r="H741" s="18"/>
      <c r="J741" s="18"/>
      <c r="N741" s="16"/>
      <c r="O741" s="17"/>
      <c r="P741" s="17"/>
      <c r="Q741" s="22"/>
      <c r="R741" s="23"/>
    </row>
    <row r="742" spans="1:18" ht="12.75">
      <c r="A742" s="22"/>
      <c r="D742" s="19"/>
      <c r="H742" s="18"/>
      <c r="J742" s="18"/>
      <c r="N742" s="16"/>
      <c r="O742" s="17"/>
      <c r="P742" s="17"/>
      <c r="Q742" s="22"/>
      <c r="R742" s="23"/>
    </row>
    <row r="743" spans="1:18" ht="12.75">
      <c r="A743" s="22"/>
      <c r="D743" s="19"/>
      <c r="H743" s="18"/>
      <c r="J743" s="18"/>
      <c r="N743" s="16"/>
      <c r="O743" s="17"/>
      <c r="P743" s="17"/>
      <c r="Q743" s="22"/>
      <c r="R743" s="23"/>
    </row>
    <row r="744" spans="1:18" ht="12.75">
      <c r="A744" s="22"/>
      <c r="D744" s="19"/>
      <c r="H744" s="18"/>
      <c r="J744" s="18"/>
      <c r="N744" s="16"/>
      <c r="O744" s="17"/>
      <c r="P744" s="17"/>
      <c r="Q744" s="22"/>
      <c r="R744" s="23"/>
    </row>
    <row r="745" spans="1:18" ht="12.75">
      <c r="A745" s="22"/>
      <c r="D745" s="19"/>
      <c r="H745" s="18"/>
      <c r="J745" s="18"/>
      <c r="N745" s="16"/>
      <c r="O745" s="17"/>
      <c r="P745" s="17"/>
      <c r="Q745" s="22"/>
      <c r="R745" s="23"/>
    </row>
    <row r="746" spans="1:18" ht="12.75">
      <c r="A746" s="22"/>
      <c r="D746" s="19"/>
      <c r="H746" s="18"/>
      <c r="J746" s="18"/>
      <c r="N746" s="16"/>
      <c r="O746" s="17"/>
      <c r="P746" s="17"/>
      <c r="Q746" s="22"/>
      <c r="R746" s="23"/>
    </row>
    <row r="747" spans="1:18" ht="12.75">
      <c r="A747" s="22"/>
      <c r="D747" s="19"/>
      <c r="H747" s="18"/>
      <c r="J747" s="18"/>
      <c r="N747" s="16"/>
      <c r="O747" s="17"/>
      <c r="P747" s="17"/>
      <c r="Q747" s="22"/>
      <c r="R747" s="23"/>
    </row>
    <row r="748" spans="1:18" ht="12.75">
      <c r="A748" s="22"/>
      <c r="D748" s="19"/>
      <c r="H748" s="18"/>
      <c r="J748" s="18"/>
      <c r="N748" s="16"/>
      <c r="O748" s="17"/>
      <c r="P748" s="17"/>
      <c r="Q748" s="22"/>
      <c r="R748" s="23"/>
    </row>
    <row r="749" spans="1:18" ht="12.75">
      <c r="A749" s="22"/>
      <c r="D749" s="19"/>
      <c r="H749" s="18"/>
      <c r="J749" s="18"/>
      <c r="N749" s="16"/>
      <c r="O749" s="17"/>
      <c r="P749" s="17"/>
      <c r="Q749" s="22"/>
      <c r="R749" s="23"/>
    </row>
    <row r="750" spans="1:18" ht="12.75">
      <c r="A750" s="22"/>
      <c r="D750" s="19"/>
      <c r="H750" s="18"/>
      <c r="J750" s="18"/>
      <c r="N750" s="16"/>
      <c r="O750" s="17"/>
      <c r="P750" s="17"/>
      <c r="Q750" s="22"/>
      <c r="R750" s="23"/>
    </row>
    <row r="751" spans="1:18" ht="12.75">
      <c r="A751" s="22"/>
      <c r="D751" s="19"/>
      <c r="H751" s="18"/>
      <c r="J751" s="18"/>
      <c r="N751" s="16"/>
      <c r="O751" s="17"/>
      <c r="P751" s="17"/>
      <c r="Q751" s="22"/>
      <c r="R751" s="23"/>
    </row>
    <row r="752" spans="1:18" ht="12.75">
      <c r="A752" s="22"/>
      <c r="D752" s="19"/>
      <c r="H752" s="18"/>
      <c r="J752" s="18"/>
      <c r="N752" s="16"/>
      <c r="O752" s="17"/>
      <c r="P752" s="17"/>
      <c r="Q752" s="22"/>
      <c r="R752" s="23"/>
    </row>
    <row r="753" spans="1:18" ht="12.75">
      <c r="A753" s="22"/>
      <c r="D753" s="19"/>
      <c r="H753" s="18"/>
      <c r="J753" s="18"/>
      <c r="N753" s="16"/>
      <c r="O753" s="17"/>
      <c r="P753" s="17"/>
      <c r="Q753" s="22"/>
      <c r="R753" s="23"/>
    </row>
    <row r="754" spans="1:18" ht="12.75">
      <c r="A754" s="22"/>
      <c r="D754" s="19"/>
      <c r="H754" s="18"/>
      <c r="J754" s="18"/>
      <c r="N754" s="16"/>
      <c r="O754" s="17"/>
      <c r="P754" s="17"/>
      <c r="Q754" s="22"/>
      <c r="R754" s="23"/>
    </row>
    <row r="755" spans="1:18" ht="12.75">
      <c r="A755" s="22"/>
      <c r="D755" s="19"/>
      <c r="H755" s="18"/>
      <c r="J755" s="18"/>
      <c r="N755" s="16"/>
      <c r="O755" s="17"/>
      <c r="P755" s="17"/>
      <c r="Q755" s="22"/>
      <c r="R755" s="23"/>
    </row>
    <row r="756" spans="1:18" ht="12.75">
      <c r="A756" s="22"/>
      <c r="D756" s="19"/>
      <c r="H756" s="18"/>
      <c r="J756" s="18"/>
      <c r="N756" s="16"/>
      <c r="O756" s="17"/>
      <c r="P756" s="17"/>
      <c r="Q756" s="22"/>
      <c r="R756" s="23"/>
    </row>
    <row r="757" spans="1:18" ht="12.75">
      <c r="A757" s="22"/>
      <c r="D757" s="19"/>
      <c r="H757" s="18"/>
      <c r="J757" s="18"/>
      <c r="N757" s="16"/>
      <c r="O757" s="17"/>
      <c r="P757" s="17"/>
      <c r="Q757" s="22"/>
      <c r="R757" s="23"/>
    </row>
    <row r="758" spans="1:18" ht="12.75">
      <c r="A758" s="22"/>
      <c r="D758" s="19"/>
      <c r="H758" s="18"/>
      <c r="J758" s="18"/>
      <c r="N758" s="16"/>
      <c r="O758" s="17"/>
      <c r="P758" s="17"/>
      <c r="Q758" s="22"/>
      <c r="R758" s="23"/>
    </row>
    <row r="759" spans="1:18" ht="12.75">
      <c r="A759" s="22"/>
      <c r="D759" s="19"/>
      <c r="H759" s="18"/>
      <c r="J759" s="18"/>
      <c r="N759" s="16"/>
      <c r="O759" s="17"/>
      <c r="P759" s="17"/>
      <c r="Q759" s="22"/>
      <c r="R759" s="23"/>
    </row>
    <row r="760" spans="1:18" ht="12.75">
      <c r="A760" s="22"/>
      <c r="D760" s="19"/>
      <c r="H760" s="18"/>
      <c r="J760" s="18"/>
      <c r="N760" s="16"/>
      <c r="O760" s="17"/>
      <c r="P760" s="17"/>
      <c r="Q760" s="22"/>
      <c r="R760" s="23"/>
    </row>
    <row r="761" spans="1:18" ht="12.75">
      <c r="A761" s="22"/>
      <c r="D761" s="19"/>
      <c r="H761" s="18"/>
      <c r="J761" s="18"/>
      <c r="N761" s="16"/>
      <c r="O761" s="17"/>
      <c r="P761" s="17"/>
      <c r="Q761" s="22"/>
      <c r="R761" s="23"/>
    </row>
    <row r="762" spans="1:18" ht="12.75">
      <c r="A762" s="22"/>
      <c r="D762" s="19"/>
      <c r="H762" s="18"/>
      <c r="J762" s="18"/>
      <c r="N762" s="16"/>
      <c r="O762" s="17"/>
      <c r="P762" s="17"/>
      <c r="Q762" s="22"/>
      <c r="R762" s="23"/>
    </row>
    <row r="763" spans="1:18" ht="12.75">
      <c r="A763" s="22"/>
      <c r="D763" s="19"/>
      <c r="H763" s="18"/>
      <c r="J763" s="18"/>
      <c r="N763" s="16"/>
      <c r="O763" s="17"/>
      <c r="P763" s="17"/>
      <c r="Q763" s="22"/>
      <c r="R763" s="23"/>
    </row>
    <row r="764" spans="1:18" ht="12.75">
      <c r="A764" s="22"/>
      <c r="D764" s="19"/>
      <c r="H764" s="18"/>
      <c r="J764" s="18"/>
      <c r="N764" s="16"/>
      <c r="O764" s="17"/>
      <c r="P764" s="17"/>
      <c r="Q764" s="22"/>
      <c r="R764" s="23"/>
    </row>
    <row r="765" spans="1:18" ht="12.75">
      <c r="A765" s="22"/>
      <c r="D765" s="19"/>
      <c r="H765" s="18"/>
      <c r="J765" s="18"/>
      <c r="N765" s="16"/>
      <c r="O765" s="17"/>
      <c r="P765" s="17"/>
      <c r="Q765" s="22"/>
      <c r="R765" s="23"/>
    </row>
    <row r="766" spans="1:18" ht="12.75">
      <c r="A766" s="22"/>
      <c r="D766" s="19"/>
      <c r="H766" s="18"/>
      <c r="J766" s="18"/>
      <c r="N766" s="16"/>
      <c r="O766" s="17"/>
      <c r="P766" s="17"/>
      <c r="Q766" s="22"/>
      <c r="R766" s="23"/>
    </row>
    <row r="767" spans="1:18" ht="12.75">
      <c r="A767" s="22"/>
      <c r="D767" s="19"/>
      <c r="H767" s="18"/>
      <c r="J767" s="18"/>
      <c r="N767" s="16"/>
      <c r="O767" s="17"/>
      <c r="P767" s="17"/>
      <c r="Q767" s="22"/>
      <c r="R767" s="23"/>
    </row>
    <row r="768" spans="1:18" ht="12.75">
      <c r="A768" s="22"/>
      <c r="D768" s="19"/>
      <c r="H768" s="18"/>
      <c r="J768" s="18"/>
      <c r="N768" s="16"/>
      <c r="O768" s="17"/>
      <c r="P768" s="17"/>
      <c r="Q768" s="22"/>
      <c r="R768" s="23"/>
    </row>
    <row r="769" spans="1:18" ht="12.75">
      <c r="A769" s="22"/>
      <c r="D769" s="19"/>
      <c r="H769" s="18"/>
      <c r="J769" s="18"/>
      <c r="N769" s="16"/>
      <c r="O769" s="17"/>
      <c r="P769" s="17"/>
      <c r="Q769" s="22"/>
      <c r="R769" s="23"/>
    </row>
    <row r="770" spans="1:18" ht="12.75">
      <c r="A770" s="22"/>
      <c r="D770" s="19"/>
      <c r="H770" s="18"/>
      <c r="J770" s="18"/>
      <c r="N770" s="16"/>
      <c r="O770" s="17"/>
      <c r="P770" s="17"/>
      <c r="Q770" s="22"/>
      <c r="R770" s="23"/>
    </row>
    <row r="771" spans="1:18" ht="12.75">
      <c r="A771" s="22"/>
      <c r="D771" s="19"/>
      <c r="H771" s="18"/>
      <c r="J771" s="18"/>
      <c r="N771" s="16"/>
      <c r="O771" s="17"/>
      <c r="P771" s="17"/>
      <c r="Q771" s="22"/>
      <c r="R771" s="23"/>
    </row>
    <row r="772" spans="1:18" ht="12.75">
      <c r="A772" s="22"/>
      <c r="D772" s="19"/>
      <c r="H772" s="18"/>
      <c r="J772" s="18"/>
      <c r="N772" s="16"/>
      <c r="O772" s="17"/>
      <c r="P772" s="17"/>
      <c r="Q772" s="22"/>
      <c r="R772" s="23"/>
    </row>
    <row r="773" spans="1:18" ht="12.75">
      <c r="A773" s="22"/>
      <c r="D773" s="19"/>
      <c r="H773" s="18"/>
      <c r="J773" s="18"/>
      <c r="N773" s="16"/>
      <c r="O773" s="17"/>
      <c r="P773" s="17"/>
      <c r="Q773" s="22"/>
      <c r="R773" s="23"/>
    </row>
    <row r="774" spans="1:18" ht="12.75">
      <c r="A774" s="22"/>
      <c r="D774" s="19"/>
      <c r="H774" s="18"/>
      <c r="J774" s="18"/>
      <c r="N774" s="16"/>
      <c r="O774" s="17"/>
      <c r="P774" s="17"/>
      <c r="Q774" s="22"/>
      <c r="R774" s="23"/>
    </row>
    <row r="775" spans="1:18" ht="12.75">
      <c r="A775" s="22"/>
      <c r="D775" s="19"/>
      <c r="H775" s="18"/>
      <c r="J775" s="18"/>
      <c r="N775" s="16"/>
      <c r="O775" s="17"/>
      <c r="P775" s="17"/>
      <c r="Q775" s="22"/>
      <c r="R775" s="23"/>
    </row>
    <row r="776" spans="1:18" ht="12.75">
      <c r="A776" s="22"/>
      <c r="D776" s="19"/>
      <c r="H776" s="18"/>
      <c r="J776" s="18"/>
      <c r="N776" s="16"/>
      <c r="O776" s="17"/>
      <c r="P776" s="17"/>
      <c r="Q776" s="22"/>
      <c r="R776" s="23"/>
    </row>
    <row r="777" spans="1:18" ht="12.75">
      <c r="A777" s="22"/>
      <c r="D777" s="19"/>
      <c r="H777" s="18"/>
      <c r="J777" s="18"/>
      <c r="N777" s="16"/>
      <c r="O777" s="17"/>
      <c r="P777" s="17"/>
      <c r="Q777" s="22"/>
      <c r="R777" s="23"/>
    </row>
    <row r="778" spans="1:18" ht="12.75">
      <c r="A778" s="22"/>
      <c r="D778" s="19"/>
      <c r="H778" s="18"/>
      <c r="J778" s="18"/>
      <c r="N778" s="16"/>
      <c r="O778" s="17"/>
      <c r="P778" s="17"/>
      <c r="Q778" s="22"/>
      <c r="R778" s="23"/>
    </row>
    <row r="779" spans="1:18" ht="12.75">
      <c r="A779" s="22"/>
      <c r="D779" s="19"/>
      <c r="H779" s="18"/>
      <c r="J779" s="18"/>
      <c r="N779" s="16"/>
      <c r="O779" s="17"/>
      <c r="P779" s="17"/>
      <c r="Q779" s="22"/>
      <c r="R779" s="23"/>
    </row>
    <row r="780" spans="1:18" ht="12.75">
      <c r="A780" s="22"/>
      <c r="D780" s="19"/>
      <c r="H780" s="18"/>
      <c r="J780" s="18"/>
      <c r="N780" s="16"/>
      <c r="O780" s="17"/>
      <c r="P780" s="17"/>
      <c r="Q780" s="22"/>
      <c r="R780" s="23"/>
    </row>
    <row r="781" spans="1:18" ht="12.75">
      <c r="A781" s="22"/>
      <c r="D781" s="19"/>
      <c r="H781" s="18"/>
      <c r="J781" s="18"/>
      <c r="N781" s="16"/>
      <c r="O781" s="17"/>
      <c r="P781" s="17"/>
      <c r="Q781" s="22"/>
      <c r="R781" s="23"/>
    </row>
    <row r="782" spans="1:18" ht="12.75">
      <c r="A782" s="22"/>
      <c r="D782" s="19"/>
      <c r="H782" s="18"/>
      <c r="J782" s="18"/>
      <c r="N782" s="16"/>
      <c r="O782" s="17"/>
      <c r="P782" s="17"/>
      <c r="Q782" s="22"/>
      <c r="R782" s="23"/>
    </row>
    <row r="783" spans="1:18" ht="12.75">
      <c r="A783" s="22"/>
      <c r="D783" s="19"/>
      <c r="H783" s="18"/>
      <c r="J783" s="18"/>
      <c r="N783" s="16"/>
      <c r="O783" s="17"/>
      <c r="P783" s="17"/>
      <c r="Q783" s="22"/>
      <c r="R783" s="23"/>
    </row>
    <row r="784" spans="1:18" ht="12.75">
      <c r="A784" s="22"/>
      <c r="D784" s="19"/>
      <c r="H784" s="18"/>
      <c r="J784" s="18"/>
      <c r="N784" s="16"/>
      <c r="O784" s="17"/>
      <c r="P784" s="17"/>
      <c r="Q784" s="22"/>
      <c r="R784" s="23"/>
    </row>
    <row r="785" spans="1:18" ht="12.75">
      <c r="A785" s="22"/>
      <c r="D785" s="19"/>
      <c r="H785" s="18"/>
      <c r="J785" s="18"/>
      <c r="N785" s="16"/>
      <c r="O785" s="17"/>
      <c r="P785" s="17"/>
      <c r="Q785" s="22"/>
      <c r="R785" s="23"/>
    </row>
    <row r="786" spans="1:18" ht="12.75">
      <c r="A786" s="22"/>
      <c r="D786" s="19"/>
      <c r="H786" s="18"/>
      <c r="J786" s="18"/>
      <c r="N786" s="16"/>
      <c r="O786" s="17"/>
      <c r="P786" s="17"/>
      <c r="Q786" s="22"/>
      <c r="R786" s="23"/>
    </row>
    <row r="787" spans="1:18" ht="12.75">
      <c r="A787" s="22"/>
      <c r="D787" s="19"/>
      <c r="H787" s="18"/>
      <c r="J787" s="18"/>
      <c r="N787" s="16"/>
      <c r="O787" s="17"/>
      <c r="P787" s="17"/>
      <c r="Q787" s="22"/>
      <c r="R787" s="23"/>
    </row>
    <row r="788" spans="1:18" ht="12.75">
      <c r="A788" s="22"/>
      <c r="D788" s="19"/>
      <c r="H788" s="18"/>
      <c r="J788" s="18"/>
      <c r="N788" s="16"/>
      <c r="O788" s="17"/>
      <c r="P788" s="17"/>
      <c r="Q788" s="22"/>
      <c r="R788" s="23"/>
    </row>
    <row r="789" spans="1:18" ht="12.75">
      <c r="A789" s="22"/>
      <c r="D789" s="19"/>
      <c r="H789" s="18"/>
      <c r="J789" s="18"/>
      <c r="N789" s="16"/>
      <c r="O789" s="17"/>
      <c r="P789" s="17"/>
      <c r="Q789" s="22"/>
      <c r="R789" s="23"/>
    </row>
    <row r="790" spans="1:18" ht="12.75">
      <c r="A790" s="22"/>
      <c r="D790" s="19"/>
      <c r="H790" s="18"/>
      <c r="J790" s="18"/>
      <c r="N790" s="16"/>
      <c r="O790" s="17"/>
      <c r="P790" s="17"/>
      <c r="Q790" s="22"/>
      <c r="R790" s="23"/>
    </row>
    <row r="791" spans="1:18" ht="12.75">
      <c r="A791" s="22"/>
      <c r="D791" s="19"/>
      <c r="H791" s="18"/>
      <c r="J791" s="18"/>
      <c r="N791" s="16"/>
      <c r="O791" s="17"/>
      <c r="P791" s="17"/>
      <c r="Q791" s="22"/>
      <c r="R791" s="23"/>
    </row>
    <row r="792" spans="1:18" ht="12.75">
      <c r="A792" s="22"/>
      <c r="D792" s="19"/>
      <c r="H792" s="18"/>
      <c r="J792" s="18"/>
      <c r="N792" s="16"/>
      <c r="O792" s="17"/>
      <c r="P792" s="17"/>
      <c r="Q792" s="22"/>
      <c r="R792" s="23"/>
    </row>
    <row r="793" spans="1:18" ht="12.75">
      <c r="A793" s="22"/>
      <c r="D793" s="19"/>
      <c r="H793" s="18"/>
      <c r="J793" s="18"/>
      <c r="N793" s="16"/>
      <c r="O793" s="17"/>
      <c r="P793" s="17"/>
      <c r="Q793" s="22"/>
      <c r="R793" s="23"/>
    </row>
    <row r="794" spans="1:18" ht="12.75">
      <c r="A794" s="22"/>
      <c r="D794" s="19"/>
      <c r="H794" s="18"/>
      <c r="J794" s="18"/>
      <c r="N794" s="16"/>
      <c r="O794" s="17"/>
      <c r="P794" s="17"/>
      <c r="Q794" s="22"/>
      <c r="R794" s="23"/>
    </row>
    <row r="795" spans="1:18" ht="12.75">
      <c r="A795" s="22"/>
      <c r="D795" s="19"/>
      <c r="H795" s="18"/>
      <c r="J795" s="18"/>
      <c r="N795" s="16"/>
      <c r="O795" s="17"/>
      <c r="P795" s="17"/>
      <c r="Q795" s="22"/>
      <c r="R795" s="23"/>
    </row>
    <row r="796" spans="1:18" ht="12.75">
      <c r="A796" s="22"/>
      <c r="D796" s="19"/>
      <c r="H796" s="18"/>
      <c r="J796" s="18"/>
      <c r="N796" s="16"/>
      <c r="O796" s="17"/>
      <c r="P796" s="17"/>
      <c r="Q796" s="22"/>
      <c r="R796" s="23"/>
    </row>
    <row r="797" spans="1:18" ht="12.75">
      <c r="A797" s="22"/>
      <c r="D797" s="19"/>
      <c r="H797" s="18"/>
      <c r="J797" s="18"/>
      <c r="N797" s="16"/>
      <c r="O797" s="17"/>
      <c r="P797" s="17"/>
      <c r="Q797" s="22"/>
      <c r="R797" s="23"/>
    </row>
    <row r="798" spans="1:18" ht="12.75">
      <c r="A798" s="22"/>
      <c r="D798" s="19"/>
      <c r="H798" s="18"/>
      <c r="J798" s="18"/>
      <c r="N798" s="16"/>
      <c r="O798" s="17"/>
      <c r="P798" s="17"/>
      <c r="Q798" s="22"/>
      <c r="R798" s="23"/>
    </row>
    <row r="799" spans="1:18" ht="12.75">
      <c r="A799" s="22"/>
      <c r="D799" s="19"/>
      <c r="H799" s="18"/>
      <c r="J799" s="18"/>
      <c r="N799" s="16"/>
      <c r="O799" s="17"/>
      <c r="P799" s="17"/>
      <c r="Q799" s="22"/>
      <c r="R799" s="23"/>
    </row>
    <row r="800" spans="1:18" ht="12.75">
      <c r="A800" s="22"/>
      <c r="D800" s="19"/>
      <c r="H800" s="18"/>
      <c r="J800" s="18"/>
      <c r="N800" s="16"/>
      <c r="O800" s="17"/>
      <c r="P800" s="17"/>
      <c r="Q800" s="22"/>
      <c r="R800" s="23"/>
    </row>
    <row r="801" spans="1:18" ht="12.75">
      <c r="A801" s="22"/>
      <c r="D801" s="19"/>
      <c r="H801" s="18"/>
      <c r="J801" s="18"/>
      <c r="N801" s="16"/>
      <c r="O801" s="17"/>
      <c r="P801" s="17"/>
      <c r="Q801" s="22"/>
      <c r="R801" s="23"/>
    </row>
    <row r="802" spans="1:18" ht="12.75">
      <c r="A802" s="22"/>
      <c r="D802" s="19"/>
      <c r="H802" s="18"/>
      <c r="J802" s="18"/>
      <c r="N802" s="16"/>
      <c r="O802" s="17"/>
      <c r="P802" s="17"/>
      <c r="Q802" s="22"/>
      <c r="R802" s="23"/>
    </row>
    <row r="803" spans="1:18" ht="12.75">
      <c r="A803" s="22"/>
      <c r="D803" s="19"/>
      <c r="H803" s="18"/>
      <c r="J803" s="18"/>
      <c r="N803" s="16"/>
      <c r="O803" s="17"/>
      <c r="P803" s="17"/>
      <c r="Q803" s="22"/>
      <c r="R803" s="23"/>
    </row>
    <row r="804" spans="1:18" ht="12.75">
      <c r="A804" s="22"/>
      <c r="D804" s="19"/>
      <c r="H804" s="18"/>
      <c r="J804" s="18"/>
      <c r="N804" s="16"/>
      <c r="O804" s="17"/>
      <c r="P804" s="17"/>
      <c r="Q804" s="22"/>
      <c r="R804" s="23"/>
    </row>
    <row r="805" spans="1:18" ht="12.75">
      <c r="A805" s="22"/>
      <c r="D805" s="19"/>
      <c r="H805" s="18"/>
      <c r="J805" s="18"/>
      <c r="N805" s="16"/>
      <c r="O805" s="17"/>
      <c r="P805" s="17"/>
      <c r="Q805" s="22"/>
      <c r="R805" s="23"/>
    </row>
    <row r="806" spans="1:18" ht="12.75">
      <c r="A806" s="22"/>
      <c r="D806" s="19"/>
      <c r="H806" s="18"/>
      <c r="J806" s="18"/>
      <c r="N806" s="16"/>
      <c r="O806" s="17"/>
      <c r="P806" s="17"/>
      <c r="Q806" s="22"/>
      <c r="R806" s="23"/>
    </row>
    <row r="807" spans="1:18" ht="12.75">
      <c r="A807" s="22"/>
      <c r="D807" s="19"/>
      <c r="H807" s="18"/>
      <c r="J807" s="18"/>
      <c r="N807" s="16"/>
      <c r="O807" s="17"/>
      <c r="P807" s="17"/>
      <c r="Q807" s="22"/>
      <c r="R807" s="23"/>
    </row>
    <row r="808" spans="1:18" ht="12.75">
      <c r="A808" s="22"/>
      <c r="D808" s="19"/>
      <c r="H808" s="18"/>
      <c r="J808" s="18"/>
      <c r="N808" s="16"/>
      <c r="O808" s="17"/>
      <c r="P808" s="17"/>
      <c r="Q808" s="22"/>
      <c r="R808" s="23"/>
    </row>
    <row r="809" spans="1:18" ht="12.75">
      <c r="A809" s="22"/>
      <c r="D809" s="19"/>
      <c r="H809" s="18"/>
      <c r="J809" s="18"/>
      <c r="N809" s="16"/>
      <c r="O809" s="17"/>
      <c r="P809" s="17"/>
      <c r="Q809" s="22"/>
      <c r="R809" s="23"/>
    </row>
    <row r="810" spans="1:18" ht="12.75">
      <c r="A810" s="22"/>
      <c r="D810" s="19"/>
      <c r="H810" s="18"/>
      <c r="J810" s="18"/>
      <c r="N810" s="16"/>
      <c r="O810" s="17"/>
      <c r="P810" s="17"/>
      <c r="Q810" s="22"/>
      <c r="R810" s="23"/>
    </row>
    <row r="811" spans="1:18" ht="12.75">
      <c r="A811" s="22"/>
      <c r="D811" s="19"/>
      <c r="H811" s="18"/>
      <c r="J811" s="18"/>
      <c r="N811" s="16"/>
      <c r="O811" s="17"/>
      <c r="P811" s="17"/>
      <c r="Q811" s="22"/>
      <c r="R811" s="23"/>
    </row>
    <row r="812" spans="1:18" ht="12.75">
      <c r="A812" s="22"/>
      <c r="D812" s="19"/>
      <c r="H812" s="18"/>
      <c r="J812" s="18"/>
      <c r="N812" s="16"/>
      <c r="O812" s="17"/>
      <c r="P812" s="17"/>
      <c r="Q812" s="22"/>
      <c r="R812" s="23"/>
    </row>
    <row r="813" spans="1:18" ht="12.75">
      <c r="A813" s="22"/>
      <c r="D813" s="19"/>
      <c r="H813" s="18"/>
      <c r="J813" s="18"/>
      <c r="N813" s="16"/>
      <c r="O813" s="17"/>
      <c r="P813" s="17"/>
      <c r="Q813" s="22"/>
      <c r="R813" s="23"/>
    </row>
    <row r="814" spans="1:18" ht="12.75">
      <c r="A814" s="22"/>
      <c r="D814" s="19"/>
      <c r="H814" s="18"/>
      <c r="J814" s="18"/>
      <c r="N814" s="16"/>
      <c r="O814" s="17"/>
      <c r="P814" s="17"/>
      <c r="Q814" s="22"/>
      <c r="R814" s="23"/>
    </row>
    <row r="815" spans="1:18" ht="12.75">
      <c r="A815" s="22"/>
      <c r="D815" s="19"/>
      <c r="H815" s="18"/>
      <c r="J815" s="18"/>
      <c r="N815" s="16"/>
      <c r="O815" s="17"/>
      <c r="P815" s="17"/>
      <c r="Q815" s="22"/>
      <c r="R815" s="23"/>
    </row>
    <row r="816" spans="1:18" ht="12.75">
      <c r="A816" s="22"/>
      <c r="D816" s="19"/>
      <c r="H816" s="18"/>
      <c r="J816" s="18"/>
      <c r="N816" s="16"/>
      <c r="O816" s="17"/>
      <c r="P816" s="17"/>
      <c r="Q816" s="22"/>
      <c r="R816" s="23"/>
    </row>
    <row r="817" spans="1:18" ht="12.75">
      <c r="A817" s="22"/>
      <c r="D817" s="19"/>
      <c r="H817" s="18"/>
      <c r="J817" s="18"/>
      <c r="N817" s="16"/>
      <c r="O817" s="17"/>
      <c r="P817" s="17"/>
      <c r="Q817" s="22"/>
      <c r="R817" s="23"/>
    </row>
    <row r="818" spans="1:18" ht="12.75">
      <c r="A818" s="22"/>
      <c r="D818" s="19"/>
      <c r="H818" s="18"/>
      <c r="J818" s="18"/>
      <c r="N818" s="16"/>
      <c r="O818" s="17"/>
      <c r="P818" s="17"/>
      <c r="Q818" s="22"/>
      <c r="R818" s="23"/>
    </row>
    <row r="819" spans="1:18" ht="12.75">
      <c r="A819" s="22"/>
      <c r="D819" s="19"/>
      <c r="H819" s="18"/>
      <c r="J819" s="18"/>
      <c r="N819" s="16"/>
      <c r="O819" s="17"/>
      <c r="P819" s="17"/>
      <c r="Q819" s="22"/>
      <c r="R819" s="23"/>
    </row>
    <row r="820" spans="1:18" ht="12.75">
      <c r="A820" s="22"/>
      <c r="D820" s="19"/>
      <c r="H820" s="18"/>
      <c r="J820" s="18"/>
      <c r="N820" s="16"/>
      <c r="O820" s="17"/>
      <c r="P820" s="17"/>
      <c r="Q820" s="22"/>
      <c r="R820" s="23"/>
    </row>
    <row r="821" spans="1:18" ht="12.75">
      <c r="A821" s="22"/>
      <c r="D821" s="19"/>
      <c r="H821" s="18"/>
      <c r="J821" s="18"/>
      <c r="N821" s="16"/>
      <c r="O821" s="17"/>
      <c r="P821" s="17"/>
      <c r="Q821" s="22"/>
      <c r="R821" s="23"/>
    </row>
    <row r="822" spans="1:18" ht="12.75">
      <c r="A822" s="22"/>
      <c r="D822" s="19"/>
      <c r="H822" s="18"/>
      <c r="J822" s="18"/>
      <c r="N822" s="16"/>
      <c r="O822" s="17"/>
      <c r="P822" s="17"/>
      <c r="Q822" s="22"/>
      <c r="R822" s="23"/>
    </row>
    <row r="823" spans="1:18" ht="12.75">
      <c r="A823" s="22"/>
      <c r="D823" s="19"/>
      <c r="H823" s="18"/>
      <c r="J823" s="18"/>
      <c r="N823" s="16"/>
      <c r="O823" s="17"/>
      <c r="P823" s="17"/>
      <c r="Q823" s="22"/>
      <c r="R823" s="23"/>
    </row>
    <row r="824" spans="1:18" ht="12.75">
      <c r="A824" s="22"/>
      <c r="D824" s="19"/>
      <c r="H824" s="18"/>
      <c r="J824" s="18"/>
      <c r="N824" s="16"/>
      <c r="O824" s="17"/>
      <c r="P824" s="17"/>
      <c r="Q824" s="22"/>
      <c r="R824" s="23"/>
    </row>
    <row r="825" spans="1:18" ht="12.75">
      <c r="A825" s="22"/>
      <c r="D825" s="19"/>
      <c r="H825" s="18"/>
      <c r="J825" s="18"/>
      <c r="N825" s="16"/>
      <c r="O825" s="17"/>
      <c r="P825" s="17"/>
      <c r="Q825" s="22"/>
      <c r="R825" s="23"/>
    </row>
    <row r="826" spans="1:18" ht="12.75">
      <c r="A826" s="22"/>
      <c r="D826" s="19"/>
      <c r="H826" s="18"/>
      <c r="J826" s="18"/>
      <c r="N826" s="16"/>
      <c r="O826" s="17"/>
      <c r="P826" s="17"/>
      <c r="Q826" s="22"/>
      <c r="R826" s="23"/>
    </row>
    <row r="827" spans="1:18" ht="12.75">
      <c r="A827" s="22"/>
      <c r="D827" s="19"/>
      <c r="H827" s="18"/>
      <c r="J827" s="18"/>
      <c r="N827" s="16"/>
      <c r="O827" s="17"/>
      <c r="P827" s="17"/>
      <c r="Q827" s="22"/>
      <c r="R827" s="23"/>
    </row>
    <row r="828" spans="1:18" ht="12.75">
      <c r="A828" s="22"/>
      <c r="D828" s="19"/>
      <c r="H828" s="18"/>
      <c r="J828" s="18"/>
      <c r="N828" s="16"/>
      <c r="O828" s="17"/>
      <c r="P828" s="17"/>
      <c r="Q828" s="22"/>
      <c r="R828" s="23"/>
    </row>
    <row r="829" spans="1:18" ht="12.75">
      <c r="A829" s="22"/>
      <c r="D829" s="19"/>
      <c r="H829" s="18"/>
      <c r="J829" s="18"/>
      <c r="N829" s="16"/>
      <c r="O829" s="17"/>
      <c r="P829" s="17"/>
      <c r="Q829" s="22"/>
      <c r="R829" s="23"/>
    </row>
    <row r="830" spans="1:18" ht="12.75">
      <c r="A830" s="22"/>
      <c r="D830" s="19"/>
      <c r="H830" s="18"/>
      <c r="J830" s="18"/>
      <c r="N830" s="16"/>
      <c r="O830" s="17"/>
      <c r="P830" s="17"/>
      <c r="Q830" s="22"/>
      <c r="R830" s="23"/>
    </row>
    <row r="831" spans="1:18" ht="12.75">
      <c r="A831" s="22"/>
      <c r="D831" s="19"/>
      <c r="H831" s="18"/>
      <c r="J831" s="18"/>
      <c r="N831" s="16"/>
      <c r="O831" s="17"/>
      <c r="P831" s="17"/>
      <c r="Q831" s="22"/>
      <c r="R831" s="23"/>
    </row>
    <row r="832" spans="1:18" ht="12.75">
      <c r="A832" s="22"/>
      <c r="D832" s="19"/>
      <c r="H832" s="18"/>
      <c r="J832" s="18"/>
      <c r="N832" s="16"/>
      <c r="O832" s="17"/>
      <c r="P832" s="17"/>
      <c r="Q832" s="22"/>
      <c r="R832" s="23"/>
    </row>
    <row r="833" spans="1:18" ht="12.75">
      <c r="A833" s="22"/>
      <c r="D833" s="19"/>
      <c r="H833" s="18"/>
      <c r="J833" s="18"/>
      <c r="N833" s="16"/>
      <c r="O833" s="17"/>
      <c r="P833" s="17"/>
      <c r="Q833" s="22"/>
      <c r="R833" s="23"/>
    </row>
    <row r="834" spans="1:18" ht="12.75">
      <c r="A834" s="22"/>
      <c r="D834" s="19"/>
      <c r="H834" s="18"/>
      <c r="J834" s="18"/>
      <c r="N834" s="16"/>
      <c r="O834" s="17"/>
      <c r="P834" s="17"/>
      <c r="Q834" s="22"/>
      <c r="R834" s="23"/>
    </row>
    <row r="835" spans="1:18" ht="12.75">
      <c r="A835" s="22"/>
      <c r="D835" s="19"/>
      <c r="H835" s="18"/>
      <c r="J835" s="18"/>
      <c r="N835" s="16"/>
      <c r="O835" s="17"/>
      <c r="P835" s="17"/>
      <c r="Q835" s="22"/>
      <c r="R835" s="23"/>
    </row>
    <row r="836" spans="1:18" ht="12.75">
      <c r="A836" s="22"/>
      <c r="D836" s="19"/>
      <c r="H836" s="18"/>
      <c r="J836" s="18"/>
      <c r="N836" s="16"/>
      <c r="O836" s="17"/>
      <c r="P836" s="17"/>
      <c r="Q836" s="22"/>
      <c r="R836" s="23"/>
    </row>
    <row r="837" spans="1:18" ht="12.75">
      <c r="A837" s="22"/>
      <c r="D837" s="19"/>
      <c r="H837" s="18"/>
      <c r="J837" s="18"/>
      <c r="N837" s="16"/>
      <c r="O837" s="17"/>
      <c r="P837" s="17"/>
      <c r="Q837" s="22"/>
      <c r="R837" s="23"/>
    </row>
    <row r="838" spans="1:18" ht="12.75">
      <c r="A838" s="22"/>
      <c r="D838" s="19"/>
      <c r="H838" s="18"/>
      <c r="J838" s="18"/>
      <c r="N838" s="16"/>
      <c r="O838" s="17"/>
      <c r="P838" s="17"/>
      <c r="Q838" s="22"/>
      <c r="R838" s="23"/>
    </row>
    <row r="839" spans="1:18" ht="12.75">
      <c r="A839" s="22"/>
      <c r="D839" s="19"/>
      <c r="H839" s="18"/>
      <c r="J839" s="18"/>
      <c r="N839" s="16"/>
      <c r="O839" s="17"/>
      <c r="P839" s="17"/>
      <c r="Q839" s="22"/>
      <c r="R839" s="23"/>
    </row>
    <row r="840" spans="1:18" ht="12.75">
      <c r="A840" s="22"/>
      <c r="D840" s="19"/>
      <c r="H840" s="18"/>
      <c r="J840" s="18"/>
      <c r="N840" s="16"/>
      <c r="O840" s="17"/>
      <c r="P840" s="17"/>
      <c r="Q840" s="22"/>
      <c r="R840" s="23"/>
    </row>
    <row r="841" spans="1:18" ht="12.75">
      <c r="A841" s="22"/>
      <c r="D841" s="19"/>
      <c r="H841" s="18"/>
      <c r="J841" s="18"/>
      <c r="N841" s="16"/>
      <c r="O841" s="17"/>
      <c r="P841" s="17"/>
      <c r="Q841" s="22"/>
      <c r="R841" s="23"/>
    </row>
    <row r="842" spans="1:18" ht="12.75">
      <c r="A842" s="22"/>
      <c r="D842" s="19"/>
      <c r="H842" s="18"/>
      <c r="J842" s="18"/>
      <c r="N842" s="16"/>
      <c r="O842" s="17"/>
      <c r="P842" s="17"/>
      <c r="Q842" s="22"/>
      <c r="R842" s="23"/>
    </row>
    <row r="843" spans="1:18" ht="12.75">
      <c r="A843" s="22"/>
      <c r="D843" s="19"/>
      <c r="H843" s="18"/>
      <c r="J843" s="18"/>
      <c r="N843" s="16"/>
      <c r="O843" s="17"/>
      <c r="P843" s="17"/>
      <c r="Q843" s="22"/>
      <c r="R843" s="23"/>
    </row>
    <row r="844" spans="1:18" ht="12.75">
      <c r="A844" s="22"/>
      <c r="D844" s="19"/>
      <c r="H844" s="18"/>
      <c r="J844" s="18"/>
      <c r="N844" s="16"/>
      <c r="O844" s="17"/>
      <c r="P844" s="17"/>
      <c r="Q844" s="22"/>
      <c r="R844" s="23"/>
    </row>
    <row r="845" spans="1:18" ht="12.75">
      <c r="A845" s="22"/>
      <c r="D845" s="19"/>
      <c r="H845" s="18"/>
      <c r="J845" s="18"/>
      <c r="N845" s="16"/>
      <c r="O845" s="17"/>
      <c r="P845" s="17"/>
      <c r="Q845" s="22"/>
      <c r="R845" s="23"/>
    </row>
    <row r="846" spans="1:18" ht="12.75">
      <c r="A846" s="22"/>
      <c r="D846" s="19"/>
      <c r="H846" s="18"/>
      <c r="J846" s="18"/>
      <c r="N846" s="16"/>
      <c r="O846" s="17"/>
      <c r="P846" s="17"/>
      <c r="Q846" s="22"/>
      <c r="R846" s="23"/>
    </row>
    <row r="847" spans="1:18" ht="12.75">
      <c r="A847" s="22"/>
      <c r="D847" s="19"/>
      <c r="H847" s="18"/>
      <c r="J847" s="18"/>
      <c r="N847" s="16"/>
      <c r="O847" s="17"/>
      <c r="P847" s="17"/>
      <c r="Q847" s="22"/>
      <c r="R847" s="23"/>
    </row>
    <row r="848" spans="1:18" ht="12.75">
      <c r="A848" s="22"/>
      <c r="D848" s="19"/>
      <c r="H848" s="18"/>
      <c r="J848" s="18"/>
      <c r="N848" s="16"/>
      <c r="O848" s="17"/>
      <c r="P848" s="17"/>
      <c r="Q848" s="22"/>
      <c r="R848" s="23"/>
    </row>
    <row r="849" spans="1:18" ht="12.75">
      <c r="A849" s="22"/>
      <c r="D849" s="19"/>
      <c r="H849" s="18"/>
      <c r="J849" s="18"/>
      <c r="N849" s="16"/>
      <c r="O849" s="17"/>
      <c r="P849" s="17"/>
      <c r="Q849" s="22"/>
      <c r="R849" s="23"/>
    </row>
    <row r="850" spans="1:18" ht="12.75">
      <c r="A850" s="22"/>
      <c r="D850" s="19"/>
      <c r="H850" s="18"/>
      <c r="J850" s="18"/>
      <c r="N850" s="16"/>
      <c r="O850" s="17"/>
      <c r="P850" s="17"/>
      <c r="Q850" s="22"/>
      <c r="R850" s="23"/>
    </row>
    <row r="851" spans="1:18" ht="12.75">
      <c r="A851" s="22"/>
      <c r="D851" s="19"/>
      <c r="H851" s="18"/>
      <c r="J851" s="18"/>
      <c r="N851" s="16"/>
      <c r="O851" s="17"/>
      <c r="P851" s="17"/>
      <c r="Q851" s="22"/>
      <c r="R851" s="23"/>
    </row>
    <row r="852" spans="1:18" ht="12.75">
      <c r="A852" s="22"/>
      <c r="D852" s="19"/>
      <c r="H852" s="18"/>
      <c r="J852" s="18"/>
      <c r="N852" s="16"/>
      <c r="O852" s="17"/>
      <c r="P852" s="17"/>
      <c r="Q852" s="22"/>
      <c r="R852" s="23"/>
    </row>
    <row r="853" spans="1:18" ht="12.75">
      <c r="A853" s="22"/>
      <c r="D853" s="19"/>
      <c r="H853" s="18"/>
      <c r="J853" s="18"/>
      <c r="N853" s="16"/>
      <c r="O853" s="17"/>
      <c r="P853" s="17"/>
      <c r="Q853" s="22"/>
      <c r="R853" s="23"/>
    </row>
    <row r="854" spans="1:18" ht="12.75">
      <c r="A854" s="22"/>
      <c r="D854" s="19"/>
      <c r="H854" s="18"/>
      <c r="J854" s="18"/>
      <c r="N854" s="16"/>
      <c r="O854" s="17"/>
      <c r="P854" s="17"/>
      <c r="Q854" s="22"/>
      <c r="R854" s="23"/>
    </row>
    <row r="855" spans="1:18" ht="12.75">
      <c r="A855" s="22"/>
      <c r="D855" s="19"/>
      <c r="H855" s="18"/>
      <c r="J855" s="18"/>
      <c r="N855" s="16"/>
      <c r="O855" s="17"/>
      <c r="P855" s="17"/>
      <c r="Q855" s="22"/>
      <c r="R855" s="23"/>
    </row>
    <row r="856" spans="1:18" ht="12.75">
      <c r="A856" s="22"/>
      <c r="D856" s="19"/>
      <c r="H856" s="18"/>
      <c r="J856" s="18"/>
      <c r="N856" s="16"/>
      <c r="O856" s="17"/>
      <c r="P856" s="17"/>
      <c r="Q856" s="22"/>
      <c r="R856" s="23"/>
    </row>
    <row r="857" spans="1:18" ht="12.75">
      <c r="A857" s="22"/>
      <c r="D857" s="19"/>
      <c r="H857" s="18"/>
      <c r="J857" s="18"/>
      <c r="N857" s="16"/>
      <c r="O857" s="17"/>
      <c r="P857" s="17"/>
      <c r="Q857" s="22"/>
      <c r="R857" s="23"/>
    </row>
    <row r="858" spans="1:18" ht="12.75">
      <c r="A858" s="22"/>
      <c r="D858" s="19"/>
      <c r="H858" s="18"/>
      <c r="J858" s="18"/>
      <c r="N858" s="16"/>
      <c r="O858" s="17"/>
      <c r="P858" s="17"/>
      <c r="Q858" s="22"/>
      <c r="R858" s="23"/>
    </row>
    <row r="859" spans="1:18" ht="12.75">
      <c r="A859" s="22"/>
      <c r="D859" s="19"/>
      <c r="H859" s="18"/>
      <c r="J859" s="18"/>
      <c r="N859" s="16"/>
      <c r="O859" s="17"/>
      <c r="P859" s="17"/>
      <c r="Q859" s="22"/>
      <c r="R859" s="23"/>
    </row>
    <row r="860" spans="1:18" ht="12.75">
      <c r="A860" s="22"/>
      <c r="D860" s="19"/>
      <c r="H860" s="18"/>
      <c r="J860" s="18"/>
      <c r="N860" s="16"/>
      <c r="O860" s="17"/>
      <c r="P860" s="17"/>
      <c r="Q860" s="22"/>
      <c r="R860" s="23"/>
    </row>
    <row r="861" spans="1:18" ht="12.75">
      <c r="A861" s="22"/>
      <c r="D861" s="19"/>
      <c r="H861" s="18"/>
      <c r="J861" s="18"/>
      <c r="N861" s="16"/>
      <c r="O861" s="17"/>
      <c r="P861" s="17"/>
      <c r="Q861" s="22"/>
      <c r="R861" s="23"/>
    </row>
    <row r="862" spans="1:18" ht="12.75">
      <c r="A862" s="22"/>
      <c r="D862" s="19"/>
      <c r="H862" s="18"/>
      <c r="J862" s="18"/>
      <c r="N862" s="16"/>
      <c r="O862" s="17"/>
      <c r="P862" s="17"/>
      <c r="Q862" s="22"/>
      <c r="R862" s="23"/>
    </row>
    <row r="863" spans="1:18" ht="12.75">
      <c r="A863" s="22"/>
      <c r="D863" s="19"/>
      <c r="H863" s="18"/>
      <c r="J863" s="18"/>
      <c r="N863" s="16"/>
      <c r="O863" s="17"/>
      <c r="P863" s="17"/>
      <c r="Q863" s="22"/>
      <c r="R863" s="23"/>
    </row>
    <row r="864" spans="1:18" ht="12.75">
      <c r="A864" s="22"/>
      <c r="D864" s="19"/>
      <c r="H864" s="18"/>
      <c r="J864" s="18"/>
      <c r="N864" s="16"/>
      <c r="O864" s="17"/>
      <c r="P864" s="17"/>
      <c r="Q864" s="22"/>
      <c r="R864" s="23"/>
    </row>
    <row r="865" spans="1:18" ht="12.75">
      <c r="A865" s="22"/>
      <c r="D865" s="19"/>
      <c r="H865" s="18"/>
      <c r="J865" s="18"/>
      <c r="N865" s="16"/>
      <c r="O865" s="17"/>
      <c r="P865" s="17"/>
      <c r="Q865" s="22"/>
      <c r="R865" s="23"/>
    </row>
    <row r="866" spans="1:18" ht="12.75">
      <c r="A866" s="22"/>
      <c r="D866" s="19"/>
      <c r="H866" s="18"/>
      <c r="J866" s="18"/>
      <c r="N866" s="16"/>
      <c r="O866" s="17"/>
      <c r="P866" s="17"/>
      <c r="Q866" s="22"/>
      <c r="R866" s="23"/>
    </row>
    <row r="867" spans="1:18" ht="12.75">
      <c r="A867" s="22"/>
      <c r="D867" s="19"/>
      <c r="H867" s="18"/>
      <c r="J867" s="18"/>
      <c r="N867" s="16"/>
      <c r="O867" s="17"/>
      <c r="P867" s="17"/>
      <c r="Q867" s="22"/>
      <c r="R867" s="23"/>
    </row>
    <row r="868" spans="1:18" ht="12.75">
      <c r="A868" s="22"/>
      <c r="D868" s="19"/>
      <c r="H868" s="18"/>
      <c r="J868" s="18"/>
      <c r="N868" s="16"/>
      <c r="O868" s="17"/>
      <c r="P868" s="17"/>
      <c r="Q868" s="22"/>
      <c r="R868" s="23"/>
    </row>
    <row r="869" spans="1:18" ht="12.75">
      <c r="A869" s="22"/>
      <c r="D869" s="19"/>
      <c r="H869" s="18"/>
      <c r="J869" s="18"/>
      <c r="N869" s="16"/>
      <c r="O869" s="17"/>
      <c r="P869" s="17"/>
      <c r="Q869" s="22"/>
      <c r="R869" s="23"/>
    </row>
    <row r="870" spans="1:18" ht="12.75">
      <c r="A870" s="22"/>
      <c r="D870" s="19"/>
      <c r="H870" s="18"/>
      <c r="J870" s="18"/>
      <c r="N870" s="16"/>
      <c r="O870" s="17"/>
      <c r="P870" s="17"/>
      <c r="Q870" s="22"/>
      <c r="R870" s="23"/>
    </row>
    <row r="871" spans="1:18" ht="12.75">
      <c r="A871" s="22"/>
      <c r="D871" s="19"/>
      <c r="H871" s="18"/>
      <c r="J871" s="18"/>
      <c r="N871" s="16"/>
      <c r="O871" s="17"/>
      <c r="P871" s="17"/>
      <c r="Q871" s="22"/>
      <c r="R871" s="23"/>
    </row>
    <row r="872" spans="1:18" ht="12.75">
      <c r="A872" s="22"/>
      <c r="D872" s="19"/>
      <c r="H872" s="18"/>
      <c r="J872" s="18"/>
      <c r="N872" s="16"/>
      <c r="O872" s="17"/>
      <c r="P872" s="17"/>
      <c r="Q872" s="22"/>
      <c r="R872" s="23"/>
    </row>
    <row r="873" spans="1:18" ht="12.75">
      <c r="A873" s="22"/>
      <c r="D873" s="19"/>
      <c r="H873" s="18"/>
      <c r="J873" s="18"/>
      <c r="N873" s="16"/>
      <c r="O873" s="17"/>
      <c r="P873" s="17"/>
      <c r="Q873" s="22"/>
      <c r="R873" s="23"/>
    </row>
    <row r="874" spans="1:18" ht="12.75">
      <c r="A874" s="22"/>
      <c r="D874" s="19"/>
      <c r="H874" s="18"/>
      <c r="J874" s="18"/>
      <c r="N874" s="16"/>
      <c r="O874" s="17"/>
      <c r="P874" s="17"/>
      <c r="Q874" s="22"/>
      <c r="R874" s="23"/>
    </row>
    <row r="875" spans="1:18" ht="12.75">
      <c r="A875" s="22"/>
      <c r="D875" s="19"/>
      <c r="H875" s="18"/>
      <c r="J875" s="18"/>
      <c r="N875" s="16"/>
      <c r="O875" s="17"/>
      <c r="P875" s="17"/>
      <c r="Q875" s="22"/>
      <c r="R875" s="23"/>
    </row>
    <row r="876" spans="1:18" ht="12.75">
      <c r="A876" s="22"/>
      <c r="D876" s="19"/>
      <c r="H876" s="18"/>
      <c r="J876" s="18"/>
      <c r="N876" s="16"/>
      <c r="O876" s="17"/>
      <c r="P876" s="17"/>
      <c r="Q876" s="22"/>
      <c r="R876" s="23"/>
    </row>
    <row r="877" spans="1:18" ht="12.75">
      <c r="A877" s="22"/>
      <c r="D877" s="19"/>
      <c r="H877" s="18"/>
      <c r="J877" s="18"/>
      <c r="N877" s="16"/>
      <c r="O877" s="17"/>
      <c r="P877" s="17"/>
      <c r="Q877" s="22"/>
      <c r="R877" s="23"/>
    </row>
    <row r="878" spans="1:18" ht="12.75">
      <c r="A878" s="22"/>
      <c r="D878" s="19"/>
      <c r="H878" s="18"/>
      <c r="J878" s="18"/>
      <c r="N878" s="16"/>
      <c r="O878" s="17"/>
      <c r="P878" s="17"/>
      <c r="Q878" s="22"/>
      <c r="R878" s="23"/>
    </row>
    <row r="879" spans="1:18" ht="12.75">
      <c r="A879" s="22"/>
      <c r="D879" s="19"/>
      <c r="H879" s="18"/>
      <c r="J879" s="18"/>
      <c r="N879" s="16"/>
      <c r="O879" s="17"/>
      <c r="P879" s="17"/>
      <c r="Q879" s="22"/>
      <c r="R879" s="23"/>
    </row>
    <row r="880" spans="1:18" ht="12.75">
      <c r="A880" s="22"/>
      <c r="D880" s="19"/>
      <c r="H880" s="18"/>
      <c r="J880" s="18"/>
      <c r="N880" s="16"/>
      <c r="O880" s="17"/>
      <c r="P880" s="17"/>
      <c r="Q880" s="22"/>
      <c r="R880" s="23"/>
    </row>
    <row r="881" spans="1:18" ht="12.75">
      <c r="A881" s="22"/>
      <c r="D881" s="19"/>
      <c r="H881" s="18"/>
      <c r="J881" s="18"/>
      <c r="N881" s="16"/>
      <c r="O881" s="17"/>
      <c r="P881" s="17"/>
      <c r="Q881" s="22"/>
      <c r="R881" s="23"/>
    </row>
    <row r="882" spans="1:18" ht="12.75">
      <c r="A882" s="22"/>
      <c r="D882" s="19"/>
      <c r="H882" s="18"/>
      <c r="J882" s="18"/>
      <c r="N882" s="16"/>
      <c r="O882" s="17"/>
      <c r="P882" s="17"/>
      <c r="Q882" s="22"/>
      <c r="R882" s="23"/>
    </row>
    <row r="883" spans="1:18" ht="12.75">
      <c r="A883" s="22"/>
      <c r="D883" s="19"/>
      <c r="H883" s="18"/>
      <c r="J883" s="18"/>
      <c r="N883" s="16"/>
      <c r="O883" s="17"/>
      <c r="P883" s="17"/>
      <c r="Q883" s="22"/>
      <c r="R883" s="23"/>
    </row>
    <row r="884" spans="1:18" ht="12.75">
      <c r="A884" s="22"/>
      <c r="D884" s="19"/>
      <c r="H884" s="18"/>
      <c r="J884" s="18"/>
      <c r="N884" s="16"/>
      <c r="O884" s="17"/>
      <c r="P884" s="17"/>
      <c r="Q884" s="22"/>
      <c r="R884" s="23"/>
    </row>
    <row r="885" spans="1:18" ht="12.75">
      <c r="A885" s="22"/>
      <c r="D885" s="19"/>
      <c r="H885" s="18"/>
      <c r="J885" s="18"/>
      <c r="N885" s="16"/>
      <c r="O885" s="17"/>
      <c r="P885" s="17"/>
      <c r="Q885" s="22"/>
      <c r="R885" s="23"/>
    </row>
    <row r="886" spans="1:18" ht="12.75">
      <c r="A886" s="22"/>
      <c r="D886" s="19"/>
      <c r="H886" s="18"/>
      <c r="J886" s="18"/>
      <c r="N886" s="16"/>
      <c r="O886" s="17"/>
      <c r="P886" s="17"/>
      <c r="Q886" s="22"/>
      <c r="R886" s="23"/>
    </row>
    <row r="887" spans="1:18" ht="12.75">
      <c r="A887" s="22"/>
      <c r="D887" s="19"/>
      <c r="H887" s="18"/>
      <c r="J887" s="18"/>
      <c r="N887" s="16"/>
      <c r="O887" s="17"/>
      <c r="P887" s="17"/>
      <c r="Q887" s="22"/>
      <c r="R887" s="23"/>
    </row>
    <row r="888" spans="1:18" ht="12.75">
      <c r="A888" s="22"/>
      <c r="D888" s="19"/>
      <c r="H888" s="18"/>
      <c r="J888" s="18"/>
      <c r="N888" s="16"/>
      <c r="O888" s="17"/>
      <c r="P888" s="17"/>
      <c r="Q888" s="22"/>
      <c r="R888" s="23"/>
    </row>
    <row r="889" spans="1:18" ht="12.75">
      <c r="A889" s="22"/>
      <c r="D889" s="19"/>
      <c r="H889" s="18"/>
      <c r="J889" s="18"/>
      <c r="N889" s="16"/>
      <c r="O889" s="17"/>
      <c r="P889" s="17"/>
      <c r="Q889" s="22"/>
      <c r="R889" s="23"/>
    </row>
    <row r="890" spans="1:18" ht="12.75">
      <c r="A890" s="22"/>
      <c r="D890" s="19"/>
      <c r="H890" s="18"/>
      <c r="J890" s="18"/>
      <c r="N890" s="16"/>
      <c r="O890" s="17"/>
      <c r="P890" s="17"/>
      <c r="Q890" s="22"/>
      <c r="R890" s="23"/>
    </row>
    <row r="891" spans="1:18" ht="12.75">
      <c r="A891" s="22"/>
      <c r="D891" s="19"/>
      <c r="H891" s="18"/>
      <c r="J891" s="18"/>
      <c r="N891" s="16"/>
      <c r="O891" s="17"/>
      <c r="P891" s="17"/>
      <c r="Q891" s="22"/>
      <c r="R891" s="23"/>
    </row>
    <row r="892" spans="1:18" ht="12.75">
      <c r="A892" s="22"/>
      <c r="D892" s="19"/>
      <c r="H892" s="18"/>
      <c r="J892" s="18"/>
      <c r="N892" s="16"/>
      <c r="O892" s="17"/>
      <c r="P892" s="17"/>
      <c r="Q892" s="22"/>
      <c r="R892" s="23"/>
    </row>
    <row r="893" spans="1:18" ht="12.75">
      <c r="A893" s="22"/>
      <c r="D893" s="19"/>
      <c r="H893" s="18"/>
      <c r="J893" s="18"/>
      <c r="N893" s="16"/>
      <c r="O893" s="17"/>
      <c r="P893" s="17"/>
      <c r="Q893" s="22"/>
      <c r="R893" s="23"/>
    </row>
    <row r="894" spans="1:18" ht="12.75">
      <c r="A894" s="22"/>
      <c r="D894" s="19"/>
      <c r="H894" s="18"/>
      <c r="J894" s="18"/>
      <c r="N894" s="16"/>
      <c r="O894" s="17"/>
      <c r="P894" s="17"/>
      <c r="Q894" s="22"/>
      <c r="R894" s="23"/>
    </row>
    <row r="895" spans="1:18" ht="12.75">
      <c r="A895" s="22"/>
      <c r="D895" s="19"/>
      <c r="H895" s="18"/>
      <c r="J895" s="18"/>
      <c r="N895" s="16"/>
      <c r="O895" s="17"/>
      <c r="P895" s="17"/>
      <c r="Q895" s="22"/>
      <c r="R895" s="23"/>
    </row>
    <row r="896" spans="1:18" ht="12.75">
      <c r="A896" s="22"/>
      <c r="D896" s="19"/>
      <c r="H896" s="18"/>
      <c r="J896" s="18"/>
      <c r="N896" s="16"/>
      <c r="O896" s="17"/>
      <c r="P896" s="17"/>
      <c r="Q896" s="22"/>
      <c r="R896" s="23"/>
    </row>
    <row r="897" spans="1:18" ht="12.75">
      <c r="A897" s="22"/>
      <c r="D897" s="19"/>
      <c r="H897" s="18"/>
      <c r="J897" s="18"/>
      <c r="N897" s="16"/>
      <c r="O897" s="17"/>
      <c r="P897" s="17"/>
      <c r="Q897" s="22"/>
      <c r="R897" s="23"/>
    </row>
    <row r="898" spans="1:18" ht="12.75">
      <c r="A898" s="22"/>
      <c r="D898" s="19"/>
      <c r="H898" s="18"/>
      <c r="J898" s="18"/>
      <c r="N898" s="16"/>
      <c r="O898" s="17"/>
      <c r="P898" s="17"/>
      <c r="Q898" s="22"/>
      <c r="R898" s="23"/>
    </row>
    <row r="899" spans="1:18" ht="12.75">
      <c r="A899" s="22"/>
      <c r="D899" s="19"/>
      <c r="H899" s="18"/>
      <c r="J899" s="18"/>
      <c r="N899" s="16"/>
      <c r="O899" s="17"/>
      <c r="P899" s="17"/>
      <c r="Q899" s="22"/>
      <c r="R899" s="23"/>
    </row>
    <row r="900" spans="1:18" ht="12.75">
      <c r="A900" s="22"/>
      <c r="D900" s="19"/>
      <c r="H900" s="18"/>
      <c r="J900" s="18"/>
      <c r="N900" s="16"/>
      <c r="O900" s="17"/>
      <c r="P900" s="17"/>
      <c r="Q900" s="22"/>
      <c r="R900" s="23"/>
    </row>
    <row r="901" spans="1:18" ht="12.75">
      <c r="A901" s="22"/>
      <c r="D901" s="19"/>
      <c r="H901" s="18"/>
      <c r="J901" s="18"/>
      <c r="N901" s="16"/>
      <c r="O901" s="17"/>
      <c r="P901" s="17"/>
      <c r="Q901" s="22"/>
      <c r="R901" s="23"/>
    </row>
    <row r="902" spans="1:18" ht="12.75">
      <c r="A902" s="22"/>
      <c r="D902" s="19"/>
      <c r="H902" s="18"/>
      <c r="J902" s="18"/>
      <c r="N902" s="16"/>
      <c r="O902" s="17"/>
      <c r="P902" s="17"/>
      <c r="Q902" s="22"/>
      <c r="R902" s="23"/>
    </row>
    <row r="903" spans="1:18" ht="12.75">
      <c r="A903" s="22"/>
      <c r="D903" s="19"/>
      <c r="H903" s="18"/>
      <c r="J903" s="18"/>
      <c r="N903" s="16"/>
      <c r="O903" s="17"/>
      <c r="P903" s="17"/>
      <c r="Q903" s="22"/>
      <c r="R903" s="23"/>
    </row>
    <row r="904" spans="1:18" ht="12.75">
      <c r="A904" s="22"/>
      <c r="D904" s="19"/>
      <c r="H904" s="18"/>
      <c r="J904" s="18"/>
      <c r="N904" s="16"/>
      <c r="O904" s="17"/>
      <c r="P904" s="17"/>
      <c r="Q904" s="22"/>
      <c r="R904" s="23"/>
    </row>
    <row r="905" spans="1:18" ht="12.75">
      <c r="A905" s="22"/>
      <c r="D905" s="19"/>
      <c r="H905" s="18"/>
      <c r="J905" s="18"/>
      <c r="N905" s="16"/>
      <c r="O905" s="17"/>
      <c r="P905" s="17"/>
      <c r="Q905" s="22"/>
      <c r="R905" s="23"/>
    </row>
    <row r="906" spans="1:18" ht="12.75">
      <c r="A906" s="22"/>
      <c r="D906" s="19"/>
      <c r="H906" s="18"/>
      <c r="J906" s="18"/>
      <c r="N906" s="16"/>
      <c r="O906" s="17"/>
      <c r="P906" s="17"/>
      <c r="Q906" s="22"/>
      <c r="R906" s="23"/>
    </row>
    <row r="907" spans="1:18" ht="12.75">
      <c r="A907" s="22"/>
      <c r="D907" s="19"/>
      <c r="H907" s="18"/>
      <c r="J907" s="18"/>
      <c r="N907" s="16"/>
      <c r="O907" s="17"/>
      <c r="P907" s="17"/>
      <c r="Q907" s="22"/>
      <c r="R907" s="23"/>
    </row>
    <row r="908" spans="1:18" ht="12.75">
      <c r="A908" s="22"/>
      <c r="D908" s="19"/>
      <c r="H908" s="18"/>
      <c r="J908" s="18"/>
      <c r="N908" s="16"/>
      <c r="O908" s="17"/>
      <c r="P908" s="17"/>
      <c r="Q908" s="22"/>
      <c r="R908" s="23"/>
    </row>
    <row r="909" spans="1:18" ht="12.75">
      <c r="A909" s="22"/>
      <c r="D909" s="19"/>
      <c r="H909" s="18"/>
      <c r="J909" s="18"/>
      <c r="N909" s="16"/>
      <c r="O909" s="17"/>
      <c r="P909" s="17"/>
      <c r="Q909" s="22"/>
      <c r="R909" s="23"/>
    </row>
    <row r="910" spans="1:18" ht="12.75">
      <c r="A910" s="22"/>
      <c r="D910" s="19"/>
      <c r="H910" s="18"/>
      <c r="J910" s="18"/>
      <c r="N910" s="16"/>
      <c r="O910" s="17"/>
      <c r="P910" s="17"/>
      <c r="Q910" s="22"/>
      <c r="R910" s="23"/>
    </row>
    <row r="911" spans="1:18" ht="12.75">
      <c r="A911" s="22"/>
      <c r="D911" s="19"/>
      <c r="H911" s="18"/>
      <c r="J911" s="18"/>
      <c r="N911" s="16"/>
      <c r="O911" s="17"/>
      <c r="P911" s="17"/>
      <c r="Q911" s="22"/>
      <c r="R911" s="23"/>
    </row>
    <row r="912" spans="1:18" ht="12.75">
      <c r="A912" s="22"/>
      <c r="D912" s="19"/>
      <c r="H912" s="18"/>
      <c r="J912" s="18"/>
      <c r="N912" s="16"/>
      <c r="O912" s="17"/>
      <c r="P912" s="17"/>
      <c r="Q912" s="22"/>
      <c r="R912" s="23"/>
    </row>
    <row r="913" spans="1:18" ht="12.75">
      <c r="A913" s="22"/>
      <c r="D913" s="19"/>
      <c r="H913" s="18"/>
      <c r="J913" s="18"/>
      <c r="N913" s="16"/>
      <c r="O913" s="17"/>
      <c r="P913" s="17"/>
      <c r="Q913" s="22"/>
      <c r="R913" s="23"/>
    </row>
    <row r="914" spans="1:18" ht="12.75">
      <c r="A914" s="22"/>
      <c r="D914" s="19"/>
      <c r="H914" s="18"/>
      <c r="J914" s="18"/>
      <c r="N914" s="16"/>
      <c r="O914" s="17"/>
      <c r="P914" s="17"/>
      <c r="Q914" s="22"/>
      <c r="R914" s="23"/>
    </row>
    <row r="915" spans="1:18" ht="12.75">
      <c r="A915" s="22"/>
      <c r="D915" s="19"/>
      <c r="H915" s="18"/>
      <c r="J915" s="18"/>
      <c r="N915" s="16"/>
      <c r="O915" s="17"/>
      <c r="P915" s="17"/>
      <c r="Q915" s="22"/>
      <c r="R915" s="23"/>
    </row>
    <row r="916" spans="1:18" ht="12.75">
      <c r="A916" s="22"/>
      <c r="D916" s="19"/>
      <c r="H916" s="18"/>
      <c r="J916" s="18"/>
      <c r="N916" s="16"/>
      <c r="O916" s="17"/>
      <c r="P916" s="17"/>
      <c r="Q916" s="22"/>
      <c r="R916" s="23"/>
    </row>
    <row r="917" spans="1:18" ht="12.75">
      <c r="A917" s="22"/>
      <c r="D917" s="19"/>
      <c r="H917" s="18"/>
      <c r="J917" s="18"/>
      <c r="N917" s="16"/>
      <c r="O917" s="17"/>
      <c r="P917" s="17"/>
      <c r="Q917" s="22"/>
      <c r="R917" s="23"/>
    </row>
    <row r="918" spans="1:18" ht="12.75">
      <c r="A918" s="22"/>
      <c r="D918" s="19"/>
      <c r="H918" s="18"/>
      <c r="J918" s="18"/>
      <c r="N918" s="16"/>
      <c r="O918" s="17"/>
      <c r="P918" s="17"/>
      <c r="Q918" s="22"/>
      <c r="R918" s="23"/>
    </row>
    <row r="919" spans="1:18" ht="12.75">
      <c r="A919" s="22"/>
      <c r="D919" s="19"/>
      <c r="H919" s="18"/>
      <c r="J919" s="18"/>
      <c r="N919" s="16"/>
      <c r="O919" s="17"/>
      <c r="P919" s="17"/>
      <c r="Q919" s="22"/>
      <c r="R919" s="23"/>
    </row>
    <row r="920" spans="1:18" ht="12.75">
      <c r="A920" s="22"/>
      <c r="D920" s="19"/>
      <c r="H920" s="18"/>
      <c r="J920" s="18"/>
      <c r="N920" s="16"/>
      <c r="O920" s="17"/>
      <c r="P920" s="17"/>
      <c r="Q920" s="22"/>
      <c r="R920" s="23"/>
    </row>
    <row r="921" spans="1:18" ht="12.75">
      <c r="A921" s="22"/>
      <c r="D921" s="19"/>
      <c r="H921" s="18"/>
      <c r="J921" s="18"/>
      <c r="N921" s="16"/>
      <c r="O921" s="17"/>
      <c r="P921" s="17"/>
      <c r="Q921" s="22"/>
      <c r="R921" s="23"/>
    </row>
    <row r="922" spans="1:18" ht="12.75">
      <c r="A922" s="22"/>
      <c r="D922" s="19"/>
      <c r="H922" s="18"/>
      <c r="J922" s="18"/>
      <c r="N922" s="16"/>
      <c r="O922" s="17"/>
      <c r="P922" s="17"/>
      <c r="Q922" s="22"/>
      <c r="R922" s="23"/>
    </row>
    <row r="923" spans="1:18" ht="12.75">
      <c r="A923" s="22"/>
      <c r="D923" s="19"/>
      <c r="H923" s="18"/>
      <c r="J923" s="18"/>
      <c r="N923" s="16"/>
      <c r="O923" s="17"/>
      <c r="P923" s="17"/>
      <c r="Q923" s="22"/>
      <c r="R923" s="23"/>
    </row>
    <row r="924" spans="1:18" ht="12.75">
      <c r="A924" s="22"/>
      <c r="D924" s="19"/>
      <c r="H924" s="18"/>
      <c r="J924" s="18"/>
      <c r="N924" s="16"/>
      <c r="O924" s="17"/>
      <c r="P924" s="17"/>
      <c r="Q924" s="22"/>
      <c r="R924" s="23"/>
    </row>
    <row r="925" spans="1:18" ht="12.75">
      <c r="A925" s="22"/>
      <c r="D925" s="19"/>
      <c r="H925" s="18"/>
      <c r="J925" s="18"/>
      <c r="N925" s="16"/>
      <c r="O925" s="17"/>
      <c r="P925" s="17"/>
      <c r="Q925" s="22"/>
      <c r="R925" s="23"/>
    </row>
    <row r="926" spans="1:18" ht="12.75">
      <c r="A926" s="22"/>
      <c r="D926" s="19"/>
      <c r="H926" s="18"/>
      <c r="J926" s="18"/>
      <c r="N926" s="16"/>
      <c r="O926" s="17"/>
      <c r="P926" s="17"/>
      <c r="Q926" s="22"/>
      <c r="R926" s="23"/>
    </row>
    <row r="927" spans="1:18" ht="12.75">
      <c r="A927" s="22"/>
      <c r="D927" s="19"/>
      <c r="H927" s="18"/>
      <c r="J927" s="18"/>
      <c r="N927" s="16"/>
      <c r="O927" s="17"/>
      <c r="P927" s="17"/>
      <c r="Q927" s="22"/>
      <c r="R927" s="23"/>
    </row>
    <row r="928" spans="1:18" ht="12.75">
      <c r="A928" s="22"/>
      <c r="D928" s="19"/>
      <c r="H928" s="18"/>
      <c r="J928" s="18"/>
      <c r="N928" s="16"/>
      <c r="O928" s="17"/>
      <c r="P928" s="17"/>
      <c r="Q928" s="22"/>
      <c r="R928" s="23"/>
    </row>
    <row r="929" spans="1:18" ht="12.75">
      <c r="A929" s="22"/>
      <c r="D929" s="19"/>
      <c r="H929" s="18"/>
      <c r="J929" s="18"/>
      <c r="N929" s="16"/>
      <c r="O929" s="17"/>
      <c r="P929" s="17"/>
      <c r="Q929" s="22"/>
      <c r="R929" s="23"/>
    </row>
    <row r="930" spans="1:18" ht="12.75">
      <c r="A930" s="22"/>
      <c r="D930" s="19"/>
      <c r="H930" s="18"/>
      <c r="J930" s="18"/>
      <c r="N930" s="16"/>
      <c r="O930" s="17"/>
      <c r="P930" s="17"/>
      <c r="Q930" s="22"/>
      <c r="R930" s="23"/>
    </row>
    <row r="931" spans="1:18" ht="12.75">
      <c r="A931" s="22"/>
      <c r="D931" s="19"/>
      <c r="H931" s="18"/>
      <c r="J931" s="18"/>
      <c r="N931" s="16"/>
      <c r="O931" s="17"/>
      <c r="P931" s="17"/>
      <c r="Q931" s="22"/>
      <c r="R931" s="23"/>
    </row>
    <row r="932" spans="1:18" ht="12.75">
      <c r="A932" s="22"/>
      <c r="D932" s="19"/>
      <c r="H932" s="18"/>
      <c r="J932" s="18"/>
      <c r="N932" s="16"/>
      <c r="O932" s="17"/>
      <c r="P932" s="17"/>
      <c r="Q932" s="22"/>
      <c r="R932" s="23"/>
    </row>
    <row r="933" spans="1:18" ht="12.75">
      <c r="A933" s="22"/>
      <c r="D933" s="19"/>
      <c r="H933" s="18"/>
      <c r="J933" s="18"/>
      <c r="N933" s="16"/>
      <c r="O933" s="17"/>
      <c r="P933" s="17"/>
      <c r="Q933" s="22"/>
      <c r="R933" s="23"/>
    </row>
    <row r="934" spans="1:18" ht="12.75">
      <c r="A934" s="22"/>
      <c r="D934" s="19"/>
      <c r="H934" s="18"/>
      <c r="J934" s="18"/>
      <c r="N934" s="16"/>
      <c r="O934" s="17"/>
      <c r="P934" s="17"/>
      <c r="Q934" s="22"/>
      <c r="R934" s="23"/>
    </row>
    <row r="935" spans="1:18" ht="12.75">
      <c r="A935" s="22"/>
      <c r="D935" s="19"/>
      <c r="H935" s="18"/>
      <c r="J935" s="18"/>
      <c r="N935" s="16"/>
      <c r="O935" s="17"/>
      <c r="P935" s="17"/>
      <c r="Q935" s="22"/>
      <c r="R935" s="23"/>
    </row>
    <row r="936" spans="1:18" ht="12.75">
      <c r="A936" s="22"/>
      <c r="D936" s="19"/>
      <c r="H936" s="18"/>
      <c r="J936" s="18"/>
      <c r="N936" s="16"/>
      <c r="O936" s="17"/>
      <c r="P936" s="17"/>
      <c r="Q936" s="22"/>
      <c r="R936" s="23"/>
    </row>
    <row r="937" spans="1:18" ht="12.75">
      <c r="A937" s="22"/>
      <c r="D937" s="19"/>
      <c r="H937" s="18"/>
      <c r="J937" s="18"/>
      <c r="N937" s="16"/>
      <c r="O937" s="17"/>
      <c r="P937" s="17"/>
      <c r="Q937" s="22"/>
      <c r="R937" s="23"/>
    </row>
    <row r="938" spans="1:18" ht="12.75">
      <c r="A938" s="22"/>
      <c r="D938" s="19"/>
      <c r="H938" s="18"/>
      <c r="J938" s="18"/>
      <c r="N938" s="16"/>
      <c r="O938" s="17"/>
      <c r="P938" s="17"/>
      <c r="Q938" s="22"/>
      <c r="R938" s="23"/>
    </row>
    <row r="939" spans="1:18" ht="12.75">
      <c r="A939" s="22"/>
      <c r="D939" s="19"/>
      <c r="H939" s="18"/>
      <c r="J939" s="18"/>
      <c r="N939" s="16"/>
      <c r="O939" s="17"/>
      <c r="P939" s="17"/>
      <c r="Q939" s="22"/>
      <c r="R939" s="23"/>
    </row>
    <row r="940" spans="1:18" ht="12.75">
      <c r="A940" s="22"/>
      <c r="D940" s="19"/>
      <c r="H940" s="18"/>
      <c r="J940" s="18"/>
      <c r="N940" s="16"/>
      <c r="O940" s="17"/>
      <c r="P940" s="17"/>
      <c r="Q940" s="22"/>
      <c r="R940" s="23"/>
    </row>
    <row r="941" spans="1:18" ht="12.75">
      <c r="A941" s="22"/>
      <c r="D941" s="19"/>
      <c r="H941" s="18"/>
      <c r="J941" s="18"/>
      <c r="N941" s="16"/>
      <c r="O941" s="17"/>
      <c r="P941" s="17"/>
      <c r="Q941" s="22"/>
      <c r="R941" s="23"/>
    </row>
    <row r="942" spans="1:18" ht="12.75">
      <c r="A942" s="22"/>
      <c r="D942" s="19"/>
      <c r="H942" s="18"/>
      <c r="J942" s="18"/>
      <c r="N942" s="16"/>
      <c r="O942" s="17"/>
      <c r="P942" s="17"/>
      <c r="Q942" s="22"/>
      <c r="R942" s="23"/>
    </row>
    <row r="943" spans="1:18" ht="12.75">
      <c r="A943" s="22"/>
      <c r="D943" s="19"/>
      <c r="H943" s="18"/>
      <c r="J943" s="18"/>
      <c r="N943" s="16"/>
      <c r="O943" s="17"/>
      <c r="P943" s="17"/>
      <c r="Q943" s="22"/>
      <c r="R943" s="23"/>
    </row>
    <row r="944" spans="1:18" ht="12.75">
      <c r="A944" s="22"/>
      <c r="D944" s="19"/>
      <c r="H944" s="18"/>
      <c r="J944" s="18"/>
      <c r="N944" s="16"/>
      <c r="O944" s="17"/>
      <c r="P944" s="17"/>
      <c r="Q944" s="22"/>
      <c r="R944" s="23"/>
    </row>
    <row r="945" spans="1:18" ht="12.75">
      <c r="A945" s="22"/>
      <c r="D945" s="19"/>
      <c r="H945" s="18"/>
      <c r="J945" s="18"/>
      <c r="N945" s="16"/>
      <c r="O945" s="17"/>
      <c r="P945" s="17"/>
      <c r="Q945" s="22"/>
      <c r="R945" s="23"/>
    </row>
    <row r="946" spans="1:18" ht="12.75">
      <c r="A946" s="22"/>
      <c r="D946" s="19"/>
      <c r="H946" s="18"/>
      <c r="J946" s="18"/>
      <c r="N946" s="16"/>
      <c r="O946" s="17"/>
      <c r="P946" s="17"/>
      <c r="Q946" s="22"/>
      <c r="R946" s="23"/>
    </row>
    <row r="947" spans="1:18" ht="12.75">
      <c r="A947" s="22"/>
      <c r="D947" s="19"/>
      <c r="H947" s="18"/>
      <c r="J947" s="18"/>
      <c r="N947" s="16"/>
      <c r="O947" s="17"/>
      <c r="P947" s="17"/>
      <c r="Q947" s="22"/>
      <c r="R947" s="23"/>
    </row>
    <row r="948" spans="1:18" ht="12.75">
      <c r="A948" s="22"/>
      <c r="D948" s="19"/>
      <c r="H948" s="18"/>
      <c r="J948" s="18"/>
      <c r="N948" s="16"/>
      <c r="O948" s="17"/>
      <c r="P948" s="17"/>
      <c r="Q948" s="22"/>
      <c r="R948" s="23"/>
    </row>
    <row r="949" spans="1:18" ht="12.75">
      <c r="A949" s="22"/>
      <c r="D949" s="19"/>
      <c r="H949" s="18"/>
      <c r="J949" s="18"/>
      <c r="N949" s="16"/>
      <c r="O949" s="17"/>
      <c r="P949" s="17"/>
      <c r="Q949" s="22"/>
      <c r="R949" s="23"/>
    </row>
    <row r="950" spans="1:18" ht="12.75">
      <c r="A950" s="22"/>
      <c r="D950" s="19"/>
      <c r="H950" s="18"/>
      <c r="J950" s="18"/>
      <c r="N950" s="16"/>
      <c r="O950" s="17"/>
      <c r="P950" s="17"/>
      <c r="Q950" s="22"/>
      <c r="R950" s="23"/>
    </row>
    <row r="951" spans="1:18" ht="12.75">
      <c r="A951" s="22"/>
      <c r="D951" s="19"/>
      <c r="H951" s="18"/>
      <c r="J951" s="18"/>
      <c r="N951" s="16"/>
      <c r="O951" s="17"/>
      <c r="P951" s="17"/>
      <c r="Q951" s="22"/>
      <c r="R951" s="23"/>
    </row>
    <row r="952" spans="1:18" ht="12.75">
      <c r="A952" s="22"/>
      <c r="D952" s="19"/>
      <c r="H952" s="18"/>
      <c r="J952" s="18"/>
      <c r="N952" s="16"/>
      <c r="O952" s="17"/>
      <c r="P952" s="17"/>
      <c r="Q952" s="22"/>
      <c r="R952" s="23"/>
    </row>
    <row r="953" spans="1:18" ht="12.75">
      <c r="A953" s="22"/>
      <c r="D953" s="19"/>
      <c r="H953" s="18"/>
      <c r="J953" s="18"/>
      <c r="N953" s="16"/>
      <c r="O953" s="17"/>
      <c r="P953" s="17"/>
      <c r="Q953" s="22"/>
      <c r="R953" s="23"/>
    </row>
    <row r="954" spans="1:18" ht="12.75">
      <c r="A954" s="22"/>
      <c r="D954" s="19"/>
      <c r="H954" s="18"/>
      <c r="J954" s="18"/>
      <c r="N954" s="16"/>
      <c r="O954" s="17"/>
      <c r="P954" s="17"/>
      <c r="Q954" s="22"/>
      <c r="R954" s="23"/>
    </row>
    <row r="955" spans="1:18" ht="12.75">
      <c r="A955" s="22"/>
      <c r="D955" s="19"/>
      <c r="H955" s="18"/>
      <c r="J955" s="18"/>
      <c r="N955" s="16"/>
      <c r="O955" s="17"/>
      <c r="P955" s="17"/>
      <c r="Q955" s="22"/>
      <c r="R955" s="23"/>
    </row>
    <row r="956" spans="1:18" ht="12.75">
      <c r="A956" s="22"/>
      <c r="D956" s="19"/>
      <c r="H956" s="18"/>
      <c r="J956" s="18"/>
      <c r="N956" s="16"/>
      <c r="O956" s="17"/>
      <c r="P956" s="17"/>
      <c r="Q956" s="22"/>
      <c r="R956" s="23"/>
    </row>
    <row r="957" spans="1:18" ht="12.75">
      <c r="A957" s="22"/>
      <c r="D957" s="19"/>
      <c r="H957" s="18"/>
      <c r="J957" s="18"/>
      <c r="N957" s="16"/>
      <c r="O957" s="17"/>
      <c r="P957" s="17"/>
      <c r="Q957" s="22"/>
      <c r="R957" s="23"/>
    </row>
    <row r="958" spans="1:18" ht="12.75">
      <c r="A958" s="22"/>
      <c r="D958" s="19"/>
      <c r="H958" s="18"/>
      <c r="J958" s="18"/>
      <c r="N958" s="16"/>
      <c r="O958" s="17"/>
      <c r="P958" s="17"/>
      <c r="Q958" s="22"/>
      <c r="R958" s="23"/>
    </row>
    <row r="959" spans="1:18" ht="12.75">
      <c r="A959" s="22"/>
      <c r="D959" s="19"/>
      <c r="H959" s="18"/>
      <c r="J959" s="18"/>
      <c r="N959" s="16"/>
      <c r="O959" s="17"/>
      <c r="P959" s="17"/>
      <c r="Q959" s="22"/>
      <c r="R959" s="23"/>
    </row>
    <row r="960" spans="1:18" ht="12.75">
      <c r="A960" s="22"/>
      <c r="D960" s="19"/>
      <c r="H960" s="18"/>
      <c r="J960" s="18"/>
      <c r="N960" s="16"/>
      <c r="O960" s="17"/>
      <c r="P960" s="17"/>
      <c r="Q960" s="22"/>
      <c r="R960" s="23"/>
    </row>
    <row r="961" spans="1:18" ht="12.75">
      <c r="A961" s="22"/>
      <c r="D961" s="19"/>
      <c r="H961" s="18"/>
      <c r="J961" s="18"/>
      <c r="N961" s="16"/>
      <c r="O961" s="17"/>
      <c r="P961" s="17"/>
      <c r="Q961" s="22"/>
      <c r="R961" s="23"/>
    </row>
    <row r="962" spans="1:18" ht="12.75">
      <c r="A962" s="22"/>
      <c r="D962" s="19"/>
      <c r="H962" s="18"/>
      <c r="J962" s="18"/>
      <c r="N962" s="16"/>
      <c r="O962" s="17"/>
      <c r="P962" s="17"/>
      <c r="Q962" s="22"/>
      <c r="R962" s="23"/>
    </row>
    <row r="963" spans="1:18" ht="12.75">
      <c r="A963" s="22"/>
      <c r="D963" s="19"/>
      <c r="H963" s="18"/>
      <c r="J963" s="18"/>
      <c r="N963" s="16"/>
      <c r="O963" s="17"/>
      <c r="P963" s="17"/>
      <c r="Q963" s="22"/>
      <c r="R963" s="23"/>
    </row>
    <row r="964" spans="1:18" ht="12.75">
      <c r="A964" s="22"/>
      <c r="D964" s="19"/>
      <c r="H964" s="18"/>
      <c r="J964" s="18"/>
      <c r="N964" s="16"/>
      <c r="O964" s="17"/>
      <c r="P964" s="17"/>
      <c r="Q964" s="22"/>
      <c r="R964" s="23"/>
    </row>
    <row r="965" spans="1:18" ht="12.75">
      <c r="A965" s="22"/>
      <c r="D965" s="19"/>
      <c r="H965" s="18"/>
      <c r="J965" s="18"/>
      <c r="N965" s="16"/>
      <c r="O965" s="17"/>
      <c r="P965" s="17"/>
      <c r="Q965" s="22"/>
      <c r="R965" s="23"/>
    </row>
    <row r="966" spans="1:18" ht="12.75">
      <c r="A966" s="22"/>
      <c r="D966" s="19"/>
      <c r="H966" s="18"/>
      <c r="J966" s="18"/>
      <c r="N966" s="16"/>
      <c r="O966" s="17"/>
      <c r="P966" s="17"/>
      <c r="Q966" s="22"/>
      <c r="R966" s="23"/>
    </row>
    <row r="967" spans="1:18" ht="12.75">
      <c r="A967" s="22"/>
      <c r="D967" s="19"/>
      <c r="H967" s="18"/>
      <c r="J967" s="18"/>
      <c r="N967" s="16"/>
      <c r="O967" s="17"/>
      <c r="P967" s="17"/>
      <c r="Q967" s="22"/>
      <c r="R967" s="23"/>
    </row>
    <row r="968" spans="1:18" ht="12.75">
      <c r="A968" s="22"/>
      <c r="D968" s="19"/>
      <c r="H968" s="18"/>
      <c r="J968" s="18"/>
      <c r="N968" s="16"/>
      <c r="O968" s="17"/>
      <c r="P968" s="17"/>
      <c r="Q968" s="22"/>
      <c r="R968" s="23"/>
    </row>
    <row r="969" spans="1:18" ht="12.75">
      <c r="A969" s="22"/>
      <c r="D969" s="19"/>
      <c r="H969" s="18"/>
      <c r="J969" s="18"/>
      <c r="N969" s="16"/>
      <c r="O969" s="17"/>
      <c r="P969" s="17"/>
      <c r="Q969" s="22"/>
      <c r="R969" s="23"/>
    </row>
    <row r="970" spans="1:18" ht="12.75">
      <c r="A970" s="22"/>
      <c r="D970" s="19"/>
      <c r="H970" s="18"/>
      <c r="J970" s="18"/>
      <c r="N970" s="16"/>
      <c r="O970" s="17"/>
      <c r="P970" s="17"/>
      <c r="Q970" s="22"/>
      <c r="R970" s="23"/>
    </row>
    <row r="971" spans="1:18" ht="12.75">
      <c r="A971" s="22"/>
      <c r="D971" s="19"/>
      <c r="H971" s="18"/>
      <c r="J971" s="18"/>
      <c r="N971" s="16"/>
      <c r="O971" s="17"/>
      <c r="P971" s="17"/>
      <c r="Q971" s="22"/>
      <c r="R971" s="23"/>
    </row>
    <row r="972" spans="1:18" ht="12.75">
      <c r="A972" s="22"/>
      <c r="D972" s="19"/>
      <c r="H972" s="18"/>
      <c r="J972" s="18"/>
      <c r="N972" s="16"/>
      <c r="O972" s="17"/>
      <c r="P972" s="17"/>
      <c r="Q972" s="22"/>
      <c r="R972" s="23"/>
    </row>
    <row r="973" spans="1:18" ht="12.75">
      <c r="A973" s="22"/>
      <c r="D973" s="19"/>
      <c r="H973" s="18"/>
      <c r="J973" s="18"/>
      <c r="N973" s="16"/>
      <c r="O973" s="17"/>
      <c r="P973" s="17"/>
      <c r="Q973" s="22"/>
      <c r="R973" s="23"/>
    </row>
    <row r="974" spans="1:18" ht="12.75">
      <c r="A974" s="22"/>
      <c r="D974" s="19"/>
      <c r="H974" s="18"/>
      <c r="J974" s="18"/>
      <c r="N974" s="16"/>
      <c r="O974" s="17"/>
      <c r="P974" s="17"/>
      <c r="Q974" s="22"/>
      <c r="R974" s="23"/>
    </row>
    <row r="975" spans="1:18" ht="12.75">
      <c r="A975" s="22"/>
      <c r="D975" s="19"/>
      <c r="H975" s="18"/>
      <c r="J975" s="18"/>
      <c r="N975" s="16"/>
      <c r="O975" s="17"/>
      <c r="P975" s="17"/>
      <c r="Q975" s="22"/>
      <c r="R975" s="23"/>
    </row>
    <row r="976" spans="1:18" ht="12.75">
      <c r="A976" s="22"/>
      <c r="D976" s="19"/>
      <c r="H976" s="18"/>
      <c r="J976" s="18"/>
      <c r="N976" s="16"/>
      <c r="O976" s="17"/>
      <c r="P976" s="17"/>
      <c r="Q976" s="22"/>
      <c r="R976" s="23"/>
    </row>
    <row r="977" spans="1:18" ht="12.75">
      <c r="A977" s="22"/>
      <c r="D977" s="19"/>
      <c r="H977" s="18"/>
      <c r="J977" s="18"/>
      <c r="N977" s="16"/>
      <c r="O977" s="17"/>
      <c r="P977" s="17"/>
      <c r="Q977" s="22"/>
      <c r="R977" s="23"/>
    </row>
    <row r="978" spans="1:18" ht="12.75">
      <c r="A978" s="22"/>
      <c r="D978" s="19"/>
      <c r="H978" s="18"/>
      <c r="J978" s="18"/>
      <c r="N978" s="16"/>
      <c r="O978" s="17"/>
      <c r="P978" s="17"/>
      <c r="Q978" s="22"/>
      <c r="R978" s="23"/>
    </row>
    <row r="979" spans="1:18" ht="12.75">
      <c r="A979" s="22"/>
      <c r="D979" s="19"/>
      <c r="H979" s="18"/>
      <c r="J979" s="18"/>
      <c r="N979" s="16"/>
      <c r="O979" s="17"/>
      <c r="P979" s="17"/>
      <c r="Q979" s="22"/>
      <c r="R979" s="23"/>
    </row>
    <row r="980" spans="1:18" ht="12.75">
      <c r="A980" s="22"/>
      <c r="D980" s="19"/>
      <c r="H980" s="18"/>
      <c r="J980" s="18"/>
      <c r="N980" s="16"/>
      <c r="O980" s="17"/>
      <c r="P980" s="17"/>
      <c r="Q980" s="22"/>
      <c r="R980" s="23"/>
    </row>
    <row r="981" spans="1:18" ht="12.75">
      <c r="A981" s="22"/>
      <c r="D981" s="19"/>
      <c r="H981" s="18"/>
      <c r="J981" s="18"/>
      <c r="N981" s="16"/>
      <c r="O981" s="17"/>
      <c r="P981" s="17"/>
      <c r="Q981" s="22"/>
      <c r="R981" s="23"/>
    </row>
    <row r="982" spans="1:18" ht="12.75">
      <c r="A982" s="22"/>
      <c r="D982" s="19"/>
      <c r="H982" s="18"/>
      <c r="J982" s="18"/>
      <c r="N982" s="16"/>
      <c r="O982" s="17"/>
      <c r="P982" s="17"/>
      <c r="Q982" s="22"/>
      <c r="R982" s="23"/>
    </row>
    <row r="983" spans="1:18" ht="12.75">
      <c r="A983" s="22"/>
      <c r="D983" s="19"/>
      <c r="H983" s="18"/>
      <c r="J983" s="18"/>
      <c r="N983" s="16"/>
      <c r="O983" s="17"/>
      <c r="P983" s="17"/>
      <c r="Q983" s="22"/>
      <c r="R983" s="23"/>
    </row>
    <row r="984" spans="1:18" ht="12.75">
      <c r="A984" s="22"/>
      <c r="D984" s="19"/>
      <c r="H984" s="18"/>
      <c r="J984" s="18"/>
      <c r="N984" s="16"/>
      <c r="O984" s="17"/>
      <c r="P984" s="17"/>
      <c r="Q984" s="22"/>
      <c r="R984" s="23"/>
    </row>
    <row r="985" spans="1:18" ht="12.75">
      <c r="A985" s="22"/>
      <c r="D985" s="19"/>
      <c r="H985" s="18"/>
      <c r="J985" s="18"/>
      <c r="N985" s="16"/>
      <c r="O985" s="17"/>
      <c r="P985" s="17"/>
      <c r="Q985" s="22"/>
      <c r="R985" s="23"/>
    </row>
    <row r="986" spans="1:18" ht="12.75">
      <c r="A986" s="22"/>
      <c r="D986" s="19"/>
      <c r="H986" s="18"/>
      <c r="J986" s="18"/>
      <c r="N986" s="16"/>
      <c r="O986" s="17"/>
      <c r="P986" s="17"/>
      <c r="Q986" s="22"/>
      <c r="R986" s="23"/>
    </row>
    <row r="987" spans="1:18" ht="12.75">
      <c r="A987" s="22"/>
      <c r="D987" s="19"/>
      <c r="H987" s="18"/>
      <c r="J987" s="18"/>
      <c r="N987" s="16"/>
      <c r="O987" s="17"/>
      <c r="P987" s="17"/>
      <c r="Q987" s="22"/>
      <c r="R987" s="23"/>
    </row>
    <row r="988" spans="1:18" ht="12.75">
      <c r="A988" s="22"/>
      <c r="D988" s="19"/>
      <c r="H988" s="18"/>
      <c r="J988" s="18"/>
      <c r="N988" s="16"/>
      <c r="O988" s="17"/>
      <c r="P988" s="17"/>
      <c r="Q988" s="22"/>
      <c r="R988" s="23"/>
    </row>
    <row r="989" spans="1:18" ht="12.75">
      <c r="A989" s="22"/>
      <c r="D989" s="19"/>
      <c r="H989" s="18"/>
      <c r="J989" s="18"/>
      <c r="N989" s="16"/>
      <c r="O989" s="17"/>
      <c r="P989" s="17"/>
      <c r="Q989" s="22"/>
      <c r="R989" s="23"/>
    </row>
    <row r="990" spans="1:18" ht="12.75">
      <c r="A990" s="22"/>
      <c r="D990" s="19"/>
      <c r="H990" s="18"/>
      <c r="J990" s="18"/>
      <c r="N990" s="16"/>
      <c r="O990" s="17"/>
      <c r="P990" s="17"/>
      <c r="Q990" s="22"/>
      <c r="R990" s="23"/>
    </row>
    <row r="991" spans="1:18" ht="12.75">
      <c r="A991" s="22"/>
      <c r="D991" s="19"/>
      <c r="H991" s="18"/>
      <c r="J991" s="18"/>
      <c r="N991" s="16"/>
      <c r="O991" s="17"/>
      <c r="P991" s="17"/>
      <c r="Q991" s="22"/>
      <c r="R991" s="23"/>
    </row>
    <row r="992" spans="1:18" ht="12.75">
      <c r="A992" s="22"/>
      <c r="D992" s="19"/>
      <c r="H992" s="18"/>
      <c r="J992" s="18"/>
      <c r="N992" s="16"/>
      <c r="O992" s="17"/>
      <c r="P992" s="17"/>
      <c r="Q992" s="22"/>
      <c r="R992" s="23"/>
    </row>
    <row r="993" spans="1:18" ht="12.75">
      <c r="A993" s="22"/>
      <c r="D993" s="19"/>
      <c r="H993" s="18"/>
      <c r="J993" s="18"/>
      <c r="N993" s="16"/>
      <c r="O993" s="17"/>
      <c r="P993" s="17"/>
      <c r="Q993" s="22"/>
      <c r="R993" s="23"/>
    </row>
    <row r="994" spans="1:18" ht="12.75">
      <c r="A994" s="22"/>
      <c r="D994" s="19"/>
      <c r="H994" s="18"/>
      <c r="J994" s="18"/>
      <c r="N994" s="16"/>
      <c r="O994" s="17"/>
      <c r="P994" s="17"/>
      <c r="Q994" s="22"/>
      <c r="R994" s="23"/>
    </row>
    <row r="995" spans="1:18" ht="12.75">
      <c r="A995" s="22"/>
      <c r="D995" s="19"/>
      <c r="H995" s="18"/>
      <c r="J995" s="18"/>
      <c r="N995" s="16"/>
      <c r="O995" s="17"/>
      <c r="P995" s="17"/>
      <c r="Q995" s="22"/>
      <c r="R995" s="23"/>
    </row>
    <row r="996" spans="1:18" ht="12.75">
      <c r="A996" s="22"/>
      <c r="D996" s="19"/>
      <c r="H996" s="18"/>
      <c r="J996" s="18"/>
      <c r="N996" s="16"/>
      <c r="O996" s="17"/>
      <c r="P996" s="17"/>
      <c r="Q996" s="22"/>
      <c r="R996" s="23"/>
    </row>
    <row r="997" spans="1:18" ht="12.75">
      <c r="A997" s="22"/>
      <c r="D997" s="19"/>
      <c r="H997" s="18"/>
      <c r="J997" s="18"/>
      <c r="N997" s="16"/>
      <c r="O997" s="17"/>
      <c r="P997" s="17"/>
      <c r="Q997" s="22"/>
      <c r="R997" s="23"/>
    </row>
    <row r="998" spans="1:18" ht="12.75">
      <c r="A998" s="22"/>
      <c r="D998" s="19"/>
      <c r="H998" s="18"/>
      <c r="J998" s="18"/>
      <c r="N998" s="16"/>
      <c r="O998" s="17"/>
      <c r="P998" s="17"/>
      <c r="Q998" s="22"/>
      <c r="R998" s="23"/>
    </row>
    <row r="999" spans="1:18" ht="12.75">
      <c r="A999" s="22"/>
      <c r="D999" s="19"/>
      <c r="H999" s="18"/>
      <c r="J999" s="18"/>
      <c r="N999" s="16"/>
      <c r="O999" s="17"/>
      <c r="P999" s="17"/>
      <c r="Q999" s="22"/>
      <c r="R999" s="23"/>
    </row>
    <row r="1000" spans="1:18" ht="12.75">
      <c r="A1000" s="22"/>
      <c r="D1000" s="19"/>
      <c r="H1000" s="18"/>
      <c r="J1000" s="18"/>
      <c r="N1000" s="16"/>
      <c r="O1000" s="17"/>
      <c r="P1000" s="17"/>
      <c r="Q1000" s="22"/>
      <c r="R1000" s="23"/>
    </row>
    <row r="1001" spans="1:18" ht="12.75">
      <c r="A1001" s="22"/>
      <c r="D1001" s="19"/>
      <c r="H1001" s="18"/>
      <c r="J1001" s="18"/>
      <c r="N1001" s="16"/>
      <c r="O1001" s="17"/>
      <c r="P1001" s="17"/>
      <c r="Q1001" s="22"/>
      <c r="R1001" s="23"/>
    </row>
    <row r="1002" spans="1:18" ht="12.75">
      <c r="A1002" s="22"/>
      <c r="D1002" s="19"/>
      <c r="H1002" s="18"/>
      <c r="J1002" s="18"/>
      <c r="N1002" s="16"/>
      <c r="O1002" s="17"/>
      <c r="P1002" s="17"/>
      <c r="Q1002" s="22"/>
      <c r="R1002" s="23"/>
    </row>
    <row r="1003" spans="1:18" ht="12.75">
      <c r="A1003" s="22"/>
      <c r="D1003" s="19"/>
      <c r="H1003" s="18"/>
      <c r="J1003" s="18"/>
      <c r="N1003" s="16"/>
      <c r="O1003" s="17"/>
      <c r="P1003" s="17"/>
      <c r="Q1003" s="22"/>
      <c r="R1003" s="23"/>
    </row>
    <row r="1004" spans="1:18" ht="12.75">
      <c r="A1004" s="22"/>
      <c r="D1004" s="19"/>
      <c r="H1004" s="18"/>
      <c r="J1004" s="18"/>
      <c r="N1004" s="16"/>
      <c r="O1004" s="17"/>
      <c r="P1004" s="17"/>
      <c r="Q1004" s="22"/>
      <c r="R1004" s="23"/>
    </row>
    <row r="1005" spans="1:18" ht="12.75">
      <c r="A1005" s="22"/>
      <c r="D1005" s="19"/>
      <c r="H1005" s="18"/>
      <c r="J1005" s="18"/>
      <c r="N1005" s="16"/>
      <c r="O1005" s="17"/>
      <c r="P1005" s="17"/>
      <c r="Q1005" s="22"/>
      <c r="R1005" s="23"/>
    </row>
    <row r="1006" spans="1:18" ht="12.75">
      <c r="A1006" s="22"/>
      <c r="D1006" s="19"/>
      <c r="H1006" s="18"/>
      <c r="J1006" s="18"/>
      <c r="N1006" s="16"/>
      <c r="O1006" s="17"/>
      <c r="P1006" s="17"/>
      <c r="Q1006" s="22"/>
      <c r="R1006" s="23"/>
    </row>
    <row r="1007" spans="1:18" ht="12.75">
      <c r="A1007" s="22"/>
      <c r="D1007" s="19"/>
      <c r="H1007" s="18"/>
      <c r="J1007" s="18"/>
      <c r="N1007" s="16"/>
      <c r="O1007" s="17"/>
      <c r="P1007" s="17"/>
      <c r="Q1007" s="22"/>
      <c r="R1007" s="23"/>
    </row>
    <row r="1008" spans="1:18" ht="12.75">
      <c r="A1008" s="22"/>
      <c r="D1008" s="19"/>
      <c r="H1008" s="18"/>
      <c r="J1008" s="18"/>
      <c r="N1008" s="16"/>
      <c r="O1008" s="17"/>
      <c r="P1008" s="17"/>
      <c r="Q1008" s="22"/>
      <c r="R1008" s="23"/>
    </row>
    <row r="1009" spans="1:18" ht="12.75">
      <c r="A1009" s="22"/>
      <c r="D1009" s="19"/>
      <c r="H1009" s="18"/>
      <c r="J1009" s="18"/>
      <c r="N1009" s="16"/>
      <c r="O1009" s="17"/>
      <c r="P1009" s="17"/>
      <c r="Q1009" s="22"/>
      <c r="R1009" s="23"/>
    </row>
    <row r="1010" spans="1:18" ht="12.75">
      <c r="A1010" s="22"/>
      <c r="D1010" s="19"/>
      <c r="H1010" s="18"/>
      <c r="J1010" s="18"/>
      <c r="N1010" s="16"/>
      <c r="O1010" s="17"/>
      <c r="P1010" s="17"/>
      <c r="Q1010" s="22"/>
      <c r="R1010" s="23"/>
    </row>
    <row r="1011" spans="1:18" ht="12.75">
      <c r="A1011" s="22"/>
      <c r="D1011" s="19"/>
      <c r="H1011" s="18"/>
      <c r="J1011" s="18"/>
      <c r="N1011" s="16"/>
      <c r="O1011" s="17"/>
      <c r="P1011" s="17"/>
      <c r="Q1011" s="22"/>
      <c r="R1011" s="23"/>
    </row>
    <row r="1012" spans="1:18" ht="12.75">
      <c r="A1012" s="22"/>
      <c r="D1012" s="19"/>
      <c r="H1012" s="18"/>
      <c r="J1012" s="18"/>
      <c r="N1012" s="16"/>
      <c r="O1012" s="17"/>
      <c r="P1012" s="17"/>
      <c r="Q1012" s="22"/>
      <c r="R1012" s="23"/>
    </row>
    <row r="1013" spans="1:18" ht="12.75">
      <c r="A1013" s="22"/>
      <c r="D1013" s="19"/>
      <c r="H1013" s="18"/>
      <c r="J1013" s="18"/>
      <c r="N1013" s="16"/>
      <c r="O1013" s="17"/>
      <c r="P1013" s="17"/>
      <c r="Q1013" s="22"/>
      <c r="R1013" s="23"/>
    </row>
    <row r="1014" spans="1:18" ht="12.75">
      <c r="A1014" s="22"/>
      <c r="D1014" s="19"/>
      <c r="H1014" s="18"/>
      <c r="J1014" s="18"/>
      <c r="N1014" s="16"/>
      <c r="O1014" s="17"/>
      <c r="P1014" s="17"/>
      <c r="Q1014" s="22"/>
      <c r="R1014" s="23"/>
    </row>
    <row r="1015" spans="1:18" ht="12.75">
      <c r="A1015" s="22"/>
      <c r="D1015" s="19"/>
      <c r="H1015" s="18"/>
      <c r="J1015" s="18"/>
      <c r="N1015" s="16"/>
      <c r="O1015" s="17"/>
      <c r="P1015" s="17"/>
      <c r="Q1015" s="22"/>
      <c r="R1015" s="23"/>
    </row>
    <row r="1016" spans="1:18" ht="12.75">
      <c r="A1016" s="22"/>
      <c r="D1016" s="19"/>
      <c r="H1016" s="18"/>
      <c r="J1016" s="18"/>
      <c r="N1016" s="16"/>
      <c r="O1016" s="17"/>
      <c r="P1016" s="17"/>
      <c r="Q1016" s="22"/>
      <c r="R1016" s="23"/>
    </row>
    <row r="1017" spans="1:18" ht="12.75">
      <c r="A1017" s="22"/>
      <c r="D1017" s="19"/>
      <c r="H1017" s="18"/>
      <c r="J1017" s="18"/>
      <c r="N1017" s="16"/>
      <c r="O1017" s="17"/>
      <c r="P1017" s="17"/>
      <c r="Q1017" s="22"/>
      <c r="R1017" s="23"/>
    </row>
    <row r="1018" spans="1:18" ht="12.75">
      <c r="A1018" s="22"/>
      <c r="D1018" s="19"/>
      <c r="H1018" s="18"/>
      <c r="J1018" s="18"/>
      <c r="N1018" s="16"/>
      <c r="O1018" s="17"/>
      <c r="P1018" s="17"/>
      <c r="Q1018" s="22"/>
      <c r="R1018" s="23"/>
    </row>
    <row r="1019" spans="1:18" ht="12.75">
      <c r="A1019" s="22"/>
      <c r="D1019" s="19"/>
      <c r="H1019" s="18"/>
      <c r="J1019" s="18"/>
      <c r="N1019" s="16"/>
      <c r="O1019" s="17"/>
      <c r="P1019" s="17"/>
      <c r="Q1019" s="22"/>
      <c r="R1019" s="23"/>
    </row>
    <row r="1020" spans="1:18" ht="12.75">
      <c r="A1020" s="22"/>
      <c r="D1020" s="19"/>
      <c r="H1020" s="18"/>
      <c r="J1020" s="18"/>
      <c r="N1020" s="16"/>
      <c r="O1020" s="17"/>
      <c r="P1020" s="17"/>
      <c r="Q1020" s="22"/>
      <c r="R1020" s="23"/>
    </row>
    <row r="1021" spans="1:18" ht="12.75">
      <c r="A1021" s="22"/>
      <c r="D1021" s="19"/>
      <c r="H1021" s="18"/>
      <c r="J1021" s="18"/>
      <c r="N1021" s="16"/>
      <c r="O1021" s="17"/>
      <c r="P1021" s="17"/>
      <c r="Q1021" s="22"/>
      <c r="R1021" s="23"/>
    </row>
    <row r="1022" spans="1:18" ht="12.75">
      <c r="A1022" s="22"/>
      <c r="D1022" s="19"/>
      <c r="H1022" s="18"/>
      <c r="J1022" s="18"/>
      <c r="N1022" s="16"/>
      <c r="O1022" s="17"/>
      <c r="P1022" s="17"/>
      <c r="Q1022" s="22"/>
      <c r="R1022" s="23"/>
    </row>
    <row r="1023" spans="1:18" ht="12.75">
      <c r="A1023" s="22"/>
      <c r="D1023" s="19"/>
      <c r="H1023" s="18"/>
      <c r="J1023" s="18"/>
      <c r="N1023" s="16"/>
      <c r="O1023" s="17"/>
      <c r="P1023" s="17"/>
      <c r="Q1023" s="22"/>
      <c r="R1023" s="23"/>
    </row>
    <row r="1024" spans="1:18" ht="12.75">
      <c r="A1024" s="22"/>
      <c r="D1024" s="19"/>
      <c r="H1024" s="18"/>
      <c r="J1024" s="18"/>
      <c r="N1024" s="16"/>
      <c r="O1024" s="17"/>
      <c r="P1024" s="17"/>
      <c r="Q1024" s="22"/>
      <c r="R1024" s="23"/>
    </row>
    <row r="1025" spans="1:18" ht="12.75">
      <c r="A1025" s="22"/>
      <c r="D1025" s="19"/>
      <c r="H1025" s="18"/>
      <c r="J1025" s="18"/>
      <c r="N1025" s="16"/>
      <c r="O1025" s="17"/>
      <c r="P1025" s="17"/>
      <c r="Q1025" s="22"/>
      <c r="R1025" s="23"/>
    </row>
    <row r="1026" spans="1:18" ht="12.75">
      <c r="A1026" s="22"/>
      <c r="D1026" s="19"/>
      <c r="H1026" s="18"/>
      <c r="J1026" s="18"/>
      <c r="N1026" s="16"/>
      <c r="O1026" s="17"/>
      <c r="P1026" s="17"/>
      <c r="Q1026" s="22"/>
      <c r="R1026" s="23"/>
    </row>
    <row r="1027" spans="1:18" ht="12.75">
      <c r="A1027" s="22"/>
      <c r="D1027" s="19"/>
      <c r="H1027" s="18"/>
      <c r="J1027" s="18"/>
      <c r="N1027" s="16"/>
      <c r="O1027" s="17"/>
      <c r="P1027" s="17"/>
      <c r="Q1027" s="22"/>
      <c r="R1027" s="23"/>
    </row>
    <row r="1028" spans="1:18" ht="12.75">
      <c r="A1028" s="22"/>
      <c r="D1028" s="19"/>
      <c r="H1028" s="18"/>
      <c r="J1028" s="18"/>
      <c r="N1028" s="16"/>
      <c r="O1028" s="17"/>
      <c r="P1028" s="17"/>
      <c r="Q1028" s="22"/>
      <c r="R1028" s="23"/>
    </row>
    <row r="1029" spans="1:18" ht="12.75">
      <c r="A1029" s="22"/>
      <c r="D1029" s="19"/>
      <c r="H1029" s="18"/>
      <c r="J1029" s="18"/>
      <c r="N1029" s="16"/>
      <c r="O1029" s="17"/>
      <c r="P1029" s="17"/>
      <c r="Q1029" s="22"/>
      <c r="R1029" s="23"/>
    </row>
    <row r="1030" spans="1:18" ht="12.75">
      <c r="A1030" s="22"/>
      <c r="D1030" s="19"/>
      <c r="H1030" s="18"/>
      <c r="J1030" s="18"/>
      <c r="N1030" s="16"/>
      <c r="O1030" s="17"/>
      <c r="P1030" s="17"/>
      <c r="Q1030" s="22"/>
      <c r="R1030" s="23"/>
    </row>
    <row r="1031" spans="1:18" ht="12.75">
      <c r="A1031" s="22"/>
      <c r="D1031" s="19"/>
      <c r="H1031" s="18"/>
      <c r="J1031" s="18"/>
      <c r="N1031" s="16"/>
      <c r="O1031" s="17"/>
      <c r="P1031" s="17"/>
      <c r="Q1031" s="22"/>
      <c r="R1031" s="23"/>
    </row>
    <row r="1032" spans="1:18" ht="12.75">
      <c r="A1032" s="22"/>
      <c r="D1032" s="19"/>
      <c r="H1032" s="18"/>
      <c r="J1032" s="18"/>
      <c r="N1032" s="16"/>
      <c r="O1032" s="17"/>
      <c r="P1032" s="17"/>
      <c r="Q1032" s="22"/>
      <c r="R1032" s="23"/>
    </row>
    <row r="1033" spans="1:18" ht="12.75">
      <c r="A1033" s="22"/>
      <c r="D1033" s="19"/>
      <c r="H1033" s="18"/>
      <c r="J1033" s="18"/>
      <c r="N1033" s="16"/>
      <c r="O1033" s="17"/>
      <c r="P1033" s="17"/>
      <c r="Q1033" s="22"/>
      <c r="R1033" s="23"/>
    </row>
    <row r="1034" spans="1:18" ht="12.75">
      <c r="A1034" s="22"/>
      <c r="D1034" s="19"/>
      <c r="H1034" s="18"/>
      <c r="J1034" s="18"/>
      <c r="N1034" s="16"/>
      <c r="O1034" s="17"/>
      <c r="P1034" s="17"/>
      <c r="Q1034" s="22"/>
      <c r="R1034" s="23"/>
    </row>
    <row r="1035" spans="1:18" ht="12.75">
      <c r="A1035" s="22"/>
      <c r="D1035" s="19"/>
      <c r="H1035" s="18"/>
      <c r="J1035" s="18"/>
      <c r="N1035" s="16"/>
      <c r="O1035" s="17"/>
      <c r="P1035" s="17"/>
      <c r="Q1035" s="22"/>
      <c r="R1035" s="23"/>
    </row>
    <row r="1036" spans="1:18" ht="12.75">
      <c r="A1036" s="22"/>
      <c r="D1036" s="19"/>
      <c r="H1036" s="18"/>
      <c r="J1036" s="18"/>
      <c r="N1036" s="16"/>
      <c r="O1036" s="17"/>
      <c r="P1036" s="17"/>
      <c r="Q1036" s="22"/>
      <c r="R1036" s="23"/>
    </row>
    <row r="1037" spans="1:18" ht="12.75">
      <c r="A1037" s="22"/>
      <c r="D1037" s="19"/>
      <c r="H1037" s="18"/>
      <c r="J1037" s="18"/>
      <c r="N1037" s="16"/>
      <c r="O1037" s="17"/>
      <c r="P1037" s="17"/>
      <c r="Q1037" s="22"/>
      <c r="R1037" s="23"/>
    </row>
    <row r="1038" spans="1:18" ht="12.75">
      <c r="A1038" s="22"/>
      <c r="D1038" s="19"/>
      <c r="H1038" s="18"/>
      <c r="J1038" s="18"/>
      <c r="N1038" s="16"/>
      <c r="O1038" s="17"/>
      <c r="P1038" s="17"/>
      <c r="Q1038" s="22"/>
      <c r="R1038" s="23"/>
    </row>
    <row r="1039" spans="1:18" ht="12.75">
      <c r="A1039" s="22"/>
      <c r="D1039" s="19"/>
      <c r="H1039" s="18"/>
      <c r="J1039" s="18"/>
      <c r="N1039" s="16"/>
      <c r="O1039" s="17"/>
      <c r="P1039" s="17"/>
      <c r="Q1039" s="22"/>
      <c r="R1039" s="23"/>
    </row>
    <row r="1040" spans="1:18" ht="12.75">
      <c r="A1040" s="22"/>
      <c r="D1040" s="19"/>
      <c r="H1040" s="18"/>
      <c r="J1040" s="18"/>
      <c r="N1040" s="16"/>
      <c r="O1040" s="17"/>
      <c r="P1040" s="17"/>
      <c r="Q1040" s="22"/>
      <c r="R1040" s="23"/>
    </row>
    <row r="1041" spans="1:18" ht="12.75">
      <c r="A1041" s="22"/>
      <c r="D1041" s="19"/>
      <c r="H1041" s="18"/>
      <c r="J1041" s="18"/>
      <c r="N1041" s="16"/>
      <c r="O1041" s="17"/>
      <c r="P1041" s="17"/>
      <c r="Q1041" s="22"/>
      <c r="R1041" s="23"/>
    </row>
    <row r="1042" spans="1:18" ht="12.75">
      <c r="A1042" s="22"/>
      <c r="D1042" s="19"/>
      <c r="H1042" s="18"/>
      <c r="J1042" s="18"/>
      <c r="N1042" s="16"/>
      <c r="O1042" s="17"/>
      <c r="P1042" s="17"/>
      <c r="Q1042" s="22"/>
      <c r="R1042" s="23"/>
    </row>
    <row r="1043" spans="1:18" ht="12.75">
      <c r="A1043" s="22"/>
      <c r="D1043" s="19"/>
      <c r="H1043" s="18"/>
      <c r="J1043" s="18"/>
      <c r="N1043" s="16"/>
      <c r="O1043" s="17"/>
      <c r="P1043" s="17"/>
      <c r="Q1043" s="22"/>
      <c r="R1043" s="23"/>
    </row>
    <row r="1044" spans="1:18" ht="12.75">
      <c r="A1044" s="22"/>
      <c r="D1044" s="19"/>
      <c r="H1044" s="18"/>
      <c r="J1044" s="18"/>
      <c r="N1044" s="16"/>
      <c r="O1044" s="17"/>
      <c r="P1044" s="17"/>
      <c r="Q1044" s="22"/>
      <c r="R1044" s="23"/>
    </row>
    <row r="1045" spans="1:18" ht="12.75">
      <c r="A1045" s="22"/>
      <c r="D1045" s="19"/>
      <c r="H1045" s="18"/>
      <c r="J1045" s="18"/>
      <c r="N1045" s="16"/>
      <c r="O1045" s="17"/>
      <c r="P1045" s="17"/>
      <c r="Q1045" s="22"/>
      <c r="R1045" s="23"/>
    </row>
    <row r="1046" spans="1:18" ht="12.75">
      <c r="A1046" s="22"/>
      <c r="D1046" s="19"/>
      <c r="H1046" s="18"/>
      <c r="J1046" s="18"/>
      <c r="N1046" s="16"/>
      <c r="O1046" s="17"/>
      <c r="P1046" s="17"/>
      <c r="Q1046" s="22"/>
      <c r="R1046" s="23"/>
    </row>
    <row r="1047" spans="1:18" ht="12.75">
      <c r="A1047" s="22"/>
      <c r="D1047" s="19"/>
      <c r="H1047" s="18"/>
      <c r="J1047" s="18"/>
      <c r="N1047" s="16"/>
      <c r="O1047" s="17"/>
      <c r="P1047" s="17"/>
      <c r="Q1047" s="22"/>
      <c r="R1047" s="23"/>
    </row>
    <row r="1048" spans="1:18" ht="12.75">
      <c r="A1048" s="22"/>
      <c r="D1048" s="19"/>
      <c r="H1048" s="18"/>
      <c r="J1048" s="18"/>
      <c r="N1048" s="16"/>
      <c r="O1048" s="17"/>
      <c r="P1048" s="17"/>
      <c r="Q1048" s="22"/>
      <c r="R1048" s="23"/>
    </row>
    <row r="1049" spans="1:18" ht="12.75">
      <c r="A1049" s="22"/>
      <c r="D1049" s="19"/>
      <c r="H1049" s="18"/>
      <c r="J1049" s="18"/>
      <c r="N1049" s="16"/>
      <c r="O1049" s="17"/>
      <c r="P1049" s="17"/>
      <c r="Q1049" s="22"/>
      <c r="R1049" s="23"/>
    </row>
    <row r="1050" spans="1:18" ht="12.75">
      <c r="A1050" s="22"/>
      <c r="D1050" s="19"/>
      <c r="H1050" s="18"/>
      <c r="J1050" s="18"/>
      <c r="N1050" s="16"/>
      <c r="O1050" s="17"/>
      <c r="P1050" s="17"/>
      <c r="Q1050" s="22"/>
      <c r="R1050" s="23"/>
    </row>
    <row r="1051" spans="1:18" ht="12.75">
      <c r="A1051" s="22"/>
      <c r="D1051" s="19"/>
      <c r="H1051" s="18"/>
      <c r="J1051" s="18"/>
      <c r="N1051" s="16"/>
      <c r="O1051" s="17"/>
      <c r="P1051" s="17"/>
      <c r="Q1051" s="22"/>
      <c r="R1051" s="23"/>
    </row>
    <row r="1052" spans="1:18" ht="12.75">
      <c r="A1052" s="22"/>
      <c r="D1052" s="19"/>
      <c r="H1052" s="18"/>
      <c r="J1052" s="18"/>
      <c r="N1052" s="16"/>
      <c r="O1052" s="17"/>
      <c r="P1052" s="17"/>
      <c r="Q1052" s="22"/>
      <c r="R1052" s="23"/>
    </row>
    <row r="1053" spans="1:18" ht="12.75">
      <c r="A1053" s="22"/>
      <c r="D1053" s="19"/>
      <c r="H1053" s="18"/>
      <c r="J1053" s="18"/>
      <c r="N1053" s="16"/>
      <c r="O1053" s="17"/>
      <c r="P1053" s="17"/>
      <c r="Q1053" s="22"/>
      <c r="R1053" s="23"/>
    </row>
    <row r="1054" spans="1:18" ht="12.75">
      <c r="A1054" s="22"/>
      <c r="D1054" s="19"/>
      <c r="H1054" s="18"/>
      <c r="J1054" s="18"/>
      <c r="N1054" s="16"/>
      <c r="O1054" s="17"/>
      <c r="P1054" s="17"/>
      <c r="Q1054" s="22"/>
      <c r="R1054" s="23"/>
    </row>
    <row r="1055" spans="1:18" ht="12.75">
      <c r="A1055" s="22"/>
      <c r="D1055" s="19"/>
      <c r="H1055" s="18"/>
      <c r="J1055" s="18"/>
      <c r="N1055" s="16"/>
      <c r="O1055" s="17"/>
      <c r="P1055" s="17"/>
      <c r="Q1055" s="22"/>
      <c r="R1055" s="23"/>
    </row>
    <row r="1056" spans="1:18" ht="12.75">
      <c r="A1056" s="22"/>
      <c r="D1056" s="19"/>
      <c r="H1056" s="18"/>
      <c r="J1056" s="18"/>
      <c r="N1056" s="16"/>
      <c r="O1056" s="17"/>
      <c r="P1056" s="17"/>
      <c r="Q1056" s="22"/>
      <c r="R1056" s="23"/>
    </row>
    <row r="1057" spans="1:18" ht="12.75">
      <c r="A1057" s="22"/>
      <c r="D1057" s="19"/>
      <c r="H1057" s="18"/>
      <c r="J1057" s="18"/>
      <c r="N1057" s="16"/>
      <c r="O1057" s="17"/>
      <c r="P1057" s="17"/>
      <c r="Q1057" s="22"/>
      <c r="R1057" s="23"/>
    </row>
    <row r="1058" spans="1:18" ht="12.75">
      <c r="A1058" s="22"/>
      <c r="D1058" s="19"/>
      <c r="H1058" s="18"/>
      <c r="J1058" s="18"/>
      <c r="N1058" s="16"/>
      <c r="O1058" s="17"/>
      <c r="P1058" s="17"/>
      <c r="Q1058" s="22"/>
      <c r="R1058" s="23"/>
    </row>
    <row r="1059" spans="1:18" ht="12.75">
      <c r="A1059" s="22"/>
      <c r="D1059" s="19"/>
      <c r="H1059" s="18"/>
      <c r="J1059" s="18"/>
      <c r="N1059" s="16"/>
      <c r="O1059" s="17"/>
      <c r="P1059" s="17"/>
      <c r="Q1059" s="22"/>
      <c r="R1059" s="23"/>
    </row>
    <row r="1060" spans="1:18" ht="12.75">
      <c r="A1060" s="22"/>
      <c r="D1060" s="19"/>
      <c r="H1060" s="18"/>
      <c r="J1060" s="18"/>
      <c r="N1060" s="16"/>
      <c r="O1060" s="17"/>
      <c r="P1060" s="17"/>
      <c r="Q1060" s="22"/>
      <c r="R1060" s="23"/>
    </row>
    <row r="1061" spans="1:18" ht="12.75">
      <c r="A1061" s="22"/>
      <c r="D1061" s="19"/>
      <c r="H1061" s="18"/>
      <c r="J1061" s="18"/>
      <c r="N1061" s="16"/>
      <c r="O1061" s="17"/>
      <c r="P1061" s="17"/>
      <c r="Q1061" s="22"/>
      <c r="R1061" s="23"/>
    </row>
    <row r="1062" spans="1:18" ht="12.75">
      <c r="A1062" s="22"/>
      <c r="D1062" s="19"/>
      <c r="H1062" s="18"/>
      <c r="J1062" s="18"/>
      <c r="N1062" s="16"/>
      <c r="O1062" s="17"/>
      <c r="P1062" s="17"/>
      <c r="Q1062" s="22"/>
      <c r="R1062" s="23"/>
    </row>
    <row r="1063" spans="1:18" ht="12.75">
      <c r="A1063" s="22"/>
      <c r="D1063" s="19"/>
      <c r="H1063" s="18"/>
      <c r="J1063" s="18"/>
      <c r="N1063" s="16"/>
      <c r="O1063" s="17"/>
      <c r="P1063" s="17"/>
      <c r="Q1063" s="22"/>
      <c r="R1063" s="23"/>
    </row>
    <row r="1064" spans="1:18" ht="12.75">
      <c r="A1064" s="22"/>
      <c r="D1064" s="19"/>
      <c r="H1064" s="18"/>
      <c r="J1064" s="18"/>
      <c r="N1064" s="16"/>
      <c r="O1064" s="17"/>
      <c r="P1064" s="17"/>
      <c r="Q1064" s="22"/>
      <c r="R1064" s="23"/>
    </row>
    <row r="1065" spans="1:18" ht="12.75">
      <c r="A1065" s="22"/>
      <c r="D1065" s="19"/>
      <c r="H1065" s="18"/>
      <c r="J1065" s="18"/>
      <c r="N1065" s="16"/>
      <c r="O1065" s="17"/>
      <c r="P1065" s="17"/>
      <c r="Q1065" s="22"/>
      <c r="R1065" s="23"/>
    </row>
    <row r="1066" spans="1:18" ht="12.75">
      <c r="A1066" s="22"/>
      <c r="D1066" s="19"/>
      <c r="H1066" s="18"/>
      <c r="J1066" s="18"/>
      <c r="N1066" s="16"/>
      <c r="O1066" s="17"/>
      <c r="P1066" s="17"/>
      <c r="Q1066" s="22"/>
      <c r="R1066" s="23"/>
    </row>
    <row r="1067" spans="1:18" ht="12.75">
      <c r="A1067" s="22"/>
      <c r="D1067" s="19"/>
      <c r="H1067" s="18"/>
      <c r="J1067" s="18"/>
      <c r="N1067" s="16"/>
      <c r="O1067" s="17"/>
      <c r="P1067" s="17"/>
      <c r="Q1067" s="22"/>
      <c r="R1067" s="23"/>
    </row>
    <row r="1068" spans="1:18" ht="12.75">
      <c r="A1068" s="22"/>
      <c r="D1068" s="19"/>
      <c r="H1068" s="18"/>
      <c r="J1068" s="18"/>
      <c r="N1068" s="16"/>
      <c r="O1068" s="17"/>
      <c r="P1068" s="17"/>
      <c r="Q1068" s="22"/>
      <c r="R1068" s="23"/>
    </row>
    <row r="1069" spans="1:18" ht="12.75">
      <c r="A1069" s="22"/>
      <c r="D1069" s="19"/>
      <c r="H1069" s="18"/>
      <c r="J1069" s="18"/>
      <c r="N1069" s="16"/>
      <c r="O1069" s="17"/>
      <c r="P1069" s="17"/>
      <c r="Q1069" s="22"/>
      <c r="R1069" s="23"/>
    </row>
    <row r="1070" spans="1:18" ht="12.75">
      <c r="A1070" s="22"/>
      <c r="D1070" s="19"/>
      <c r="H1070" s="18"/>
      <c r="J1070" s="18"/>
      <c r="N1070" s="16"/>
      <c r="O1070" s="17"/>
      <c r="P1070" s="17"/>
      <c r="Q1070" s="22"/>
      <c r="R1070" s="23"/>
    </row>
    <row r="1071" spans="1:18" ht="12.75">
      <c r="A1071" s="22"/>
      <c r="D1071" s="19"/>
      <c r="H1071" s="18"/>
      <c r="J1071" s="18"/>
      <c r="N1071" s="16"/>
      <c r="O1071" s="17"/>
      <c r="P1071" s="17"/>
      <c r="Q1071" s="22"/>
      <c r="R1071" s="23"/>
    </row>
    <row r="1072" spans="1:18" ht="12.75">
      <c r="A1072" s="22"/>
      <c r="D1072" s="19"/>
      <c r="H1072" s="18"/>
      <c r="J1072" s="18"/>
      <c r="N1072" s="16"/>
      <c r="O1072" s="17"/>
      <c r="P1072" s="17"/>
      <c r="Q1072" s="22"/>
      <c r="R1072" s="23"/>
    </row>
    <row r="1073" spans="1:18" ht="12.75">
      <c r="A1073" s="22"/>
      <c r="D1073" s="19"/>
      <c r="H1073" s="18"/>
      <c r="J1073" s="18"/>
      <c r="N1073" s="16"/>
      <c r="O1073" s="17"/>
      <c r="P1073" s="17"/>
      <c r="Q1073" s="22"/>
      <c r="R1073" s="23"/>
    </row>
    <row r="1074" spans="1:18" ht="12.75">
      <c r="A1074" s="22"/>
      <c r="D1074" s="19"/>
      <c r="H1074" s="18"/>
      <c r="J1074" s="18"/>
      <c r="N1074" s="16"/>
      <c r="O1074" s="17"/>
      <c r="P1074" s="17"/>
      <c r="Q1074" s="22"/>
      <c r="R1074" s="23"/>
    </row>
    <row r="1075" spans="1:18" ht="12.75">
      <c r="A1075" s="22"/>
      <c r="D1075" s="19"/>
      <c r="H1075" s="18"/>
      <c r="J1075" s="18"/>
      <c r="N1075" s="16"/>
      <c r="O1075" s="17"/>
      <c r="P1075" s="17"/>
      <c r="Q1075" s="22"/>
      <c r="R1075" s="23"/>
    </row>
    <row r="1076" spans="1:18" ht="12.75">
      <c r="A1076" s="22"/>
      <c r="D1076" s="19"/>
      <c r="H1076" s="18"/>
      <c r="J1076" s="18"/>
      <c r="N1076" s="16"/>
      <c r="O1076" s="17"/>
      <c r="P1076" s="17"/>
      <c r="Q1076" s="22"/>
      <c r="R1076" s="23"/>
    </row>
    <row r="1077" spans="1:18" ht="12.75">
      <c r="A1077" s="22"/>
      <c r="D1077" s="19"/>
      <c r="H1077" s="18"/>
      <c r="J1077" s="18"/>
      <c r="N1077" s="16"/>
      <c r="O1077" s="17"/>
      <c r="P1077" s="17"/>
      <c r="Q1077" s="22"/>
      <c r="R1077" s="23"/>
    </row>
    <row r="1078" spans="1:18" ht="12.75">
      <c r="A1078" s="22"/>
      <c r="D1078" s="19"/>
      <c r="H1078" s="18"/>
      <c r="J1078" s="18"/>
      <c r="N1078" s="16"/>
      <c r="O1078" s="17"/>
      <c r="P1078" s="17"/>
      <c r="Q1078" s="22"/>
      <c r="R1078" s="23"/>
    </row>
    <row r="1079" spans="1:18" ht="12.75">
      <c r="A1079" s="22"/>
      <c r="D1079" s="19"/>
      <c r="H1079" s="18"/>
      <c r="J1079" s="18"/>
      <c r="N1079" s="16"/>
      <c r="O1079" s="17"/>
      <c r="P1079" s="17"/>
      <c r="Q1079" s="22"/>
      <c r="R1079" s="23"/>
    </row>
    <row r="1080" spans="1:18" ht="12.75">
      <c r="A1080" s="22"/>
      <c r="D1080" s="19"/>
      <c r="H1080" s="18"/>
      <c r="J1080" s="18"/>
      <c r="N1080" s="16"/>
      <c r="O1080" s="17"/>
      <c r="P1080" s="17"/>
      <c r="Q1080" s="22"/>
      <c r="R1080" s="23"/>
    </row>
    <row r="1081" spans="1:18" ht="12.75">
      <c r="A1081" s="22"/>
      <c r="D1081" s="19"/>
      <c r="H1081" s="18"/>
      <c r="J1081" s="18"/>
      <c r="N1081" s="16"/>
      <c r="O1081" s="17"/>
      <c r="P1081" s="17"/>
      <c r="Q1081" s="22"/>
      <c r="R1081" s="23"/>
    </row>
    <row r="1082" spans="1:18" ht="12.75">
      <c r="A1082" s="22"/>
      <c r="D1082" s="19"/>
      <c r="H1082" s="18"/>
      <c r="J1082" s="18"/>
      <c r="N1082" s="16"/>
      <c r="O1082" s="17"/>
      <c r="P1082" s="17"/>
      <c r="Q1082" s="22"/>
      <c r="R1082" s="23"/>
    </row>
    <row r="1083" spans="1:18" ht="12.75">
      <c r="A1083" s="22"/>
      <c r="D1083" s="19"/>
      <c r="H1083" s="18"/>
      <c r="J1083" s="18"/>
      <c r="N1083" s="16"/>
      <c r="O1083" s="17"/>
      <c r="P1083" s="17"/>
      <c r="Q1083" s="22"/>
      <c r="R1083" s="23"/>
    </row>
    <row r="1084" spans="1:18" ht="12.75">
      <c r="A1084" s="22"/>
      <c r="D1084" s="19"/>
      <c r="H1084" s="18"/>
      <c r="J1084" s="18"/>
      <c r="N1084" s="16"/>
      <c r="O1084" s="17"/>
      <c r="P1084" s="17"/>
      <c r="Q1084" s="22"/>
      <c r="R1084" s="23"/>
    </row>
    <row r="1085" spans="1:18" ht="12.75">
      <c r="A1085" s="22"/>
      <c r="D1085" s="19"/>
      <c r="H1085" s="18"/>
      <c r="J1085" s="18"/>
      <c r="N1085" s="16"/>
      <c r="O1085" s="17"/>
      <c r="P1085" s="17"/>
      <c r="Q1085" s="22"/>
      <c r="R1085" s="23"/>
    </row>
    <row r="1086" spans="1:18" ht="12.75">
      <c r="A1086" s="22"/>
      <c r="D1086" s="19"/>
      <c r="H1086" s="18"/>
      <c r="J1086" s="18"/>
      <c r="N1086" s="16"/>
      <c r="O1086" s="17"/>
      <c r="P1086" s="17"/>
      <c r="Q1086" s="22"/>
      <c r="R1086" s="23"/>
    </row>
    <row r="1087" spans="1:18" ht="12.75">
      <c r="A1087" s="22"/>
      <c r="D1087" s="19"/>
      <c r="H1087" s="18"/>
      <c r="J1087" s="18"/>
      <c r="N1087" s="16"/>
      <c r="O1087" s="17"/>
      <c r="P1087" s="17"/>
      <c r="Q1087" s="22"/>
      <c r="R1087" s="23"/>
    </row>
    <row r="1088" spans="1:18" ht="12.75">
      <c r="A1088" s="22"/>
      <c r="D1088" s="19"/>
      <c r="H1088" s="18"/>
      <c r="J1088" s="18"/>
      <c r="N1088" s="16"/>
      <c r="O1088" s="17"/>
      <c r="P1088" s="17"/>
      <c r="Q1088" s="22"/>
      <c r="R1088" s="23"/>
    </row>
    <row r="1089" spans="1:18" ht="12.75">
      <c r="A1089" s="22"/>
      <c r="D1089" s="19"/>
      <c r="H1089" s="18"/>
      <c r="J1089" s="18"/>
      <c r="N1089" s="16"/>
      <c r="O1089" s="17"/>
      <c r="P1089" s="17"/>
      <c r="Q1089" s="22"/>
      <c r="R1089" s="23"/>
    </row>
    <row r="1090" spans="1:18" ht="12.75">
      <c r="A1090" s="22"/>
      <c r="D1090" s="19"/>
      <c r="H1090" s="18"/>
      <c r="J1090" s="18"/>
      <c r="N1090" s="16"/>
      <c r="O1090" s="17"/>
      <c r="P1090" s="17"/>
      <c r="Q1090" s="22"/>
      <c r="R1090" s="23"/>
    </row>
    <row r="1091" spans="1:18" ht="12.75">
      <c r="A1091" s="22"/>
      <c r="D1091" s="19"/>
      <c r="H1091" s="18"/>
      <c r="J1091" s="18"/>
      <c r="N1091" s="16"/>
      <c r="O1091" s="17"/>
      <c r="P1091" s="17"/>
      <c r="Q1091" s="22"/>
      <c r="R1091" s="23"/>
    </row>
    <row r="1092" spans="1:18" ht="12.75">
      <c r="A1092" s="22"/>
      <c r="D1092" s="19"/>
      <c r="H1092" s="18"/>
      <c r="J1092" s="18"/>
      <c r="N1092" s="16"/>
      <c r="O1092" s="17"/>
      <c r="P1092" s="17"/>
      <c r="Q1092" s="22"/>
      <c r="R1092" s="23"/>
    </row>
    <row r="1093" spans="1:18" ht="12.75">
      <c r="A1093" s="22"/>
      <c r="D1093" s="19"/>
      <c r="H1093" s="18"/>
      <c r="J1093" s="18"/>
      <c r="N1093" s="16"/>
      <c r="O1093" s="17"/>
      <c r="P1093" s="17"/>
      <c r="Q1093" s="22"/>
      <c r="R1093" s="23"/>
    </row>
    <row r="1094" spans="1:18" ht="12.75">
      <c r="A1094" s="22"/>
      <c r="D1094" s="19"/>
      <c r="H1094" s="18"/>
      <c r="J1094" s="18"/>
      <c r="N1094" s="16"/>
      <c r="O1094" s="17"/>
      <c r="P1094" s="17"/>
      <c r="Q1094" s="22"/>
      <c r="R1094" s="23"/>
    </row>
    <row r="1095" spans="1:18" ht="12.75">
      <c r="A1095" s="22"/>
      <c r="D1095" s="19"/>
      <c r="H1095" s="18"/>
      <c r="J1095" s="18"/>
      <c r="N1095" s="16"/>
      <c r="O1095" s="17"/>
      <c r="P1095" s="17"/>
      <c r="Q1095" s="22"/>
      <c r="R1095" s="23"/>
    </row>
    <row r="1096" spans="1:18" ht="12.75">
      <c r="A1096" s="22"/>
      <c r="D1096" s="19"/>
      <c r="H1096" s="18"/>
      <c r="J1096" s="18"/>
      <c r="N1096" s="16"/>
      <c r="O1096" s="17"/>
      <c r="P1096" s="17"/>
      <c r="Q1096" s="22"/>
      <c r="R1096" s="23"/>
    </row>
    <row r="1097" spans="1:18" ht="12.75">
      <c r="A1097" s="22"/>
      <c r="D1097" s="19"/>
      <c r="H1097" s="18"/>
      <c r="J1097" s="18"/>
      <c r="N1097" s="16"/>
      <c r="O1097" s="17"/>
      <c r="P1097" s="17"/>
      <c r="Q1097" s="22"/>
      <c r="R1097" s="23"/>
    </row>
    <row r="1098" spans="1:18" ht="12.75">
      <c r="A1098" s="22"/>
      <c r="D1098" s="19"/>
      <c r="H1098" s="18"/>
      <c r="J1098" s="18"/>
      <c r="N1098" s="16"/>
      <c r="O1098" s="17"/>
      <c r="P1098" s="17"/>
      <c r="Q1098" s="22"/>
      <c r="R1098" s="23"/>
    </row>
    <row r="1099" spans="1:18" ht="12.75">
      <c r="A1099" s="22"/>
      <c r="D1099" s="19"/>
      <c r="H1099" s="18"/>
      <c r="J1099" s="18"/>
      <c r="N1099" s="16"/>
      <c r="O1099" s="17"/>
      <c r="P1099" s="17"/>
      <c r="Q1099" s="22"/>
      <c r="R1099" s="23"/>
    </row>
    <row r="1100" spans="1:18" ht="12.75">
      <c r="A1100" s="22"/>
      <c r="D1100" s="19"/>
      <c r="H1100" s="18"/>
      <c r="J1100" s="18"/>
      <c r="N1100" s="16"/>
      <c r="O1100" s="17"/>
      <c r="P1100" s="17"/>
      <c r="Q1100" s="22"/>
      <c r="R1100" s="23"/>
    </row>
    <row r="1101" spans="1:18" ht="12.75">
      <c r="A1101" s="22"/>
      <c r="D1101" s="19"/>
      <c r="H1101" s="18"/>
      <c r="J1101" s="18"/>
      <c r="N1101" s="16"/>
      <c r="O1101" s="17"/>
      <c r="P1101" s="17"/>
      <c r="Q1101" s="22"/>
      <c r="R1101" s="23"/>
    </row>
    <row r="1102" spans="1:18" ht="12.75">
      <c r="A1102" s="22"/>
      <c r="D1102" s="19"/>
      <c r="H1102" s="18"/>
      <c r="J1102" s="18"/>
      <c r="N1102" s="16"/>
      <c r="O1102" s="17"/>
      <c r="P1102" s="17"/>
      <c r="Q1102" s="22"/>
      <c r="R1102" s="23"/>
    </row>
    <row r="1103" spans="1:18" ht="12.75">
      <c r="A1103" s="22"/>
      <c r="D1103" s="19"/>
      <c r="H1103" s="18"/>
      <c r="J1103" s="18"/>
      <c r="N1103" s="16"/>
      <c r="O1103" s="17"/>
      <c r="P1103" s="17"/>
      <c r="Q1103" s="22"/>
      <c r="R1103" s="23"/>
    </row>
    <row r="1104" spans="1:18" ht="12.75">
      <c r="A1104" s="22"/>
      <c r="D1104" s="19"/>
      <c r="H1104" s="18"/>
      <c r="J1104" s="18"/>
      <c r="N1104" s="16"/>
      <c r="O1104" s="17"/>
      <c r="P1104" s="17"/>
      <c r="Q1104" s="22"/>
      <c r="R1104" s="23"/>
    </row>
    <row r="1105" spans="1:18" ht="12.75">
      <c r="A1105" s="22"/>
      <c r="D1105" s="19"/>
      <c r="H1105" s="18"/>
      <c r="J1105" s="18"/>
      <c r="N1105" s="16"/>
      <c r="O1105" s="17"/>
      <c r="P1105" s="17"/>
      <c r="Q1105" s="22"/>
      <c r="R1105" s="23"/>
    </row>
    <row r="1106" spans="1:18" ht="12.75">
      <c r="A1106" s="22"/>
      <c r="D1106" s="19"/>
      <c r="H1106" s="18"/>
      <c r="J1106" s="18"/>
      <c r="N1106" s="16"/>
      <c r="O1106" s="17"/>
      <c r="P1106" s="17"/>
      <c r="Q1106" s="22"/>
      <c r="R1106" s="23"/>
    </row>
    <row r="1107" spans="1:18" ht="12.75">
      <c r="A1107" s="22"/>
      <c r="D1107" s="19"/>
      <c r="H1107" s="18"/>
      <c r="J1107" s="18"/>
      <c r="N1107" s="16"/>
      <c r="O1107" s="17"/>
      <c r="P1107" s="17"/>
      <c r="Q1107" s="22"/>
      <c r="R1107" s="23"/>
    </row>
    <row r="1108" spans="1:18" ht="12.75">
      <c r="A1108" s="22"/>
      <c r="D1108" s="19"/>
      <c r="H1108" s="18"/>
      <c r="J1108" s="18"/>
      <c r="N1108" s="16"/>
      <c r="O1108" s="17"/>
      <c r="P1108" s="17"/>
      <c r="Q1108" s="22"/>
      <c r="R1108" s="23"/>
    </row>
    <row r="1109" spans="1:18" ht="12.75">
      <c r="A1109" s="22"/>
      <c r="D1109" s="19"/>
      <c r="H1109" s="18"/>
      <c r="J1109" s="18"/>
      <c r="N1109" s="16"/>
      <c r="O1109" s="17"/>
      <c r="P1109" s="17"/>
      <c r="Q1109" s="22"/>
      <c r="R1109" s="23"/>
    </row>
    <row r="1110" spans="1:18" ht="12.75">
      <c r="A1110" s="22"/>
      <c r="D1110" s="19"/>
      <c r="H1110" s="18"/>
      <c r="J1110" s="18"/>
      <c r="N1110" s="16"/>
      <c r="O1110" s="17"/>
      <c r="P1110" s="17"/>
      <c r="Q1110" s="22"/>
      <c r="R1110" s="23"/>
    </row>
    <row r="1111" spans="1:18" ht="12.75">
      <c r="A1111" s="22"/>
      <c r="D1111" s="19"/>
      <c r="H1111" s="18"/>
      <c r="J1111" s="18"/>
      <c r="N1111" s="16"/>
      <c r="O1111" s="17"/>
      <c r="P1111" s="17"/>
      <c r="Q1111" s="22"/>
      <c r="R1111" s="23"/>
    </row>
    <row r="1112" spans="1:18" ht="12.75">
      <c r="A1112" s="22"/>
      <c r="D1112" s="19"/>
      <c r="H1112" s="18"/>
      <c r="J1112" s="18"/>
      <c r="N1112" s="16"/>
      <c r="O1112" s="17"/>
      <c r="P1112" s="17"/>
      <c r="Q1112" s="22"/>
      <c r="R1112" s="23"/>
    </row>
    <row r="1113" spans="1:18" ht="12.75">
      <c r="A1113" s="22"/>
      <c r="D1113" s="19"/>
      <c r="H1113" s="18"/>
      <c r="J1113" s="18"/>
      <c r="N1113" s="16"/>
      <c r="O1113" s="17"/>
      <c r="P1113" s="17"/>
      <c r="Q1113" s="22"/>
      <c r="R1113" s="23"/>
    </row>
    <row r="1114" spans="1:18" ht="12.75">
      <c r="A1114" s="22"/>
      <c r="D1114" s="19"/>
      <c r="H1114" s="18"/>
      <c r="J1114" s="18"/>
      <c r="N1114" s="16"/>
      <c r="O1114" s="17"/>
      <c r="P1114" s="17"/>
      <c r="Q1114" s="22"/>
      <c r="R1114" s="23"/>
    </row>
    <row r="1115" spans="1:18" ht="12.75">
      <c r="A1115" s="22"/>
      <c r="D1115" s="19"/>
      <c r="H1115" s="18"/>
      <c r="J1115" s="18"/>
      <c r="N1115" s="16"/>
      <c r="O1115" s="17"/>
      <c r="P1115" s="17"/>
      <c r="Q1115" s="22"/>
      <c r="R1115" s="23"/>
    </row>
    <row r="1116" spans="1:18" ht="12.75">
      <c r="A1116" s="22"/>
      <c r="D1116" s="19"/>
      <c r="H1116" s="18"/>
      <c r="J1116" s="18"/>
      <c r="N1116" s="16"/>
      <c r="O1116" s="17"/>
      <c r="P1116" s="17"/>
      <c r="Q1116" s="22"/>
      <c r="R1116" s="23"/>
    </row>
    <row r="1117" spans="1:18" ht="12.75">
      <c r="A1117" s="22"/>
      <c r="D1117" s="19"/>
      <c r="H1117" s="18"/>
      <c r="J1117" s="18"/>
      <c r="N1117" s="16"/>
      <c r="O1117" s="17"/>
      <c r="P1117" s="17"/>
      <c r="Q1117" s="22"/>
      <c r="R1117" s="23"/>
    </row>
    <row r="1118" spans="1:18" ht="12.75">
      <c r="A1118" s="22"/>
      <c r="D1118" s="19"/>
      <c r="H1118" s="18"/>
      <c r="J1118" s="18"/>
      <c r="N1118" s="16"/>
      <c r="O1118" s="17"/>
      <c r="P1118" s="17"/>
      <c r="Q1118" s="22"/>
      <c r="R1118" s="23"/>
    </row>
    <row r="1119" spans="1:18" ht="12.75">
      <c r="A1119" s="22"/>
      <c r="D1119" s="19"/>
      <c r="H1119" s="18"/>
      <c r="J1119" s="18"/>
      <c r="N1119" s="16"/>
      <c r="O1119" s="17"/>
      <c r="P1119" s="17"/>
      <c r="Q1119" s="22"/>
      <c r="R1119" s="23"/>
    </row>
    <row r="1120" spans="1:18" ht="12.75">
      <c r="A1120" s="22"/>
      <c r="D1120" s="19"/>
      <c r="H1120" s="18"/>
      <c r="J1120" s="18"/>
      <c r="N1120" s="16"/>
      <c r="O1120" s="17"/>
      <c r="P1120" s="17"/>
      <c r="Q1120" s="22"/>
      <c r="R1120" s="23"/>
    </row>
    <row r="1121" spans="1:18" ht="12.75">
      <c r="A1121" s="22"/>
      <c r="D1121" s="19"/>
      <c r="H1121" s="18"/>
      <c r="J1121" s="18"/>
      <c r="N1121" s="16"/>
      <c r="O1121" s="17"/>
      <c r="P1121" s="17"/>
      <c r="Q1121" s="22"/>
      <c r="R1121" s="23"/>
    </row>
    <row r="1122" spans="1:18" ht="12.75">
      <c r="A1122" s="22"/>
      <c r="D1122" s="19"/>
      <c r="H1122" s="18"/>
      <c r="J1122" s="18"/>
      <c r="N1122" s="16"/>
      <c r="O1122" s="17"/>
      <c r="P1122" s="17"/>
      <c r="Q1122" s="22"/>
      <c r="R1122" s="23"/>
    </row>
    <row r="1123" spans="1:18" ht="12.75">
      <c r="A1123" s="22"/>
      <c r="D1123" s="19"/>
      <c r="H1123" s="18"/>
      <c r="J1123" s="18"/>
      <c r="N1123" s="16"/>
      <c r="O1123" s="17"/>
      <c r="P1123" s="17"/>
      <c r="Q1123" s="22"/>
      <c r="R1123" s="23"/>
    </row>
    <row r="1124" spans="1:18" ht="12.75">
      <c r="A1124" s="22"/>
      <c r="D1124" s="19"/>
      <c r="H1124" s="18"/>
      <c r="J1124" s="18"/>
      <c r="N1124" s="16"/>
      <c r="O1124" s="17"/>
      <c r="P1124" s="17"/>
      <c r="Q1124" s="22"/>
      <c r="R1124" s="23"/>
    </row>
    <row r="1125" spans="1:18" ht="12.75">
      <c r="A1125" s="22"/>
      <c r="D1125" s="19"/>
      <c r="H1125" s="18"/>
      <c r="J1125" s="18"/>
      <c r="N1125" s="16"/>
      <c r="O1125" s="17"/>
      <c r="P1125" s="17"/>
      <c r="Q1125" s="22"/>
      <c r="R1125" s="23"/>
    </row>
    <row r="1126" spans="1:18" ht="12.75">
      <c r="A1126" s="22"/>
      <c r="D1126" s="19"/>
      <c r="H1126" s="18"/>
      <c r="J1126" s="18"/>
      <c r="N1126" s="16"/>
      <c r="O1126" s="17"/>
      <c r="P1126" s="17"/>
      <c r="Q1126" s="22"/>
      <c r="R1126" s="23"/>
    </row>
    <row r="1127" spans="1:18" ht="12.75">
      <c r="A1127" s="22"/>
      <c r="D1127" s="19"/>
      <c r="H1127" s="18"/>
      <c r="J1127" s="18"/>
      <c r="N1127" s="16"/>
      <c r="O1127" s="17"/>
      <c r="P1127" s="17"/>
      <c r="Q1127" s="22"/>
      <c r="R1127" s="23"/>
    </row>
    <row r="1128" spans="1:18" ht="12.75">
      <c r="A1128" s="22"/>
      <c r="D1128" s="19"/>
      <c r="H1128" s="18"/>
      <c r="J1128" s="18"/>
      <c r="N1128" s="16"/>
      <c r="O1128" s="17"/>
      <c r="P1128" s="17"/>
      <c r="Q1128" s="22"/>
      <c r="R1128" s="23"/>
    </row>
    <row r="1129" spans="1:18" ht="12.75">
      <c r="A1129" s="22"/>
      <c r="D1129" s="19"/>
      <c r="H1129" s="18"/>
      <c r="J1129" s="18"/>
      <c r="N1129" s="16"/>
      <c r="O1129" s="17"/>
      <c r="P1129" s="17"/>
      <c r="Q1129" s="22"/>
      <c r="R1129" s="23"/>
    </row>
    <row r="1130" spans="1:18" ht="12.75">
      <c r="A1130" s="22"/>
      <c r="D1130" s="19"/>
      <c r="H1130" s="18"/>
      <c r="J1130" s="18"/>
      <c r="N1130" s="16"/>
      <c r="O1130" s="17"/>
      <c r="P1130" s="17"/>
      <c r="Q1130" s="22"/>
      <c r="R1130" s="23"/>
    </row>
    <row r="1131" spans="1:18" ht="12.75">
      <c r="A1131" s="22"/>
      <c r="D1131" s="19"/>
      <c r="H1131" s="18"/>
      <c r="J1131" s="18"/>
      <c r="N1131" s="16"/>
      <c r="O1131" s="17"/>
      <c r="P1131" s="17"/>
      <c r="Q1131" s="22"/>
      <c r="R1131" s="23"/>
    </row>
    <row r="1132" spans="1:18" ht="12.75">
      <c r="A1132" s="22"/>
      <c r="D1132" s="19"/>
      <c r="H1132" s="18"/>
      <c r="J1132" s="18"/>
      <c r="N1132" s="16"/>
      <c r="O1132" s="17"/>
      <c r="P1132" s="17"/>
      <c r="Q1132" s="22"/>
      <c r="R1132" s="23"/>
    </row>
    <row r="1133" spans="1:18" ht="12.75">
      <c r="A1133" s="22"/>
      <c r="D1133" s="19"/>
      <c r="H1133" s="18"/>
      <c r="J1133" s="18"/>
      <c r="N1133" s="16"/>
      <c r="O1133" s="17"/>
      <c r="P1133" s="17"/>
      <c r="Q1133" s="22"/>
      <c r="R1133" s="23"/>
    </row>
    <row r="1134" spans="1:18" ht="12.75">
      <c r="A1134" s="22"/>
      <c r="D1134" s="19"/>
      <c r="H1134" s="18"/>
      <c r="J1134" s="18"/>
      <c r="N1134" s="16"/>
      <c r="O1134" s="17"/>
      <c r="P1134" s="17"/>
      <c r="Q1134" s="22"/>
      <c r="R1134" s="23"/>
    </row>
    <row r="1135" spans="1:18" ht="12.75">
      <c r="A1135" s="22"/>
      <c r="D1135" s="19"/>
      <c r="H1135" s="18"/>
      <c r="J1135" s="18"/>
      <c r="N1135" s="16"/>
      <c r="O1135" s="17"/>
      <c r="P1135" s="17"/>
      <c r="Q1135" s="22"/>
      <c r="R1135" s="23"/>
    </row>
    <row r="1136" spans="1:18" ht="12.75">
      <c r="A1136" s="22"/>
      <c r="D1136" s="19"/>
      <c r="H1136" s="18"/>
      <c r="J1136" s="18"/>
      <c r="N1136" s="16"/>
      <c r="O1136" s="17"/>
      <c r="P1136" s="17"/>
      <c r="Q1136" s="22"/>
      <c r="R1136" s="23"/>
    </row>
    <row r="1137" spans="1:18" ht="12.75">
      <c r="A1137" s="22"/>
      <c r="D1137" s="19"/>
      <c r="H1137" s="18"/>
      <c r="J1137" s="18"/>
      <c r="N1137" s="16"/>
      <c r="O1137" s="17"/>
      <c r="P1137" s="17"/>
      <c r="Q1137" s="22"/>
      <c r="R1137" s="23"/>
    </row>
    <row r="1138" spans="1:18" ht="12.75">
      <c r="A1138" s="22"/>
      <c r="D1138" s="19"/>
      <c r="H1138" s="18"/>
      <c r="J1138" s="18"/>
      <c r="N1138" s="16"/>
      <c r="O1138" s="17"/>
      <c r="P1138" s="17"/>
      <c r="Q1138" s="22"/>
      <c r="R1138" s="23"/>
    </row>
    <row r="1139" spans="1:18" ht="12.75">
      <c r="A1139" s="22"/>
      <c r="D1139" s="19"/>
      <c r="H1139" s="18"/>
      <c r="J1139" s="18"/>
      <c r="N1139" s="16"/>
      <c r="O1139" s="17"/>
      <c r="P1139" s="17"/>
      <c r="Q1139" s="22"/>
      <c r="R1139" s="23"/>
    </row>
    <row r="1140" spans="1:18" ht="12.75">
      <c r="A1140" s="22"/>
      <c r="D1140" s="19"/>
      <c r="H1140" s="18"/>
      <c r="J1140" s="18"/>
      <c r="N1140" s="16"/>
      <c r="O1140" s="17"/>
      <c r="P1140" s="17"/>
      <c r="Q1140" s="22"/>
      <c r="R1140" s="23"/>
    </row>
    <row r="1141" spans="1:18" ht="12.75">
      <c r="A1141" s="22"/>
      <c r="D1141" s="19"/>
      <c r="H1141" s="18"/>
      <c r="J1141" s="18"/>
      <c r="N1141" s="16"/>
      <c r="O1141" s="17"/>
      <c r="P1141" s="17"/>
      <c r="Q1141" s="22"/>
      <c r="R1141" s="23"/>
    </row>
    <row r="1142" spans="1:18" ht="12.75">
      <c r="A1142" s="22"/>
      <c r="D1142" s="19"/>
      <c r="H1142" s="18"/>
      <c r="J1142" s="18"/>
      <c r="N1142" s="16"/>
      <c r="O1142" s="17"/>
      <c r="P1142" s="17"/>
      <c r="Q1142" s="22"/>
      <c r="R1142" s="23"/>
    </row>
    <row r="1143" spans="1:18" ht="12.75">
      <c r="A1143" s="22"/>
      <c r="D1143" s="19"/>
      <c r="H1143" s="18"/>
      <c r="J1143" s="18"/>
      <c r="N1143" s="16"/>
      <c r="O1143" s="17"/>
      <c r="P1143" s="17"/>
      <c r="Q1143" s="22"/>
      <c r="R1143" s="23"/>
    </row>
    <row r="1144" spans="1:18" ht="12.75">
      <c r="A1144" s="22"/>
      <c r="D1144" s="19"/>
      <c r="H1144" s="18"/>
      <c r="J1144" s="18"/>
      <c r="N1144" s="16"/>
      <c r="O1144" s="17"/>
      <c r="P1144" s="17"/>
      <c r="Q1144" s="22"/>
      <c r="R1144" s="23"/>
    </row>
    <row r="1145" spans="1:18" ht="12.75">
      <c r="A1145" s="22"/>
      <c r="D1145" s="19"/>
      <c r="H1145" s="18"/>
      <c r="J1145" s="18"/>
      <c r="N1145" s="16"/>
      <c r="O1145" s="17"/>
      <c r="P1145" s="17"/>
      <c r="Q1145" s="22"/>
      <c r="R1145" s="23"/>
    </row>
    <row r="1146" spans="1:18" ht="12.75">
      <c r="A1146" s="22"/>
      <c r="D1146" s="19"/>
      <c r="H1146" s="18"/>
      <c r="J1146" s="18"/>
      <c r="N1146" s="16"/>
      <c r="O1146" s="17"/>
      <c r="P1146" s="17"/>
      <c r="Q1146" s="22"/>
      <c r="R1146" s="23"/>
    </row>
    <row r="1147" spans="1:18" ht="12.75">
      <c r="A1147" s="22"/>
      <c r="D1147" s="19"/>
      <c r="H1147" s="18"/>
      <c r="J1147" s="18"/>
      <c r="N1147" s="16"/>
      <c r="O1147" s="17"/>
      <c r="P1147" s="17"/>
      <c r="Q1147" s="22"/>
      <c r="R1147" s="23"/>
    </row>
    <row r="1148" spans="1:18" ht="12.75">
      <c r="A1148" s="22"/>
      <c r="D1148" s="19"/>
      <c r="H1148" s="18"/>
      <c r="J1148" s="18"/>
      <c r="N1148" s="16"/>
      <c r="O1148" s="17"/>
      <c r="P1148" s="17"/>
      <c r="Q1148" s="22"/>
      <c r="R1148" s="23"/>
    </row>
    <row r="1149" spans="1:18" ht="12.75">
      <c r="A1149" s="22"/>
      <c r="D1149" s="19"/>
      <c r="H1149" s="18"/>
      <c r="J1149" s="18"/>
      <c r="N1149" s="16"/>
      <c r="O1149" s="17"/>
      <c r="P1149" s="17"/>
      <c r="Q1149" s="22"/>
      <c r="R1149" s="23"/>
    </row>
    <row r="1150" spans="1:18" ht="12.75">
      <c r="A1150" s="22"/>
      <c r="D1150" s="19"/>
      <c r="H1150" s="18"/>
      <c r="J1150" s="18"/>
      <c r="N1150" s="16"/>
      <c r="O1150" s="17"/>
      <c r="P1150" s="17"/>
      <c r="Q1150" s="22"/>
      <c r="R1150" s="23"/>
    </row>
    <row r="1151" spans="1:18" ht="12.75">
      <c r="A1151" s="22"/>
      <c r="D1151" s="19"/>
      <c r="H1151" s="18"/>
      <c r="J1151" s="18"/>
      <c r="N1151" s="16"/>
      <c r="O1151" s="17"/>
      <c r="P1151" s="17"/>
      <c r="Q1151" s="22"/>
      <c r="R1151" s="23"/>
    </row>
    <row r="1152" spans="1:18" ht="12.75">
      <c r="A1152" s="22"/>
      <c r="D1152" s="19"/>
      <c r="H1152" s="18"/>
      <c r="J1152" s="18"/>
      <c r="N1152" s="16"/>
      <c r="O1152" s="17"/>
      <c r="P1152" s="17"/>
      <c r="Q1152" s="22"/>
      <c r="R1152" s="23"/>
    </row>
    <row r="1153" spans="1:18" ht="12.75">
      <c r="A1153" s="22"/>
      <c r="D1153" s="19"/>
      <c r="H1153" s="18"/>
      <c r="J1153" s="18"/>
      <c r="N1153" s="16"/>
      <c r="O1153" s="17"/>
      <c r="P1153" s="17"/>
      <c r="Q1153" s="22"/>
      <c r="R1153" s="23"/>
    </row>
    <row r="1154" spans="1:18" ht="12.75">
      <c r="A1154" s="22"/>
      <c r="D1154" s="19"/>
      <c r="H1154" s="18"/>
      <c r="J1154" s="18"/>
      <c r="N1154" s="16"/>
      <c r="O1154" s="17"/>
      <c r="P1154" s="17"/>
      <c r="Q1154" s="22"/>
      <c r="R1154" s="23"/>
    </row>
    <row r="1155" spans="1:18" ht="12.75">
      <c r="A1155" s="22"/>
      <c r="D1155" s="19"/>
      <c r="H1155" s="18"/>
      <c r="J1155" s="18"/>
      <c r="N1155" s="16"/>
      <c r="O1155" s="17"/>
      <c r="P1155" s="17"/>
      <c r="Q1155" s="22"/>
      <c r="R1155" s="23"/>
    </row>
    <row r="1156" spans="1:18" ht="12.75">
      <c r="A1156" s="22"/>
      <c r="D1156" s="19"/>
      <c r="H1156" s="18"/>
      <c r="J1156" s="18"/>
      <c r="N1156" s="16"/>
      <c r="O1156" s="17"/>
      <c r="P1156" s="17"/>
      <c r="Q1156" s="22"/>
      <c r="R1156" s="23"/>
    </row>
    <row r="1157" spans="1:18" ht="12.75">
      <c r="A1157" s="22"/>
      <c r="D1157" s="19"/>
      <c r="H1157" s="18"/>
      <c r="J1157" s="18"/>
      <c r="N1157" s="16"/>
      <c r="O1157" s="17"/>
      <c r="P1157" s="17"/>
      <c r="Q1157" s="22"/>
      <c r="R1157" s="23"/>
    </row>
    <row r="1158" spans="1:18" ht="12.75">
      <c r="A1158" s="22"/>
      <c r="D1158" s="19"/>
      <c r="H1158" s="18"/>
      <c r="J1158" s="18"/>
      <c r="N1158" s="16"/>
      <c r="O1158" s="17"/>
      <c r="P1158" s="17"/>
      <c r="Q1158" s="22"/>
      <c r="R1158" s="23"/>
    </row>
    <row r="1159" spans="1:18" ht="12.75">
      <c r="A1159" s="22"/>
      <c r="D1159" s="19"/>
      <c r="H1159" s="18"/>
      <c r="J1159" s="18"/>
      <c r="N1159" s="16"/>
      <c r="O1159" s="17"/>
      <c r="P1159" s="17"/>
      <c r="Q1159" s="22"/>
      <c r="R1159" s="23"/>
    </row>
    <row r="1160" spans="1:18" ht="12.75">
      <c r="A1160" s="22"/>
      <c r="D1160" s="19"/>
      <c r="H1160" s="18"/>
      <c r="J1160" s="18"/>
      <c r="N1160" s="16"/>
      <c r="O1160" s="17"/>
      <c r="P1160" s="17"/>
      <c r="Q1160" s="22"/>
      <c r="R1160" s="23"/>
    </row>
    <row r="1161" spans="1:18" ht="12.75">
      <c r="A1161" s="22"/>
      <c r="D1161" s="19"/>
      <c r="H1161" s="18"/>
      <c r="J1161" s="18"/>
      <c r="N1161" s="16"/>
      <c r="O1161" s="17"/>
      <c r="P1161" s="17"/>
      <c r="Q1161" s="22"/>
      <c r="R1161" s="23"/>
    </row>
    <row r="1162" spans="1:18" ht="12.75">
      <c r="A1162" s="22"/>
      <c r="D1162" s="19"/>
      <c r="H1162" s="18"/>
      <c r="J1162" s="18"/>
      <c r="N1162" s="16"/>
      <c r="O1162" s="17"/>
      <c r="P1162" s="17"/>
      <c r="Q1162" s="22"/>
      <c r="R1162" s="23"/>
    </row>
    <row r="1163" spans="1:18" ht="12.75">
      <c r="A1163" s="22"/>
      <c r="D1163" s="19"/>
      <c r="H1163" s="18"/>
      <c r="J1163" s="18"/>
      <c r="N1163" s="16"/>
      <c r="O1163" s="17"/>
      <c r="P1163" s="17"/>
      <c r="Q1163" s="22"/>
      <c r="R1163" s="23"/>
    </row>
    <row r="1164" spans="1:18" ht="12.75">
      <c r="A1164" s="22"/>
      <c r="D1164" s="19"/>
      <c r="H1164" s="18"/>
      <c r="J1164" s="18"/>
      <c r="N1164" s="16"/>
      <c r="O1164" s="17"/>
      <c r="P1164" s="17"/>
      <c r="Q1164" s="22"/>
      <c r="R1164" s="23"/>
    </row>
    <row r="1165" spans="1:18" ht="12.75">
      <c r="A1165" s="22"/>
      <c r="D1165" s="19"/>
      <c r="H1165" s="18"/>
      <c r="J1165" s="18"/>
      <c r="N1165" s="16"/>
      <c r="O1165" s="17"/>
      <c r="P1165" s="17"/>
      <c r="Q1165" s="22"/>
      <c r="R1165" s="23"/>
    </row>
    <row r="1166" spans="1:18" ht="12.75">
      <c r="A1166" s="22"/>
      <c r="D1166" s="19"/>
      <c r="H1166" s="18"/>
      <c r="J1166" s="18"/>
      <c r="N1166" s="16"/>
      <c r="O1166" s="17"/>
      <c r="P1166" s="17"/>
      <c r="Q1166" s="22"/>
      <c r="R1166" s="23"/>
    </row>
    <row r="1167" spans="1:18" ht="12.75">
      <c r="A1167" s="22"/>
      <c r="D1167" s="19"/>
      <c r="H1167" s="18"/>
      <c r="J1167" s="18"/>
      <c r="N1167" s="16"/>
      <c r="O1167" s="17"/>
      <c r="P1167" s="17"/>
      <c r="Q1167" s="22"/>
      <c r="R1167" s="23"/>
    </row>
    <row r="1168" spans="1:18" ht="12.75">
      <c r="A1168" s="22"/>
      <c r="D1168" s="19"/>
      <c r="H1168" s="18"/>
      <c r="J1168" s="18"/>
      <c r="N1168" s="16"/>
      <c r="O1168" s="17"/>
      <c r="P1168" s="17"/>
      <c r="Q1168" s="22"/>
      <c r="R1168" s="23"/>
    </row>
    <row r="1169" spans="1:18" ht="12.75">
      <c r="A1169" s="22"/>
      <c r="D1169" s="19"/>
      <c r="H1169" s="18"/>
      <c r="J1169" s="18"/>
      <c r="N1169" s="16"/>
      <c r="O1169" s="17"/>
      <c r="P1169" s="17"/>
      <c r="Q1169" s="22"/>
      <c r="R1169" s="23"/>
    </row>
    <row r="1170" spans="1:18" ht="12.75">
      <c r="A1170" s="22"/>
      <c r="D1170" s="19"/>
      <c r="H1170" s="18"/>
      <c r="J1170" s="18"/>
      <c r="N1170" s="16"/>
      <c r="O1170" s="17"/>
      <c r="P1170" s="17"/>
      <c r="Q1170" s="22"/>
      <c r="R1170" s="23"/>
    </row>
    <row r="1171" spans="1:18" ht="12.75">
      <c r="A1171" s="22"/>
      <c r="D1171" s="19"/>
      <c r="H1171" s="18"/>
      <c r="J1171" s="18"/>
      <c r="N1171" s="16"/>
      <c r="O1171" s="17"/>
      <c r="P1171" s="17"/>
      <c r="Q1171" s="22"/>
      <c r="R1171" s="23"/>
    </row>
    <row r="1172" spans="1:18" ht="12.75">
      <c r="A1172" s="22"/>
      <c r="D1172" s="19"/>
      <c r="H1172" s="18"/>
      <c r="J1172" s="18"/>
      <c r="N1172" s="16"/>
      <c r="O1172" s="17"/>
      <c r="P1172" s="17"/>
      <c r="Q1172" s="22"/>
      <c r="R1172" s="23"/>
    </row>
    <row r="1173" spans="1:18" ht="12.75">
      <c r="A1173" s="22"/>
      <c r="D1173" s="19"/>
      <c r="H1173" s="18"/>
      <c r="J1173" s="18"/>
      <c r="N1173" s="16"/>
      <c r="O1173" s="17"/>
      <c r="P1173" s="17"/>
      <c r="Q1173" s="22"/>
      <c r="R1173" s="23"/>
    </row>
    <row r="1174" spans="1:18" ht="12.75">
      <c r="A1174" s="22"/>
      <c r="D1174" s="19"/>
      <c r="H1174" s="18"/>
      <c r="J1174" s="18"/>
      <c r="N1174" s="16"/>
      <c r="O1174" s="17"/>
      <c r="P1174" s="17"/>
      <c r="Q1174" s="22"/>
      <c r="R1174" s="23"/>
    </row>
    <row r="1175" spans="1:18" ht="12.75">
      <c r="A1175" s="22"/>
      <c r="D1175" s="19"/>
      <c r="H1175" s="18"/>
      <c r="J1175" s="18"/>
      <c r="N1175" s="16"/>
      <c r="O1175" s="17"/>
      <c r="P1175" s="17"/>
      <c r="Q1175" s="22"/>
      <c r="R1175" s="23"/>
    </row>
    <row r="1176" spans="1:18" ht="12.75">
      <c r="A1176" s="22"/>
      <c r="D1176" s="19"/>
      <c r="H1176" s="18"/>
      <c r="J1176" s="18"/>
      <c r="N1176" s="16"/>
      <c r="O1176" s="17"/>
      <c r="P1176" s="17"/>
      <c r="Q1176" s="22"/>
      <c r="R1176" s="23"/>
    </row>
    <row r="1177" spans="1:18" ht="12.75">
      <c r="A1177" s="22"/>
      <c r="D1177" s="19"/>
      <c r="H1177" s="18"/>
      <c r="J1177" s="18"/>
      <c r="N1177" s="16"/>
      <c r="O1177" s="17"/>
      <c r="P1177" s="17"/>
      <c r="Q1177" s="22"/>
      <c r="R1177" s="23"/>
    </row>
    <row r="1178" spans="1:18" ht="12.75">
      <c r="A1178" s="22"/>
      <c r="D1178" s="19"/>
      <c r="H1178" s="18"/>
      <c r="J1178" s="18"/>
      <c r="N1178" s="16"/>
      <c r="O1178" s="17"/>
      <c r="P1178" s="17"/>
      <c r="Q1178" s="22"/>
      <c r="R1178" s="23"/>
    </row>
    <row r="1179" spans="1:18" ht="12.75">
      <c r="A1179" s="22"/>
      <c r="D1179" s="19"/>
      <c r="H1179" s="18"/>
      <c r="J1179" s="18"/>
      <c r="N1179" s="16"/>
      <c r="O1179" s="17"/>
      <c r="P1179" s="17"/>
      <c r="Q1179" s="22"/>
      <c r="R1179" s="23"/>
    </row>
    <row r="1180" spans="1:18" ht="12.75">
      <c r="A1180" s="22"/>
      <c r="D1180" s="19"/>
      <c r="H1180" s="18"/>
      <c r="J1180" s="18"/>
      <c r="N1180" s="16"/>
      <c r="O1180" s="17"/>
      <c r="P1180" s="17"/>
      <c r="Q1180" s="22"/>
      <c r="R1180" s="23"/>
    </row>
    <row r="1181" spans="1:18" ht="12.75">
      <c r="A1181" s="22"/>
      <c r="D1181" s="19"/>
      <c r="H1181" s="18"/>
      <c r="J1181" s="18"/>
      <c r="N1181" s="16"/>
      <c r="O1181" s="17"/>
      <c r="P1181" s="17"/>
      <c r="Q1181" s="22"/>
      <c r="R1181" s="23"/>
    </row>
    <row r="1182" spans="1:18" ht="12.75">
      <c r="A1182" s="22"/>
      <c r="D1182" s="19"/>
      <c r="H1182" s="18"/>
      <c r="J1182" s="18"/>
      <c r="N1182" s="16"/>
      <c r="O1182" s="17"/>
      <c r="P1182" s="17"/>
      <c r="Q1182" s="22"/>
      <c r="R1182" s="23"/>
    </row>
    <row r="1183" spans="1:18" ht="12.75">
      <c r="A1183" s="22"/>
      <c r="D1183" s="19"/>
      <c r="H1183" s="18"/>
      <c r="J1183" s="18"/>
      <c r="N1183" s="16"/>
      <c r="O1183" s="17"/>
      <c r="P1183" s="17"/>
      <c r="Q1183" s="22"/>
      <c r="R1183" s="23"/>
    </row>
    <row r="1184" spans="1:18" ht="12.75">
      <c r="A1184" s="22"/>
      <c r="D1184" s="19"/>
      <c r="H1184" s="18"/>
      <c r="J1184" s="18"/>
      <c r="N1184" s="16"/>
      <c r="O1184" s="17"/>
      <c r="P1184" s="17"/>
      <c r="Q1184" s="22"/>
      <c r="R1184" s="23"/>
    </row>
    <row r="1185" spans="1:18" ht="12.75">
      <c r="A1185" s="22"/>
      <c r="D1185" s="19"/>
      <c r="H1185" s="18"/>
      <c r="J1185" s="18"/>
      <c r="N1185" s="16"/>
      <c r="O1185" s="17"/>
      <c r="P1185" s="17"/>
      <c r="Q1185" s="22"/>
      <c r="R1185" s="23"/>
    </row>
    <row r="1186" spans="1:18" ht="12.75">
      <c r="A1186" s="22"/>
      <c r="D1186" s="19"/>
      <c r="H1186" s="18"/>
      <c r="J1186" s="18"/>
      <c r="N1186" s="16"/>
      <c r="O1186" s="17"/>
      <c r="P1186" s="17"/>
      <c r="Q1186" s="22"/>
      <c r="R1186" s="23"/>
    </row>
    <row r="1187" spans="1:18" ht="12.75">
      <c r="A1187" s="22"/>
      <c r="D1187" s="19"/>
      <c r="H1187" s="18"/>
      <c r="J1187" s="18"/>
      <c r="N1187" s="16"/>
      <c r="O1187" s="17"/>
      <c r="P1187" s="17"/>
      <c r="Q1187" s="22"/>
      <c r="R1187" s="23"/>
    </row>
    <row r="1188" spans="1:18" ht="12.75">
      <c r="A1188" s="22"/>
      <c r="D1188" s="19"/>
      <c r="H1188" s="18"/>
      <c r="J1188" s="18"/>
      <c r="N1188" s="16"/>
      <c r="O1188" s="17"/>
      <c r="P1188" s="17"/>
      <c r="Q1188" s="22"/>
      <c r="R1188" s="23"/>
    </row>
    <row r="1189" spans="1:18" ht="12.75">
      <c r="A1189" s="22"/>
      <c r="D1189" s="19"/>
      <c r="H1189" s="18"/>
      <c r="J1189" s="18"/>
      <c r="N1189" s="16"/>
      <c r="O1189" s="17"/>
      <c r="P1189" s="17"/>
      <c r="Q1189" s="22"/>
      <c r="R1189" s="23"/>
    </row>
    <row r="1190" spans="1:18" ht="12.75">
      <c r="A1190" s="22"/>
      <c r="D1190" s="19"/>
      <c r="H1190" s="18"/>
      <c r="J1190" s="18"/>
      <c r="N1190" s="16"/>
      <c r="O1190" s="17"/>
      <c r="P1190" s="17"/>
      <c r="Q1190" s="22"/>
      <c r="R1190" s="23"/>
    </row>
    <row r="1191" spans="1:18" ht="12.75">
      <c r="A1191" s="22"/>
      <c r="D1191" s="19"/>
      <c r="H1191" s="18"/>
      <c r="J1191" s="18"/>
      <c r="N1191" s="16"/>
      <c r="O1191" s="17"/>
      <c r="P1191" s="17"/>
      <c r="Q1191" s="22"/>
      <c r="R1191" s="23"/>
    </row>
    <row r="1192" spans="1:18" ht="12.75">
      <c r="A1192" s="22"/>
      <c r="D1192" s="19"/>
      <c r="H1192" s="18"/>
      <c r="J1192" s="18"/>
      <c r="N1192" s="16"/>
      <c r="O1192" s="17"/>
      <c r="P1192" s="17"/>
      <c r="Q1192" s="22"/>
      <c r="R1192" s="23"/>
    </row>
    <row r="1193" spans="1:18" ht="12.75">
      <c r="A1193" s="22"/>
      <c r="D1193" s="19"/>
      <c r="H1193" s="18"/>
      <c r="J1193" s="18"/>
      <c r="N1193" s="16"/>
      <c r="O1193" s="17"/>
      <c r="P1193" s="17"/>
      <c r="Q1193" s="22"/>
      <c r="R1193" s="23"/>
    </row>
    <row r="1194" spans="1:18" ht="12.75">
      <c r="A1194" s="22"/>
      <c r="D1194" s="19"/>
      <c r="H1194" s="18"/>
      <c r="J1194" s="18"/>
      <c r="N1194" s="16"/>
      <c r="O1194" s="17"/>
      <c r="P1194" s="17"/>
      <c r="Q1194" s="22"/>
      <c r="R1194" s="23"/>
    </row>
    <row r="1195" spans="1:18" ht="12.75">
      <c r="A1195" s="22"/>
      <c r="D1195" s="19"/>
      <c r="H1195" s="18"/>
      <c r="J1195" s="18"/>
      <c r="N1195" s="16"/>
      <c r="O1195" s="17"/>
      <c r="P1195" s="17"/>
      <c r="Q1195" s="22"/>
      <c r="R1195" s="23"/>
    </row>
    <row r="1196" spans="1:18" ht="12.75">
      <c r="A1196" s="22"/>
      <c r="D1196" s="19"/>
      <c r="H1196" s="18"/>
      <c r="J1196" s="18"/>
      <c r="N1196" s="16"/>
      <c r="O1196" s="17"/>
      <c r="P1196" s="17"/>
      <c r="Q1196" s="22"/>
      <c r="R1196" s="23"/>
    </row>
    <row r="1197" spans="1:18" ht="12.75">
      <c r="A1197" s="22"/>
      <c r="D1197" s="19"/>
      <c r="H1197" s="18"/>
      <c r="J1197" s="18"/>
      <c r="N1197" s="16"/>
      <c r="O1197" s="17"/>
      <c r="P1197" s="17"/>
      <c r="Q1197" s="22"/>
      <c r="R1197" s="23"/>
    </row>
    <row r="1198" spans="1:18" ht="12.75">
      <c r="A1198" s="22"/>
      <c r="D1198" s="19"/>
      <c r="H1198" s="18"/>
      <c r="J1198" s="18"/>
      <c r="N1198" s="16"/>
      <c r="O1198" s="17"/>
      <c r="P1198" s="17"/>
      <c r="Q1198" s="22"/>
      <c r="R1198" s="23"/>
    </row>
    <row r="1199" spans="1:18" ht="12.75">
      <c r="A1199" s="22"/>
      <c r="D1199" s="19"/>
      <c r="H1199" s="18"/>
      <c r="J1199" s="18"/>
      <c r="N1199" s="16"/>
      <c r="O1199" s="17"/>
      <c r="P1199" s="17"/>
      <c r="Q1199" s="22"/>
      <c r="R1199" s="23"/>
    </row>
    <row r="1200" spans="1:18" ht="12.75">
      <c r="A1200" s="22"/>
      <c r="D1200" s="19"/>
      <c r="H1200" s="18"/>
      <c r="J1200" s="18"/>
      <c r="N1200" s="16"/>
      <c r="O1200" s="17"/>
      <c r="P1200" s="17"/>
      <c r="Q1200" s="22"/>
      <c r="R1200" s="23"/>
    </row>
    <row r="1201" spans="1:18" ht="12.75">
      <c r="A1201" s="22"/>
      <c r="D1201" s="19"/>
      <c r="H1201" s="18"/>
      <c r="J1201" s="18"/>
      <c r="N1201" s="16"/>
      <c r="O1201" s="17"/>
      <c r="P1201" s="17"/>
      <c r="Q1201" s="22"/>
      <c r="R1201" s="23"/>
    </row>
    <row r="1202" spans="1:18" ht="12.75">
      <c r="A1202" s="22"/>
      <c r="D1202" s="19"/>
      <c r="H1202" s="18"/>
      <c r="J1202" s="18"/>
      <c r="N1202" s="16"/>
      <c r="O1202" s="17"/>
      <c r="P1202" s="17"/>
      <c r="Q1202" s="22"/>
      <c r="R1202" s="23"/>
    </row>
    <row r="1203" spans="1:18" ht="12.75">
      <c r="A1203" s="22"/>
      <c r="D1203" s="19"/>
      <c r="H1203" s="18"/>
      <c r="J1203" s="18"/>
      <c r="N1203" s="16"/>
      <c r="O1203" s="17"/>
      <c r="P1203" s="17"/>
      <c r="Q1203" s="22"/>
      <c r="R1203" s="23"/>
    </row>
    <row r="1204" spans="1:18" ht="12.75">
      <c r="A1204" s="22"/>
      <c r="D1204" s="19"/>
      <c r="H1204" s="18"/>
      <c r="J1204" s="18"/>
      <c r="N1204" s="16"/>
      <c r="O1204" s="17"/>
      <c r="P1204" s="17"/>
      <c r="Q1204" s="22"/>
      <c r="R1204" s="23"/>
    </row>
    <row r="1205" spans="1:18" ht="12.75">
      <c r="A1205" s="22"/>
      <c r="D1205" s="19"/>
      <c r="H1205" s="18"/>
      <c r="J1205" s="18"/>
      <c r="N1205" s="16"/>
      <c r="O1205" s="17"/>
      <c r="P1205" s="17"/>
      <c r="Q1205" s="22"/>
      <c r="R1205" s="23"/>
    </row>
    <row r="1206" spans="1:18" ht="12.75">
      <c r="A1206" s="22"/>
      <c r="D1206" s="19"/>
      <c r="H1206" s="18"/>
      <c r="J1206" s="18"/>
      <c r="N1206" s="16"/>
      <c r="O1206" s="17"/>
      <c r="P1206" s="17"/>
      <c r="Q1206" s="22"/>
      <c r="R1206" s="23"/>
    </row>
    <row r="1207" spans="1:18" ht="12.75">
      <c r="A1207" s="22"/>
      <c r="D1207" s="19"/>
      <c r="H1207" s="18"/>
      <c r="J1207" s="18"/>
      <c r="N1207" s="16"/>
      <c r="O1207" s="17"/>
      <c r="P1207" s="17"/>
      <c r="Q1207" s="22"/>
      <c r="R1207" s="23"/>
    </row>
    <row r="1208" spans="1:18" ht="12.75">
      <c r="A1208" s="22"/>
      <c r="D1208" s="19"/>
      <c r="H1208" s="18"/>
      <c r="J1208" s="18"/>
      <c r="N1208" s="16"/>
      <c r="O1208" s="17"/>
      <c r="P1208" s="17"/>
      <c r="Q1208" s="22"/>
      <c r="R1208" s="23"/>
    </row>
    <row r="1209" spans="1:18" ht="12.75">
      <c r="A1209" s="22"/>
      <c r="D1209" s="19"/>
      <c r="H1209" s="18"/>
      <c r="J1209" s="18"/>
      <c r="N1209" s="16"/>
      <c r="O1209" s="17"/>
      <c r="P1209" s="17"/>
      <c r="Q1209" s="22"/>
      <c r="R1209" s="23"/>
    </row>
    <row r="1210" spans="1:18" ht="12.75">
      <c r="A1210" s="22"/>
      <c r="D1210" s="19"/>
      <c r="H1210" s="18"/>
      <c r="J1210" s="18"/>
      <c r="N1210" s="16"/>
      <c r="O1210" s="17"/>
      <c r="P1210" s="17"/>
      <c r="Q1210" s="22"/>
      <c r="R1210" s="23"/>
    </row>
    <row r="1211" spans="1:18" ht="12.75">
      <c r="A1211" s="22"/>
      <c r="D1211" s="19"/>
      <c r="H1211" s="18"/>
      <c r="J1211" s="18"/>
      <c r="N1211" s="16"/>
      <c r="O1211" s="17"/>
      <c r="P1211" s="17"/>
      <c r="Q1211" s="22"/>
      <c r="R1211" s="23"/>
    </row>
    <row r="1212" spans="1:18" ht="12.75">
      <c r="A1212" s="22"/>
      <c r="D1212" s="19"/>
      <c r="H1212" s="18"/>
      <c r="J1212" s="18"/>
      <c r="N1212" s="16"/>
      <c r="O1212" s="17"/>
      <c r="P1212" s="17"/>
      <c r="Q1212" s="22"/>
      <c r="R1212" s="23"/>
    </row>
    <row r="1213" spans="1:18" ht="12.75">
      <c r="A1213" s="22"/>
      <c r="D1213" s="19"/>
      <c r="H1213" s="18"/>
      <c r="J1213" s="18"/>
      <c r="N1213" s="16"/>
      <c r="O1213" s="17"/>
      <c r="P1213" s="17"/>
      <c r="Q1213" s="22"/>
      <c r="R1213" s="23"/>
    </row>
    <row r="1214" spans="1:18" ht="12.75">
      <c r="A1214" s="22"/>
      <c r="D1214" s="19"/>
      <c r="H1214" s="18"/>
      <c r="J1214" s="18"/>
      <c r="N1214" s="16"/>
      <c r="O1214" s="17"/>
      <c r="P1214" s="17"/>
      <c r="Q1214" s="22"/>
      <c r="R1214" s="23"/>
    </row>
    <row r="1215" spans="1:18" ht="12.75">
      <c r="A1215" s="22"/>
      <c r="D1215" s="19"/>
      <c r="H1215" s="18"/>
      <c r="J1215" s="18"/>
      <c r="N1215" s="16"/>
      <c r="O1215" s="17"/>
      <c r="P1215" s="17"/>
      <c r="Q1215" s="22"/>
      <c r="R1215" s="23"/>
    </row>
    <row r="1216" spans="1:18" ht="12.75">
      <c r="A1216" s="22"/>
      <c r="D1216" s="19"/>
      <c r="H1216" s="18"/>
      <c r="J1216" s="18"/>
      <c r="N1216" s="16"/>
      <c r="O1216" s="17"/>
      <c r="P1216" s="17"/>
      <c r="Q1216" s="22"/>
      <c r="R1216" s="23"/>
    </row>
    <row r="1217" spans="1:18" ht="12.75">
      <c r="A1217" s="22"/>
      <c r="D1217" s="19"/>
      <c r="H1217" s="18"/>
      <c r="J1217" s="18"/>
      <c r="N1217" s="16"/>
      <c r="O1217" s="17"/>
      <c r="P1217" s="17"/>
      <c r="Q1217" s="22"/>
      <c r="R1217" s="23"/>
    </row>
    <row r="1218" spans="1:18" ht="12.75">
      <c r="A1218" s="22"/>
      <c r="D1218" s="19"/>
      <c r="H1218" s="18"/>
      <c r="J1218" s="18"/>
      <c r="N1218" s="16"/>
      <c r="O1218" s="17"/>
      <c r="P1218" s="17"/>
      <c r="Q1218" s="22"/>
      <c r="R1218" s="23"/>
    </row>
    <row r="1219" spans="1:18" ht="12.75">
      <c r="A1219" s="22"/>
      <c r="D1219" s="19"/>
      <c r="H1219" s="18"/>
      <c r="J1219" s="18"/>
      <c r="N1219" s="16"/>
      <c r="O1219" s="17"/>
      <c r="P1219" s="17"/>
      <c r="Q1219" s="22"/>
      <c r="R1219" s="23"/>
    </row>
    <row r="1220" spans="1:18" ht="12.75">
      <c r="A1220" s="22"/>
      <c r="D1220" s="19"/>
      <c r="H1220" s="18"/>
      <c r="J1220" s="18"/>
      <c r="N1220" s="16"/>
      <c r="O1220" s="17"/>
      <c r="P1220" s="17"/>
      <c r="Q1220" s="22"/>
      <c r="R1220" s="23"/>
    </row>
    <row r="1221" spans="1:18" ht="12.75">
      <c r="A1221" s="22"/>
      <c r="D1221" s="19"/>
      <c r="H1221" s="18"/>
      <c r="J1221" s="18"/>
      <c r="N1221" s="16"/>
      <c r="O1221" s="17"/>
      <c r="P1221" s="17"/>
      <c r="Q1221" s="22"/>
      <c r="R1221" s="23"/>
    </row>
    <row r="1222" spans="1:18" ht="12.75">
      <c r="A1222" s="22"/>
      <c r="D1222" s="19"/>
      <c r="H1222" s="18"/>
      <c r="J1222" s="18"/>
      <c r="N1222" s="16"/>
      <c r="O1222" s="17"/>
      <c r="P1222" s="17"/>
      <c r="Q1222" s="22"/>
      <c r="R1222" s="23"/>
    </row>
    <row r="1223" spans="1:18" ht="12.75">
      <c r="A1223" s="22"/>
      <c r="D1223" s="19"/>
      <c r="H1223" s="18"/>
      <c r="J1223" s="18"/>
      <c r="N1223" s="16"/>
      <c r="O1223" s="17"/>
      <c r="P1223" s="17"/>
      <c r="Q1223" s="22"/>
      <c r="R1223" s="23"/>
    </row>
    <row r="1224" spans="1:18" ht="12.75">
      <c r="A1224" s="22"/>
      <c r="D1224" s="19"/>
      <c r="H1224" s="18"/>
      <c r="J1224" s="18"/>
      <c r="N1224" s="16"/>
      <c r="O1224" s="17"/>
      <c r="P1224" s="17"/>
      <c r="Q1224" s="22"/>
      <c r="R1224" s="23"/>
    </row>
    <row r="1225" spans="1:18" ht="12.75">
      <c r="A1225" s="22"/>
      <c r="D1225" s="19"/>
      <c r="H1225" s="18"/>
      <c r="J1225" s="18"/>
      <c r="N1225" s="16"/>
      <c r="O1225" s="17"/>
      <c r="P1225" s="17"/>
      <c r="Q1225" s="22"/>
      <c r="R1225" s="23"/>
    </row>
    <row r="1226" spans="1:18" ht="12.75">
      <c r="A1226" s="22"/>
      <c r="D1226" s="19"/>
      <c r="H1226" s="18"/>
      <c r="J1226" s="18"/>
      <c r="N1226" s="16"/>
      <c r="O1226" s="17"/>
      <c r="P1226" s="17"/>
      <c r="Q1226" s="22"/>
      <c r="R1226" s="23"/>
    </row>
    <row r="1227" spans="1:18" ht="12.75">
      <c r="A1227" s="22"/>
      <c r="D1227" s="19"/>
      <c r="H1227" s="18"/>
      <c r="J1227" s="18"/>
      <c r="N1227" s="16"/>
      <c r="O1227" s="17"/>
      <c r="P1227" s="17"/>
      <c r="Q1227" s="22"/>
      <c r="R1227" s="23"/>
    </row>
    <row r="1228" spans="1:18" ht="12.75">
      <c r="A1228" s="22"/>
      <c r="D1228" s="19"/>
      <c r="H1228" s="18"/>
      <c r="J1228" s="18"/>
      <c r="N1228" s="16"/>
      <c r="O1228" s="17"/>
      <c r="P1228" s="17"/>
      <c r="Q1228" s="22"/>
      <c r="R1228" s="23"/>
    </row>
    <row r="1229" spans="1:18" ht="12.75">
      <c r="A1229" s="22"/>
      <c r="D1229" s="19"/>
      <c r="H1229" s="18"/>
      <c r="J1229" s="18"/>
      <c r="N1229" s="16"/>
      <c r="O1229" s="17"/>
      <c r="P1229" s="17"/>
      <c r="Q1229" s="22"/>
      <c r="R1229" s="23"/>
    </row>
    <row r="1230" spans="1:18" ht="12.75">
      <c r="A1230" s="22"/>
      <c r="D1230" s="19"/>
      <c r="H1230" s="18"/>
      <c r="J1230" s="18"/>
      <c r="N1230" s="16"/>
      <c r="O1230" s="17"/>
      <c r="P1230" s="17"/>
      <c r="Q1230" s="22"/>
      <c r="R1230" s="23"/>
    </row>
    <row r="1231" spans="1:18" ht="12.75">
      <c r="A1231" s="22"/>
      <c r="D1231" s="19"/>
      <c r="H1231" s="18"/>
      <c r="J1231" s="18"/>
      <c r="N1231" s="16"/>
      <c r="O1231" s="17"/>
      <c r="P1231" s="17"/>
      <c r="Q1231" s="22"/>
      <c r="R1231" s="23"/>
    </row>
    <row r="1232" spans="1:18" ht="12.75">
      <c r="A1232" s="22"/>
      <c r="D1232" s="19"/>
      <c r="H1232" s="18"/>
      <c r="J1232" s="18"/>
      <c r="N1232" s="16"/>
      <c r="O1232" s="17"/>
      <c r="P1232" s="17"/>
      <c r="Q1232" s="22"/>
      <c r="R1232" s="23"/>
    </row>
    <row r="1233" spans="1:18" ht="12.75">
      <c r="A1233" s="22"/>
      <c r="D1233" s="19"/>
      <c r="H1233" s="18"/>
      <c r="J1233" s="18"/>
      <c r="N1233" s="16"/>
      <c r="O1233" s="17"/>
      <c r="P1233" s="17"/>
      <c r="Q1233" s="22"/>
      <c r="R1233" s="23"/>
    </row>
    <row r="1234" spans="1:18" ht="12.75">
      <c r="A1234" s="22"/>
      <c r="D1234" s="19"/>
      <c r="H1234" s="18"/>
      <c r="J1234" s="18"/>
      <c r="N1234" s="16"/>
      <c r="O1234" s="17"/>
      <c r="P1234" s="17"/>
      <c r="Q1234" s="22"/>
      <c r="R1234" s="23"/>
    </row>
    <row r="1235" spans="1:18" ht="12.75">
      <c r="A1235" s="22"/>
      <c r="D1235" s="19"/>
      <c r="H1235" s="18"/>
      <c r="J1235" s="18"/>
      <c r="N1235" s="16"/>
      <c r="O1235" s="17"/>
      <c r="P1235" s="17"/>
      <c r="Q1235" s="22"/>
      <c r="R1235" s="23"/>
    </row>
    <row r="1236" spans="1:18" ht="12.75">
      <c r="A1236" s="22"/>
      <c r="D1236" s="19"/>
      <c r="H1236" s="18"/>
      <c r="J1236" s="18"/>
      <c r="N1236" s="16"/>
      <c r="O1236" s="17"/>
      <c r="P1236" s="17"/>
      <c r="Q1236" s="22"/>
      <c r="R1236" s="23"/>
    </row>
    <row r="1237" spans="1:18" ht="12.75">
      <c r="A1237" s="22"/>
      <c r="D1237" s="19"/>
      <c r="H1237" s="18"/>
      <c r="J1237" s="18"/>
      <c r="N1237" s="16"/>
      <c r="O1237" s="17"/>
      <c r="P1237" s="17"/>
      <c r="Q1237" s="22"/>
      <c r="R1237" s="23"/>
    </row>
    <row r="1238" spans="1:18" ht="12.75">
      <c r="A1238" s="22"/>
      <c r="D1238" s="19"/>
      <c r="H1238" s="18"/>
      <c r="J1238" s="18"/>
      <c r="N1238" s="16"/>
      <c r="O1238" s="17"/>
      <c r="P1238" s="17"/>
      <c r="Q1238" s="22"/>
      <c r="R1238" s="23"/>
    </row>
    <row r="1239" spans="1:18" ht="12.75">
      <c r="A1239" s="22"/>
      <c r="D1239" s="19"/>
      <c r="H1239" s="18"/>
      <c r="J1239" s="18"/>
      <c r="N1239" s="16"/>
      <c r="O1239" s="17"/>
      <c r="P1239" s="17"/>
      <c r="Q1239" s="22"/>
      <c r="R1239" s="23"/>
    </row>
    <row r="1240" spans="1:18" ht="12.75">
      <c r="A1240" s="22"/>
      <c r="D1240" s="19"/>
      <c r="H1240" s="18"/>
      <c r="J1240" s="18"/>
      <c r="N1240" s="16"/>
      <c r="O1240" s="17"/>
      <c r="P1240" s="17"/>
      <c r="Q1240" s="22"/>
      <c r="R1240" s="23"/>
    </row>
    <row r="1241" spans="1:18" ht="12.75">
      <c r="A1241" s="22"/>
      <c r="D1241" s="19"/>
      <c r="H1241" s="18"/>
      <c r="J1241" s="18"/>
      <c r="N1241" s="16"/>
      <c r="O1241" s="17"/>
      <c r="P1241" s="17"/>
      <c r="Q1241" s="22"/>
      <c r="R1241" s="23"/>
    </row>
    <row r="1242" spans="1:18" ht="12.75">
      <c r="A1242" s="22"/>
      <c r="D1242" s="19"/>
      <c r="H1242" s="18"/>
      <c r="J1242" s="18"/>
      <c r="N1242" s="16"/>
      <c r="O1242" s="17"/>
      <c r="P1242" s="17"/>
      <c r="Q1242" s="22"/>
      <c r="R1242" s="23"/>
    </row>
    <row r="1243" spans="1:18" ht="12.75">
      <c r="A1243" s="22"/>
      <c r="D1243" s="19"/>
      <c r="H1243" s="18"/>
      <c r="J1243" s="18"/>
      <c r="N1243" s="16"/>
      <c r="O1243" s="17"/>
      <c r="P1243" s="17"/>
      <c r="Q1243" s="22"/>
      <c r="R1243" s="23"/>
    </row>
    <row r="1244" spans="1:18" ht="12.75">
      <c r="A1244" s="22"/>
      <c r="D1244" s="19"/>
      <c r="H1244" s="18"/>
      <c r="J1244" s="18"/>
      <c r="N1244" s="16"/>
      <c r="O1244" s="17"/>
      <c r="P1244" s="17"/>
      <c r="Q1244" s="22"/>
      <c r="R1244" s="23"/>
    </row>
    <row r="1245" spans="1:18" ht="12.75">
      <c r="A1245" s="22"/>
      <c r="D1245" s="19"/>
      <c r="H1245" s="18"/>
      <c r="J1245" s="18"/>
      <c r="N1245" s="16"/>
      <c r="O1245" s="17"/>
      <c r="P1245" s="17"/>
      <c r="Q1245" s="22"/>
      <c r="R1245" s="23"/>
    </row>
    <row r="1246" spans="1:18" ht="12.75">
      <c r="A1246" s="22"/>
      <c r="D1246" s="19"/>
      <c r="H1246" s="18"/>
      <c r="J1246" s="18"/>
      <c r="N1246" s="16"/>
      <c r="O1246" s="17"/>
      <c r="P1246" s="17"/>
      <c r="Q1246" s="22"/>
      <c r="R1246" s="23"/>
    </row>
    <row r="1247" spans="1:18" ht="12.75">
      <c r="A1247" s="22"/>
      <c r="D1247" s="19"/>
      <c r="H1247" s="18"/>
      <c r="J1247" s="18"/>
      <c r="N1247" s="16"/>
      <c r="O1247" s="17"/>
      <c r="P1247" s="17"/>
      <c r="Q1247" s="22"/>
      <c r="R1247" s="23"/>
    </row>
    <row r="1248" spans="1:18" ht="12.75">
      <c r="A1248" s="22"/>
      <c r="D1248" s="19"/>
      <c r="H1248" s="18"/>
      <c r="J1248" s="18"/>
      <c r="N1248" s="16"/>
      <c r="O1248" s="17"/>
      <c r="P1248" s="17"/>
      <c r="Q1248" s="22"/>
      <c r="R1248" s="23"/>
    </row>
    <row r="1249" spans="1:18" ht="12.75">
      <c r="A1249" s="22"/>
      <c r="D1249" s="19"/>
      <c r="H1249" s="18"/>
      <c r="J1249" s="18"/>
      <c r="N1249" s="16"/>
      <c r="O1249" s="17"/>
      <c r="P1249" s="17"/>
      <c r="Q1249" s="22"/>
      <c r="R1249" s="23"/>
    </row>
    <row r="1250" spans="1:18" ht="12.75">
      <c r="A1250" s="22"/>
      <c r="D1250" s="19"/>
      <c r="H1250" s="18"/>
      <c r="J1250" s="18"/>
      <c r="N1250" s="16"/>
      <c r="O1250" s="17"/>
      <c r="P1250" s="17"/>
      <c r="Q1250" s="22"/>
      <c r="R1250" s="23"/>
    </row>
    <row r="1251" spans="1:18" ht="12.75">
      <c r="A1251" s="22"/>
      <c r="D1251" s="19"/>
      <c r="H1251" s="18"/>
      <c r="J1251" s="18"/>
      <c r="N1251" s="16"/>
      <c r="O1251" s="17"/>
      <c r="P1251" s="17"/>
      <c r="Q1251" s="22"/>
      <c r="R1251" s="23"/>
    </row>
    <row r="1252" spans="1:18" ht="12.75">
      <c r="A1252" s="22"/>
      <c r="D1252" s="19"/>
      <c r="H1252" s="18"/>
      <c r="J1252" s="18"/>
      <c r="N1252" s="16"/>
      <c r="O1252" s="17"/>
      <c r="P1252" s="17"/>
      <c r="Q1252" s="22"/>
      <c r="R1252" s="23"/>
    </row>
    <row r="1253" spans="1:18" ht="12.75">
      <c r="A1253" s="22"/>
      <c r="D1253" s="19"/>
      <c r="H1253" s="18"/>
      <c r="J1253" s="18"/>
      <c r="N1253" s="16"/>
      <c r="O1253" s="17"/>
      <c r="P1253" s="17"/>
      <c r="Q1253" s="22"/>
      <c r="R1253" s="23"/>
    </row>
    <row r="1254" spans="1:18" ht="12.75">
      <c r="A1254" s="22"/>
      <c r="D1254" s="19"/>
      <c r="H1254" s="18"/>
      <c r="J1254" s="18"/>
      <c r="N1254" s="16"/>
      <c r="O1254" s="17"/>
      <c r="P1254" s="17"/>
      <c r="Q1254" s="22"/>
      <c r="R1254" s="23"/>
    </row>
    <row r="1255" spans="1:18" ht="12.75">
      <c r="A1255" s="22"/>
      <c r="D1255" s="19"/>
      <c r="H1255" s="18"/>
      <c r="J1255" s="18"/>
      <c r="N1255" s="16"/>
      <c r="O1255" s="17"/>
      <c r="P1255" s="17"/>
      <c r="Q1255" s="22"/>
      <c r="R1255" s="23"/>
    </row>
    <row r="1256" spans="1:18" ht="12.75">
      <c r="A1256" s="22"/>
      <c r="D1256" s="19"/>
      <c r="H1256" s="18"/>
      <c r="J1256" s="18"/>
      <c r="N1256" s="16"/>
      <c r="O1256" s="17"/>
      <c r="P1256" s="17"/>
      <c r="Q1256" s="22"/>
      <c r="R1256" s="23"/>
    </row>
    <row r="1257" spans="1:18" ht="12.75">
      <c r="A1257" s="22"/>
      <c r="D1257" s="19"/>
      <c r="H1257" s="18"/>
      <c r="J1257" s="18"/>
      <c r="N1257" s="16"/>
      <c r="O1257" s="17"/>
      <c r="P1257" s="17"/>
      <c r="Q1257" s="22"/>
      <c r="R1257" s="23"/>
    </row>
    <row r="1258" spans="1:18" ht="12.75">
      <c r="A1258" s="22"/>
      <c r="D1258" s="19"/>
      <c r="H1258" s="18"/>
      <c r="J1258" s="18"/>
      <c r="N1258" s="16"/>
      <c r="O1258" s="17"/>
      <c r="P1258" s="17"/>
      <c r="Q1258" s="22"/>
      <c r="R1258" s="23"/>
    </row>
    <row r="1259" spans="1:18" ht="12.75">
      <c r="A1259" s="22"/>
      <c r="D1259" s="19"/>
      <c r="H1259" s="18"/>
      <c r="J1259" s="18"/>
      <c r="N1259" s="16"/>
      <c r="O1259" s="17"/>
      <c r="P1259" s="17"/>
      <c r="Q1259" s="22"/>
      <c r="R1259" s="23"/>
    </row>
    <row r="1260" spans="1:18" ht="12.75">
      <c r="A1260" s="22"/>
      <c r="D1260" s="19"/>
      <c r="H1260" s="18"/>
      <c r="J1260" s="18"/>
      <c r="N1260" s="16"/>
      <c r="O1260" s="17"/>
      <c r="P1260" s="17"/>
      <c r="Q1260" s="22"/>
      <c r="R1260" s="23"/>
    </row>
    <row r="1261" spans="1:18" ht="12.75">
      <c r="A1261" s="22"/>
      <c r="D1261" s="19"/>
      <c r="H1261" s="18"/>
      <c r="J1261" s="18"/>
      <c r="N1261" s="16"/>
      <c r="O1261" s="17"/>
      <c r="P1261" s="17"/>
      <c r="Q1261" s="22"/>
      <c r="R1261" s="23"/>
    </row>
    <row r="1262" spans="1:18" ht="12.75">
      <c r="A1262" s="22"/>
      <c r="D1262" s="19"/>
      <c r="H1262" s="18"/>
      <c r="J1262" s="18"/>
      <c r="N1262" s="16"/>
      <c r="O1262" s="17"/>
      <c r="P1262" s="17"/>
      <c r="Q1262" s="22"/>
      <c r="R1262" s="23"/>
    </row>
    <row r="1263" spans="1:18" ht="12.75">
      <c r="A1263" s="22"/>
      <c r="D1263" s="19"/>
      <c r="H1263" s="18"/>
      <c r="J1263" s="18"/>
      <c r="N1263" s="16"/>
      <c r="O1263" s="17"/>
      <c r="P1263" s="17"/>
      <c r="Q1263" s="22"/>
      <c r="R1263" s="23"/>
    </row>
    <row r="1264" spans="1:18" ht="12.75">
      <c r="A1264" s="22"/>
      <c r="D1264" s="19"/>
      <c r="H1264" s="18"/>
      <c r="J1264" s="18"/>
      <c r="N1264" s="16"/>
      <c r="O1264" s="17"/>
      <c r="P1264" s="17"/>
      <c r="Q1264" s="22"/>
      <c r="R1264" s="23"/>
    </row>
    <row r="1265" spans="1:18" ht="12.75">
      <c r="A1265" s="22"/>
      <c r="D1265" s="19"/>
      <c r="H1265" s="18"/>
      <c r="J1265" s="18"/>
      <c r="N1265" s="16"/>
      <c r="O1265" s="17"/>
      <c r="P1265" s="17"/>
      <c r="Q1265" s="22"/>
      <c r="R1265" s="23"/>
    </row>
    <row r="1266" spans="1:18" ht="12.75">
      <c r="A1266" s="22"/>
      <c r="D1266" s="19"/>
      <c r="H1266" s="18"/>
      <c r="J1266" s="18"/>
      <c r="N1266" s="16"/>
      <c r="O1266" s="17"/>
      <c r="P1266" s="17"/>
      <c r="Q1266" s="22"/>
      <c r="R1266" s="23"/>
    </row>
    <row r="1267" spans="1:18" ht="12.75">
      <c r="A1267" s="22"/>
      <c r="D1267" s="19"/>
      <c r="H1267" s="18"/>
      <c r="J1267" s="18"/>
      <c r="N1267" s="16"/>
      <c r="O1267" s="17"/>
      <c r="P1267" s="17"/>
      <c r="Q1267" s="22"/>
      <c r="R1267" s="23"/>
    </row>
    <row r="1268" spans="1:18" ht="12.75">
      <c r="A1268" s="22"/>
      <c r="D1268" s="19"/>
      <c r="H1268" s="18"/>
      <c r="J1268" s="18"/>
      <c r="N1268" s="16"/>
      <c r="O1268" s="17"/>
      <c r="P1268" s="17"/>
      <c r="Q1268" s="22"/>
      <c r="R1268" s="23"/>
    </row>
    <row r="1269" spans="1:18" ht="12.75">
      <c r="A1269" s="22"/>
      <c r="D1269" s="19"/>
      <c r="H1269" s="18"/>
      <c r="J1269" s="18"/>
      <c r="N1269" s="16"/>
      <c r="O1269" s="17"/>
      <c r="P1269" s="17"/>
      <c r="Q1269" s="22"/>
      <c r="R1269" s="23"/>
    </row>
    <row r="1270" spans="1:18" ht="12.75">
      <c r="A1270" s="22"/>
      <c r="D1270" s="19"/>
      <c r="H1270" s="18"/>
      <c r="J1270" s="18"/>
      <c r="N1270" s="16"/>
      <c r="O1270" s="17"/>
      <c r="P1270" s="17"/>
      <c r="Q1270" s="22"/>
      <c r="R1270" s="23"/>
    </row>
    <row r="1271" spans="1:18" ht="12.75">
      <c r="A1271" s="22"/>
      <c r="D1271" s="19"/>
      <c r="H1271" s="18"/>
      <c r="J1271" s="18"/>
      <c r="N1271" s="16"/>
      <c r="O1271" s="17"/>
      <c r="P1271" s="17"/>
      <c r="Q1271" s="22"/>
      <c r="R1271" s="23"/>
    </row>
    <row r="1272" spans="1:18" ht="12.75">
      <c r="A1272" s="22"/>
      <c r="D1272" s="19"/>
      <c r="H1272" s="18"/>
      <c r="J1272" s="18"/>
      <c r="N1272" s="16"/>
      <c r="O1272" s="17"/>
      <c r="P1272" s="17"/>
      <c r="Q1272" s="22"/>
      <c r="R1272" s="23"/>
    </row>
    <row r="1273" spans="1:18" ht="12.75">
      <c r="A1273" s="22"/>
      <c r="D1273" s="19"/>
      <c r="H1273" s="18"/>
      <c r="J1273" s="18"/>
      <c r="N1273" s="16"/>
      <c r="O1273" s="17"/>
      <c r="P1273" s="17"/>
      <c r="Q1273" s="22"/>
      <c r="R1273" s="23"/>
    </row>
    <row r="1274" spans="1:18" ht="12.75">
      <c r="A1274" s="22"/>
      <c r="D1274" s="19"/>
      <c r="H1274" s="18"/>
      <c r="J1274" s="18"/>
      <c r="N1274" s="16"/>
      <c r="O1274" s="17"/>
      <c r="P1274" s="17"/>
      <c r="Q1274" s="22"/>
      <c r="R1274" s="23"/>
    </row>
    <row r="1275" spans="1:18" ht="12.75">
      <c r="A1275" s="22"/>
      <c r="D1275" s="19"/>
      <c r="H1275" s="18"/>
      <c r="J1275" s="18"/>
      <c r="N1275" s="16"/>
      <c r="O1275" s="17"/>
      <c r="P1275" s="17"/>
      <c r="Q1275" s="22"/>
      <c r="R1275" s="23"/>
    </row>
    <row r="1276" spans="1:18" ht="12.75">
      <c r="A1276" s="22"/>
      <c r="D1276" s="19"/>
      <c r="H1276" s="18"/>
      <c r="J1276" s="18"/>
      <c r="N1276" s="16"/>
      <c r="O1276" s="17"/>
      <c r="P1276" s="17"/>
      <c r="Q1276" s="22"/>
      <c r="R1276" s="23"/>
    </row>
    <row r="1277" spans="1:18" ht="12.75">
      <c r="A1277" s="22"/>
      <c r="D1277" s="19"/>
      <c r="H1277" s="18"/>
      <c r="J1277" s="18"/>
      <c r="N1277" s="16"/>
      <c r="O1277" s="17"/>
      <c r="P1277" s="17"/>
      <c r="Q1277" s="22"/>
      <c r="R1277" s="23"/>
    </row>
    <row r="1278" spans="1:18" ht="12.75">
      <c r="A1278" s="22"/>
      <c r="D1278" s="19"/>
      <c r="H1278" s="18"/>
      <c r="J1278" s="18"/>
      <c r="N1278" s="16"/>
      <c r="O1278" s="17"/>
      <c r="P1278" s="17"/>
      <c r="Q1278" s="22"/>
      <c r="R1278" s="23"/>
    </row>
    <row r="1279" spans="1:18" ht="12.75">
      <c r="A1279" s="22"/>
      <c r="D1279" s="19"/>
      <c r="H1279" s="18"/>
      <c r="J1279" s="18"/>
      <c r="N1279" s="16"/>
      <c r="O1279" s="17"/>
      <c r="P1279" s="17"/>
      <c r="Q1279" s="22"/>
      <c r="R1279" s="23"/>
    </row>
    <row r="1280" spans="1:18" ht="12.75">
      <c r="A1280" s="22"/>
      <c r="D1280" s="19"/>
      <c r="H1280" s="18"/>
      <c r="J1280" s="18"/>
      <c r="N1280" s="16"/>
      <c r="O1280" s="17"/>
      <c r="P1280" s="17"/>
      <c r="Q1280" s="22"/>
      <c r="R1280" s="23"/>
    </row>
    <row r="1281" spans="1:18" ht="12.75">
      <c r="A1281" s="22"/>
      <c r="D1281" s="19"/>
      <c r="H1281" s="18"/>
      <c r="J1281" s="18"/>
      <c r="N1281" s="16"/>
      <c r="O1281" s="17"/>
      <c r="P1281" s="17"/>
      <c r="Q1281" s="22"/>
      <c r="R1281" s="23"/>
    </row>
    <row r="1282" spans="1:18" ht="12.75">
      <c r="A1282" s="22"/>
      <c r="D1282" s="19"/>
      <c r="H1282" s="18"/>
      <c r="J1282" s="18"/>
      <c r="N1282" s="16"/>
      <c r="O1282" s="17"/>
      <c r="P1282" s="17"/>
      <c r="Q1282" s="22"/>
      <c r="R1282" s="23"/>
    </row>
    <row r="1283" spans="1:18" ht="12.75">
      <c r="A1283" s="22"/>
      <c r="D1283" s="19"/>
      <c r="H1283" s="18"/>
      <c r="J1283" s="18"/>
      <c r="N1283" s="16"/>
      <c r="O1283" s="17"/>
      <c r="P1283" s="17"/>
      <c r="Q1283" s="22"/>
      <c r="R1283" s="23"/>
    </row>
    <row r="1284" spans="1:18" ht="12.75">
      <c r="A1284" s="22"/>
      <c r="D1284" s="19"/>
      <c r="H1284" s="18"/>
      <c r="J1284" s="18"/>
      <c r="N1284" s="16"/>
      <c r="O1284" s="17"/>
      <c r="P1284" s="17"/>
      <c r="Q1284" s="22"/>
      <c r="R1284" s="23"/>
    </row>
    <row r="1285" spans="1:18" ht="12.75">
      <c r="A1285" s="22"/>
      <c r="D1285" s="19"/>
      <c r="H1285" s="18"/>
      <c r="J1285" s="18"/>
      <c r="N1285" s="16"/>
      <c r="O1285" s="17"/>
      <c r="P1285" s="17"/>
      <c r="Q1285" s="22"/>
      <c r="R1285" s="23"/>
    </row>
    <row r="1286" spans="1:18" ht="12.75">
      <c r="A1286" s="22"/>
      <c r="D1286" s="19"/>
      <c r="H1286" s="18"/>
      <c r="J1286" s="18"/>
      <c r="N1286" s="16"/>
      <c r="O1286" s="17"/>
      <c r="P1286" s="17"/>
      <c r="Q1286" s="22"/>
      <c r="R1286" s="23"/>
    </row>
    <row r="1287" spans="1:18" ht="12.75">
      <c r="A1287" s="22"/>
      <c r="D1287" s="19"/>
      <c r="H1287" s="18"/>
      <c r="J1287" s="18"/>
      <c r="N1287" s="16"/>
      <c r="O1287" s="17"/>
      <c r="P1287" s="17"/>
      <c r="Q1287" s="22"/>
      <c r="R1287" s="23"/>
    </row>
    <row r="1288" spans="1:18" ht="12.75">
      <c r="A1288" s="22"/>
      <c r="D1288" s="19"/>
      <c r="H1288" s="18"/>
      <c r="J1288" s="18"/>
      <c r="N1288" s="16"/>
      <c r="O1288" s="17"/>
      <c r="P1288" s="17"/>
      <c r="Q1288" s="22"/>
      <c r="R1288" s="23"/>
    </row>
    <row r="1289" spans="1:18" ht="12.75">
      <c r="A1289" s="22"/>
      <c r="D1289" s="19"/>
      <c r="H1289" s="18"/>
      <c r="J1289" s="18"/>
      <c r="N1289" s="16"/>
      <c r="O1289" s="17"/>
      <c r="P1289" s="17"/>
      <c r="Q1289" s="22"/>
      <c r="R1289" s="23"/>
    </row>
    <row r="1290" spans="1:18" ht="12.75">
      <c r="A1290" s="22"/>
      <c r="D1290" s="19"/>
      <c r="H1290" s="18"/>
      <c r="J1290" s="18"/>
      <c r="N1290" s="16"/>
      <c r="O1290" s="17"/>
      <c r="P1290" s="17"/>
      <c r="Q1290" s="22"/>
      <c r="R1290" s="23"/>
    </row>
    <row r="1291" spans="1:18" ht="12.75">
      <c r="A1291" s="22"/>
      <c r="D1291" s="19"/>
      <c r="H1291" s="18"/>
      <c r="J1291" s="18"/>
      <c r="N1291" s="16"/>
      <c r="O1291" s="17"/>
      <c r="P1291" s="17"/>
      <c r="Q1291" s="22"/>
      <c r="R1291" s="23"/>
    </row>
    <row r="1292" spans="1:18" ht="12.75">
      <c r="A1292" s="22"/>
      <c r="D1292" s="19"/>
      <c r="H1292" s="18"/>
      <c r="J1292" s="18"/>
      <c r="N1292" s="16"/>
      <c r="O1292" s="17"/>
      <c r="P1292" s="17"/>
      <c r="Q1292" s="22"/>
      <c r="R1292" s="23"/>
    </row>
    <row r="1293" spans="1:18" ht="12.75">
      <c r="A1293" s="22"/>
      <c r="D1293" s="19"/>
      <c r="H1293" s="18"/>
      <c r="J1293" s="18"/>
      <c r="N1293" s="16"/>
      <c r="O1293" s="17"/>
      <c r="P1293" s="17"/>
      <c r="Q1293" s="22"/>
      <c r="R1293" s="23"/>
    </row>
    <row r="1294" spans="1:18" ht="12.75">
      <c r="A1294" s="22"/>
      <c r="D1294" s="19"/>
      <c r="H1294" s="18"/>
      <c r="J1294" s="18"/>
      <c r="N1294" s="16"/>
      <c r="O1294" s="17"/>
      <c r="P1294" s="17"/>
      <c r="Q1294" s="22"/>
      <c r="R1294" s="23"/>
    </row>
    <row r="1295" spans="1:18" ht="12.75">
      <c r="A1295" s="22"/>
      <c r="D1295" s="19"/>
      <c r="H1295" s="18"/>
      <c r="J1295" s="18"/>
      <c r="N1295" s="16"/>
      <c r="O1295" s="17"/>
      <c r="P1295" s="17"/>
      <c r="Q1295" s="22"/>
      <c r="R1295" s="23"/>
    </row>
    <row r="1296" spans="1:18" ht="12.75">
      <c r="A1296" s="22"/>
      <c r="D1296" s="19"/>
      <c r="H1296" s="18"/>
      <c r="J1296" s="18"/>
      <c r="N1296" s="16"/>
      <c r="O1296" s="17"/>
      <c r="P1296" s="17"/>
      <c r="Q1296" s="22"/>
      <c r="R1296" s="23"/>
    </row>
    <row r="1297" spans="1:18" ht="12.75">
      <c r="A1297" s="22"/>
      <c r="D1297" s="19"/>
      <c r="H1297" s="18"/>
      <c r="J1297" s="18"/>
      <c r="N1297" s="16"/>
      <c r="O1297" s="17"/>
      <c r="P1297" s="17"/>
      <c r="Q1297" s="22"/>
      <c r="R1297" s="23"/>
    </row>
    <row r="1298" spans="1:18" ht="12.75">
      <c r="A1298" s="22"/>
      <c r="D1298" s="19"/>
      <c r="H1298" s="18"/>
      <c r="J1298" s="18"/>
      <c r="N1298" s="16"/>
      <c r="O1298" s="17"/>
      <c r="P1298" s="17"/>
      <c r="Q1298" s="22"/>
      <c r="R1298" s="23"/>
    </row>
    <row r="1299" spans="1:18" ht="12.75">
      <c r="A1299" s="22"/>
      <c r="D1299" s="19"/>
      <c r="H1299" s="18"/>
      <c r="J1299" s="18"/>
      <c r="N1299" s="16"/>
      <c r="O1299" s="17"/>
      <c r="P1299" s="17"/>
      <c r="Q1299" s="22"/>
      <c r="R1299" s="23"/>
    </row>
    <row r="1300" spans="1:18" ht="12.75">
      <c r="A1300" s="22"/>
      <c r="D1300" s="19"/>
      <c r="H1300" s="18"/>
      <c r="J1300" s="18"/>
      <c r="N1300" s="16"/>
      <c r="O1300" s="17"/>
      <c r="P1300" s="17"/>
      <c r="Q1300" s="22"/>
      <c r="R1300" s="23"/>
    </row>
    <row r="1301" spans="1:18" ht="12.75">
      <c r="A1301" s="22"/>
      <c r="D1301" s="19"/>
      <c r="H1301" s="18"/>
      <c r="J1301" s="18"/>
      <c r="N1301" s="16"/>
      <c r="O1301" s="17"/>
      <c r="P1301" s="17"/>
      <c r="Q1301" s="22"/>
      <c r="R1301" s="23"/>
    </row>
    <row r="1302" spans="1:18" ht="12.75">
      <c r="A1302" s="22"/>
      <c r="D1302" s="19"/>
      <c r="H1302" s="18"/>
      <c r="J1302" s="18"/>
      <c r="N1302" s="16"/>
      <c r="O1302" s="17"/>
      <c r="P1302" s="17"/>
      <c r="Q1302" s="22"/>
      <c r="R1302" s="23"/>
    </row>
    <row r="1303" spans="1:18" ht="12.75">
      <c r="A1303" s="22"/>
      <c r="D1303" s="19"/>
      <c r="H1303" s="18"/>
      <c r="J1303" s="18"/>
      <c r="N1303" s="16"/>
      <c r="O1303" s="17"/>
      <c r="P1303" s="17"/>
      <c r="Q1303" s="22"/>
      <c r="R1303" s="23"/>
    </row>
    <row r="1304" spans="1:18" ht="12.75">
      <c r="A1304" s="22"/>
      <c r="D1304" s="19"/>
      <c r="H1304" s="18"/>
      <c r="J1304" s="18"/>
      <c r="N1304" s="16"/>
      <c r="O1304" s="17"/>
      <c r="P1304" s="17"/>
      <c r="Q1304" s="22"/>
      <c r="R1304" s="23"/>
    </row>
    <row r="1305" spans="1:18" ht="12.75">
      <c r="A1305" s="22"/>
      <c r="D1305" s="19"/>
      <c r="H1305" s="18"/>
      <c r="J1305" s="18"/>
      <c r="N1305" s="16"/>
      <c r="O1305" s="17"/>
      <c r="P1305" s="17"/>
      <c r="Q1305" s="22"/>
      <c r="R1305" s="23"/>
    </row>
    <row r="1306" spans="1:18" ht="12.75">
      <c r="A1306" s="22"/>
      <c r="D1306" s="19"/>
      <c r="H1306" s="18"/>
      <c r="J1306" s="18"/>
      <c r="N1306" s="16"/>
      <c r="O1306" s="17"/>
      <c r="P1306" s="17"/>
      <c r="Q1306" s="22"/>
      <c r="R1306" s="23"/>
    </row>
    <row r="1307" spans="1:18" ht="12.75">
      <c r="A1307" s="22"/>
      <c r="D1307" s="19"/>
      <c r="H1307" s="18"/>
      <c r="J1307" s="18"/>
      <c r="N1307" s="16"/>
      <c r="O1307" s="17"/>
      <c r="P1307" s="17"/>
      <c r="Q1307" s="22"/>
      <c r="R1307" s="23"/>
    </row>
    <row r="1308" spans="1:18" ht="12.75">
      <c r="A1308" s="22"/>
      <c r="D1308" s="19"/>
      <c r="H1308" s="18"/>
      <c r="J1308" s="18"/>
      <c r="N1308" s="16"/>
      <c r="O1308" s="17"/>
      <c r="P1308" s="17"/>
      <c r="Q1308" s="22"/>
      <c r="R1308" s="23"/>
    </row>
    <row r="1309" spans="1:18" ht="12.75">
      <c r="A1309" s="22"/>
      <c r="D1309" s="19"/>
      <c r="H1309" s="18"/>
      <c r="J1309" s="18"/>
      <c r="N1309" s="16"/>
      <c r="O1309" s="17"/>
      <c r="P1309" s="17"/>
      <c r="Q1309" s="22"/>
      <c r="R1309" s="23"/>
    </row>
    <row r="1310" spans="1:18" ht="12.75">
      <c r="A1310" s="22"/>
      <c r="D1310" s="19"/>
      <c r="H1310" s="18"/>
      <c r="J1310" s="18"/>
      <c r="N1310" s="16"/>
      <c r="O1310" s="17"/>
      <c r="P1310" s="17"/>
      <c r="Q1310" s="22"/>
      <c r="R1310" s="23"/>
    </row>
    <row r="1311" spans="1:18" ht="12.75">
      <c r="A1311" s="22"/>
      <c r="D1311" s="19"/>
      <c r="H1311" s="18"/>
      <c r="J1311" s="18"/>
      <c r="N1311" s="16"/>
      <c r="O1311" s="17"/>
      <c r="P1311" s="17"/>
      <c r="Q1311" s="22"/>
      <c r="R1311" s="23"/>
    </row>
    <row r="1312" spans="1:18" ht="12.75">
      <c r="A1312" s="22"/>
      <c r="D1312" s="19"/>
      <c r="H1312" s="18"/>
      <c r="J1312" s="18"/>
      <c r="N1312" s="16"/>
      <c r="O1312" s="17"/>
      <c r="P1312" s="17"/>
      <c r="Q1312" s="22"/>
      <c r="R1312" s="23"/>
    </row>
    <row r="1313" spans="1:18" ht="12.75">
      <c r="A1313" s="22"/>
      <c r="D1313" s="19"/>
      <c r="H1313" s="18"/>
      <c r="J1313" s="18"/>
      <c r="N1313" s="16"/>
      <c r="O1313" s="17"/>
      <c r="P1313" s="17"/>
      <c r="Q1313" s="22"/>
      <c r="R1313" s="23"/>
    </row>
    <row r="1314" spans="1:18" ht="12.75">
      <c r="A1314" s="22"/>
      <c r="D1314" s="19"/>
      <c r="H1314" s="18"/>
      <c r="J1314" s="18"/>
      <c r="N1314" s="16"/>
      <c r="O1314" s="17"/>
      <c r="P1314" s="17"/>
      <c r="Q1314" s="22"/>
      <c r="R1314" s="23"/>
    </row>
    <row r="1315" spans="1:18" ht="12.75">
      <c r="A1315" s="22"/>
      <c r="D1315" s="19"/>
      <c r="H1315" s="18"/>
      <c r="J1315" s="18"/>
      <c r="N1315" s="16"/>
      <c r="O1315" s="17"/>
      <c r="P1315" s="17"/>
      <c r="Q1315" s="22"/>
      <c r="R1315" s="23"/>
    </row>
    <row r="1316" spans="1:18" ht="12.75">
      <c r="A1316" s="22"/>
      <c r="D1316" s="19"/>
      <c r="H1316" s="18"/>
      <c r="J1316" s="18"/>
      <c r="N1316" s="16"/>
      <c r="O1316" s="17"/>
      <c r="P1316" s="17"/>
      <c r="Q1316" s="22"/>
      <c r="R1316" s="23"/>
    </row>
    <row r="1317" spans="1:18" ht="12.75">
      <c r="A1317" s="22"/>
      <c r="D1317" s="19"/>
      <c r="H1317" s="18"/>
      <c r="J1317" s="18"/>
      <c r="N1317" s="16"/>
      <c r="O1317" s="17"/>
      <c r="P1317" s="17"/>
      <c r="Q1317" s="22"/>
      <c r="R1317" s="23"/>
    </row>
    <row r="1318" spans="1:18" ht="12.75">
      <c r="A1318" s="22"/>
      <c r="D1318" s="19"/>
      <c r="H1318" s="18"/>
      <c r="J1318" s="18"/>
      <c r="N1318" s="16"/>
      <c r="O1318" s="17"/>
      <c r="P1318" s="17"/>
      <c r="Q1318" s="22"/>
      <c r="R1318" s="23"/>
    </row>
    <row r="1319" spans="1:18" ht="12.75">
      <c r="A1319" s="22"/>
      <c r="D1319" s="19"/>
      <c r="H1319" s="18"/>
      <c r="J1319" s="18"/>
      <c r="N1319" s="16"/>
      <c r="O1319" s="17"/>
      <c r="P1319" s="17"/>
      <c r="Q1319" s="22"/>
      <c r="R1319" s="23"/>
    </row>
    <row r="1320" spans="1:18" ht="12.75">
      <c r="A1320" s="22"/>
      <c r="D1320" s="19"/>
      <c r="H1320" s="18"/>
      <c r="J1320" s="18"/>
      <c r="N1320" s="16"/>
      <c r="O1320" s="17"/>
      <c r="P1320" s="17"/>
      <c r="Q1320" s="22"/>
      <c r="R1320" s="23"/>
    </row>
    <row r="1321" spans="1:18" ht="12.75">
      <c r="A1321" s="22"/>
      <c r="D1321" s="19"/>
      <c r="H1321" s="18"/>
      <c r="J1321" s="18"/>
      <c r="N1321" s="16"/>
      <c r="O1321" s="17"/>
      <c r="P1321" s="17"/>
      <c r="Q1321" s="22"/>
      <c r="R1321" s="23"/>
    </row>
    <row r="1322" spans="1:18" ht="12.75">
      <c r="A1322" s="22"/>
      <c r="D1322" s="19"/>
      <c r="H1322" s="18"/>
      <c r="J1322" s="18"/>
      <c r="N1322" s="16"/>
      <c r="O1322" s="17"/>
      <c r="P1322" s="17"/>
      <c r="Q1322" s="22"/>
      <c r="R1322" s="23"/>
    </row>
    <row r="1323" spans="1:18" ht="12.75">
      <c r="A1323" s="22"/>
      <c r="D1323" s="19"/>
      <c r="H1323" s="18"/>
      <c r="J1323" s="18"/>
      <c r="N1323" s="16"/>
      <c r="O1323" s="17"/>
      <c r="P1323" s="17"/>
      <c r="Q1323" s="22"/>
      <c r="R1323" s="23"/>
    </row>
    <row r="1324" spans="1:18" ht="12.75">
      <c r="A1324" s="22"/>
      <c r="D1324" s="19"/>
      <c r="H1324" s="18"/>
      <c r="J1324" s="18"/>
      <c r="N1324" s="16"/>
      <c r="O1324" s="17"/>
      <c r="P1324" s="17"/>
      <c r="Q1324" s="22"/>
      <c r="R1324" s="23"/>
    </row>
    <row r="1325" spans="1:18" ht="12.75">
      <c r="A1325" s="22"/>
      <c r="D1325" s="19"/>
      <c r="H1325" s="18"/>
      <c r="J1325" s="18"/>
      <c r="N1325" s="16"/>
      <c r="O1325" s="17"/>
      <c r="P1325" s="17"/>
      <c r="Q1325" s="22"/>
      <c r="R1325" s="23"/>
    </row>
    <row r="1326" spans="1:18" ht="12.75">
      <c r="A1326" s="22"/>
      <c r="D1326" s="19"/>
      <c r="H1326" s="18"/>
      <c r="J1326" s="18"/>
      <c r="N1326" s="16"/>
      <c r="O1326" s="17"/>
      <c r="P1326" s="17"/>
      <c r="Q1326" s="22"/>
      <c r="R1326" s="23"/>
    </row>
    <row r="1327" spans="1:18" ht="12.75">
      <c r="A1327" s="22"/>
      <c r="D1327" s="19"/>
      <c r="H1327" s="18"/>
      <c r="J1327" s="18"/>
      <c r="N1327" s="16"/>
      <c r="O1327" s="17"/>
      <c r="P1327" s="17"/>
      <c r="Q1327" s="22"/>
      <c r="R1327" s="23"/>
    </row>
    <row r="1328" spans="1:18" ht="12.75">
      <c r="A1328" s="22"/>
      <c r="D1328" s="19"/>
      <c r="H1328" s="18"/>
      <c r="J1328" s="18"/>
      <c r="N1328" s="16"/>
      <c r="O1328" s="17"/>
      <c r="P1328" s="17"/>
      <c r="Q1328" s="22"/>
      <c r="R1328" s="23"/>
    </row>
    <row r="1329" spans="1:18" ht="12.75">
      <c r="A1329" s="22"/>
      <c r="D1329" s="19"/>
      <c r="H1329" s="18"/>
      <c r="J1329" s="18"/>
      <c r="N1329" s="16"/>
      <c r="O1329" s="17"/>
      <c r="P1329" s="17"/>
      <c r="Q1329" s="22"/>
      <c r="R1329" s="23"/>
    </row>
    <row r="1330" spans="1:18" ht="12.75">
      <c r="A1330" s="22"/>
      <c r="D1330" s="19"/>
      <c r="H1330" s="18"/>
      <c r="J1330" s="18"/>
      <c r="N1330" s="16"/>
      <c r="O1330" s="17"/>
      <c r="P1330" s="17"/>
      <c r="Q1330" s="22"/>
      <c r="R1330" s="23"/>
    </row>
    <row r="1331" spans="1:18" ht="12.75">
      <c r="A1331" s="22"/>
      <c r="D1331" s="19"/>
      <c r="H1331" s="18"/>
      <c r="J1331" s="18"/>
      <c r="N1331" s="16"/>
      <c r="O1331" s="17"/>
      <c r="P1331" s="17"/>
      <c r="Q1331" s="22"/>
      <c r="R1331" s="23"/>
    </row>
    <row r="1332" spans="1:18" ht="12.75">
      <c r="A1332" s="22"/>
      <c r="D1332" s="19"/>
      <c r="H1332" s="18"/>
      <c r="J1332" s="18"/>
      <c r="N1332" s="16"/>
      <c r="O1332" s="17"/>
      <c r="P1332" s="17"/>
      <c r="Q1332" s="22"/>
      <c r="R1332" s="23"/>
    </row>
    <row r="1333" spans="1:18" ht="12.75">
      <c r="A1333" s="22"/>
      <c r="D1333" s="19"/>
      <c r="H1333" s="18"/>
      <c r="J1333" s="18"/>
      <c r="N1333" s="16"/>
      <c r="O1333" s="17"/>
      <c r="P1333" s="17"/>
      <c r="Q1333" s="22"/>
      <c r="R1333" s="23"/>
    </row>
    <row r="1334" spans="1:18" ht="12.75">
      <c r="A1334" s="22"/>
      <c r="D1334" s="19"/>
      <c r="H1334" s="18"/>
      <c r="J1334" s="18"/>
      <c r="N1334" s="16"/>
      <c r="O1334" s="17"/>
      <c r="P1334" s="17"/>
      <c r="Q1334" s="22"/>
      <c r="R1334" s="23"/>
    </row>
    <row r="1335" spans="1:18" ht="12.75">
      <c r="A1335" s="22"/>
      <c r="D1335" s="19"/>
      <c r="H1335" s="18"/>
      <c r="J1335" s="18"/>
      <c r="N1335" s="16"/>
      <c r="O1335" s="17"/>
      <c r="P1335" s="17"/>
      <c r="Q1335" s="22"/>
      <c r="R1335" s="23"/>
    </row>
    <row r="1336" spans="1:18" ht="12.75">
      <c r="A1336" s="22"/>
      <c r="D1336" s="19"/>
      <c r="H1336" s="18"/>
      <c r="J1336" s="18"/>
      <c r="N1336" s="16"/>
      <c r="O1336" s="17"/>
      <c r="P1336" s="17"/>
      <c r="Q1336" s="22"/>
      <c r="R1336" s="23"/>
    </row>
    <row r="1337" spans="1:18" ht="12.75">
      <c r="A1337" s="22"/>
      <c r="D1337" s="19"/>
      <c r="H1337" s="18"/>
      <c r="J1337" s="18"/>
      <c r="N1337" s="16"/>
      <c r="O1337" s="17"/>
      <c r="P1337" s="17"/>
      <c r="Q1337" s="22"/>
      <c r="R1337" s="23"/>
    </row>
    <row r="1338" spans="1:18" ht="12.75">
      <c r="A1338" s="22"/>
      <c r="D1338" s="19"/>
      <c r="H1338" s="18"/>
      <c r="J1338" s="18"/>
      <c r="N1338" s="16"/>
      <c r="O1338" s="17"/>
      <c r="P1338" s="17"/>
      <c r="Q1338" s="22"/>
      <c r="R1338" s="23"/>
    </row>
    <row r="1339" spans="1:18" ht="12.75">
      <c r="A1339" s="22"/>
      <c r="D1339" s="19"/>
      <c r="H1339" s="18"/>
      <c r="J1339" s="18"/>
      <c r="N1339" s="16"/>
      <c r="O1339" s="17"/>
      <c r="P1339" s="17"/>
      <c r="Q1339" s="22"/>
      <c r="R1339" s="23"/>
    </row>
    <row r="1340" spans="1:18" ht="12.75">
      <c r="A1340" s="22"/>
      <c r="D1340" s="19"/>
      <c r="H1340" s="18"/>
      <c r="J1340" s="18"/>
      <c r="N1340" s="16"/>
      <c r="O1340" s="17"/>
      <c r="P1340" s="17"/>
      <c r="Q1340" s="22"/>
      <c r="R1340" s="23"/>
    </row>
    <row r="1341" spans="1:18" ht="12.75">
      <c r="A1341" s="22"/>
      <c r="D1341" s="19"/>
      <c r="H1341" s="18"/>
      <c r="J1341" s="18"/>
      <c r="N1341" s="16"/>
      <c r="O1341" s="17"/>
      <c r="P1341" s="17"/>
      <c r="Q1341" s="22"/>
      <c r="R1341" s="23"/>
    </row>
    <row r="1342" spans="1:18" ht="12.75">
      <c r="A1342" s="22"/>
      <c r="D1342" s="19"/>
      <c r="H1342" s="18"/>
      <c r="J1342" s="18"/>
      <c r="N1342" s="16"/>
      <c r="O1342" s="17"/>
      <c r="P1342" s="17"/>
      <c r="Q1342" s="22"/>
      <c r="R1342" s="23"/>
    </row>
    <row r="1343" spans="1:18" ht="12.75">
      <c r="A1343" s="22"/>
      <c r="D1343" s="19"/>
      <c r="H1343" s="18"/>
      <c r="J1343" s="18"/>
      <c r="N1343" s="16"/>
      <c r="O1343" s="17"/>
      <c r="P1343" s="17"/>
      <c r="Q1343" s="22"/>
      <c r="R1343" s="23"/>
    </row>
    <row r="1344" spans="1:18" ht="12.75">
      <c r="A1344" s="22"/>
      <c r="D1344" s="19"/>
      <c r="H1344" s="18"/>
      <c r="J1344" s="18"/>
      <c r="N1344" s="16"/>
      <c r="O1344" s="17"/>
      <c r="P1344" s="17"/>
      <c r="Q1344" s="22"/>
      <c r="R1344" s="23"/>
    </row>
    <row r="1345" spans="1:18" ht="12.75">
      <c r="A1345" s="22"/>
      <c r="D1345" s="19"/>
      <c r="H1345" s="18"/>
      <c r="J1345" s="18"/>
      <c r="N1345" s="16"/>
      <c r="O1345" s="17"/>
      <c r="P1345" s="17"/>
      <c r="Q1345" s="22"/>
      <c r="R1345" s="23"/>
    </row>
    <row r="1346" spans="1:18" ht="12.75">
      <c r="A1346" s="22"/>
      <c r="D1346" s="19"/>
      <c r="H1346" s="18"/>
      <c r="J1346" s="18"/>
      <c r="N1346" s="16"/>
      <c r="O1346" s="17"/>
      <c r="P1346" s="17"/>
      <c r="Q1346" s="22"/>
      <c r="R1346" s="23"/>
    </row>
    <row r="1347" spans="1:18" ht="12.75">
      <c r="A1347" s="22"/>
      <c r="D1347" s="19"/>
      <c r="H1347" s="18"/>
      <c r="J1347" s="18"/>
      <c r="N1347" s="16"/>
      <c r="O1347" s="17"/>
      <c r="P1347" s="17"/>
      <c r="Q1347" s="22"/>
      <c r="R1347" s="23"/>
    </row>
    <row r="1348" spans="1:18" ht="12.75">
      <c r="A1348" s="22"/>
      <c r="D1348" s="19"/>
      <c r="H1348" s="18"/>
      <c r="J1348" s="18"/>
      <c r="N1348" s="16"/>
      <c r="O1348" s="17"/>
      <c r="P1348" s="17"/>
      <c r="Q1348" s="22"/>
      <c r="R1348" s="23"/>
    </row>
    <row r="1349" spans="1:18" ht="12.75">
      <c r="A1349" s="22"/>
      <c r="D1349" s="19"/>
      <c r="H1349" s="18"/>
      <c r="J1349" s="18"/>
      <c r="N1349" s="16"/>
      <c r="O1349" s="17"/>
      <c r="P1349" s="17"/>
      <c r="Q1349" s="22"/>
      <c r="R1349" s="23"/>
    </row>
    <row r="1350" spans="1:18" ht="12.75">
      <c r="A1350" s="22"/>
      <c r="D1350" s="19"/>
      <c r="H1350" s="18"/>
      <c r="J1350" s="18"/>
      <c r="N1350" s="16"/>
      <c r="O1350" s="17"/>
      <c r="P1350" s="17"/>
      <c r="Q1350" s="22"/>
      <c r="R1350" s="23"/>
    </row>
    <row r="1351" spans="1:18" ht="12.75">
      <c r="A1351" s="22"/>
      <c r="D1351" s="19"/>
      <c r="H1351" s="18"/>
      <c r="J1351" s="18"/>
      <c r="N1351" s="16"/>
      <c r="O1351" s="17"/>
      <c r="P1351" s="17"/>
      <c r="Q1351" s="22"/>
      <c r="R1351" s="23"/>
    </row>
    <row r="1352" spans="1:18" ht="12.75">
      <c r="A1352" s="22"/>
      <c r="D1352" s="19"/>
      <c r="H1352" s="18"/>
      <c r="J1352" s="18"/>
      <c r="N1352" s="16"/>
      <c r="O1352" s="17"/>
      <c r="P1352" s="17"/>
      <c r="Q1352" s="22"/>
      <c r="R1352" s="23"/>
    </row>
    <row r="1353" spans="1:18" ht="12.75">
      <c r="A1353" s="22"/>
      <c r="D1353" s="19"/>
      <c r="H1353" s="18"/>
      <c r="J1353" s="18"/>
      <c r="N1353" s="16"/>
      <c r="O1353" s="17"/>
      <c r="P1353" s="17"/>
      <c r="Q1353" s="22"/>
      <c r="R1353" s="23"/>
    </row>
    <row r="1354" spans="1:18" ht="12.75">
      <c r="A1354" s="22"/>
      <c r="D1354" s="19"/>
      <c r="H1354" s="18"/>
      <c r="J1354" s="18"/>
      <c r="N1354" s="16"/>
      <c r="O1354" s="17"/>
      <c r="P1354" s="17"/>
      <c r="Q1354" s="22"/>
      <c r="R1354" s="23"/>
    </row>
    <row r="1355" spans="1:18" ht="12.75">
      <c r="A1355" s="22"/>
      <c r="D1355" s="19"/>
      <c r="H1355" s="18"/>
      <c r="J1355" s="18"/>
      <c r="N1355" s="16"/>
      <c r="O1355" s="17"/>
      <c r="P1355" s="17"/>
      <c r="Q1355" s="22"/>
      <c r="R1355" s="23"/>
    </row>
    <row r="1356" spans="1:18" ht="12.75">
      <c r="A1356" s="22"/>
      <c r="D1356" s="19"/>
      <c r="H1356" s="18"/>
      <c r="J1356" s="18"/>
      <c r="N1356" s="16"/>
      <c r="O1356" s="17"/>
      <c r="P1356" s="17"/>
      <c r="Q1356" s="22"/>
      <c r="R1356" s="23"/>
    </row>
    <row r="1357" spans="1:18" ht="12.75">
      <c r="A1357" s="22"/>
      <c r="D1357" s="19"/>
      <c r="H1357" s="18"/>
      <c r="J1357" s="18"/>
      <c r="N1357" s="16"/>
      <c r="O1357" s="17"/>
      <c r="P1357" s="17"/>
      <c r="Q1357" s="22"/>
      <c r="R1357" s="23"/>
    </row>
    <row r="1358" spans="1:18" ht="12.75">
      <c r="A1358" s="22"/>
      <c r="D1358" s="19"/>
      <c r="H1358" s="18"/>
      <c r="J1358" s="18"/>
      <c r="N1358" s="16"/>
      <c r="O1358" s="17"/>
      <c r="P1358" s="17"/>
      <c r="Q1358" s="22"/>
      <c r="R1358" s="23"/>
    </row>
    <row r="1359" spans="1:18" ht="12.75">
      <c r="A1359" s="22"/>
      <c r="D1359" s="19"/>
      <c r="H1359" s="18"/>
      <c r="J1359" s="18"/>
      <c r="N1359" s="16"/>
      <c r="O1359" s="17"/>
      <c r="P1359" s="17"/>
      <c r="Q1359" s="22"/>
      <c r="R1359" s="23"/>
    </row>
    <row r="1360" spans="1:18" ht="12.75">
      <c r="A1360" s="22"/>
      <c r="D1360" s="19"/>
      <c r="H1360" s="18"/>
      <c r="J1360" s="18"/>
      <c r="N1360" s="16"/>
      <c r="O1360" s="17"/>
      <c r="P1360" s="17"/>
      <c r="Q1360" s="22"/>
      <c r="R1360" s="23"/>
    </row>
    <row r="1361" spans="1:18" ht="12.75">
      <c r="A1361" s="22"/>
      <c r="D1361" s="19"/>
      <c r="H1361" s="18"/>
      <c r="J1361" s="18"/>
      <c r="N1361" s="16"/>
      <c r="O1361" s="17"/>
      <c r="P1361" s="17"/>
      <c r="Q1361" s="22"/>
      <c r="R1361" s="23"/>
    </row>
    <row r="1362" spans="1:18" ht="12.75">
      <c r="A1362" s="22"/>
      <c r="D1362" s="19"/>
      <c r="H1362" s="18"/>
      <c r="J1362" s="18"/>
      <c r="N1362" s="16"/>
      <c r="O1362" s="17"/>
      <c r="P1362" s="17"/>
      <c r="Q1362" s="22"/>
      <c r="R1362" s="23"/>
    </row>
    <row r="1363" spans="1:18" ht="12.75">
      <c r="A1363" s="22"/>
      <c r="D1363" s="19"/>
      <c r="H1363" s="18"/>
      <c r="J1363" s="18"/>
      <c r="N1363" s="16"/>
      <c r="O1363" s="17"/>
      <c r="P1363" s="17"/>
      <c r="Q1363" s="22"/>
      <c r="R1363" s="23"/>
    </row>
    <row r="1364" spans="1:18" ht="12.75">
      <c r="A1364" s="22"/>
      <c r="D1364" s="19"/>
      <c r="H1364" s="18"/>
      <c r="J1364" s="18"/>
      <c r="N1364" s="16"/>
      <c r="O1364" s="17"/>
      <c r="P1364" s="17"/>
      <c r="Q1364" s="22"/>
      <c r="R1364" s="23"/>
    </row>
    <row r="1365" spans="1:18" ht="12.75">
      <c r="A1365" s="22"/>
      <c r="D1365" s="19"/>
      <c r="H1365" s="18"/>
      <c r="J1365" s="18"/>
      <c r="N1365" s="16"/>
      <c r="O1365" s="17"/>
      <c r="P1365" s="17"/>
      <c r="Q1365" s="22"/>
      <c r="R1365" s="23"/>
    </row>
    <row r="1366" spans="1:18" ht="12.75">
      <c r="A1366" s="22"/>
      <c r="D1366" s="19"/>
      <c r="H1366" s="18"/>
      <c r="J1366" s="18"/>
      <c r="N1366" s="16"/>
      <c r="O1366" s="17"/>
      <c r="P1366" s="17"/>
      <c r="Q1366" s="22"/>
      <c r="R1366" s="23"/>
    </row>
    <row r="1367" spans="1:18" ht="12.75">
      <c r="A1367" s="22"/>
      <c r="D1367" s="19"/>
      <c r="H1367" s="18"/>
      <c r="J1367" s="18"/>
      <c r="N1367" s="16"/>
      <c r="O1367" s="17"/>
      <c r="P1367" s="17"/>
      <c r="Q1367" s="22"/>
      <c r="R1367" s="23"/>
    </row>
    <row r="1368" spans="1:18" ht="12.75">
      <c r="A1368" s="22"/>
      <c r="D1368" s="19"/>
      <c r="H1368" s="18"/>
      <c r="J1368" s="18"/>
      <c r="N1368" s="16"/>
      <c r="O1368" s="17"/>
      <c r="P1368" s="17"/>
      <c r="Q1368" s="22"/>
      <c r="R1368" s="23"/>
    </row>
    <row r="1369" spans="1:18" ht="12.75">
      <c r="A1369" s="22"/>
      <c r="D1369" s="19"/>
      <c r="H1369" s="18"/>
      <c r="J1369" s="18"/>
      <c r="N1369" s="16"/>
      <c r="O1369" s="17"/>
      <c r="P1369" s="17"/>
      <c r="Q1369" s="22"/>
      <c r="R1369" s="23"/>
    </row>
    <row r="1370" spans="1:18" ht="12.75">
      <c r="A1370" s="22"/>
      <c r="D1370" s="19"/>
      <c r="H1370" s="18"/>
      <c r="J1370" s="18"/>
      <c r="N1370" s="16"/>
      <c r="O1370" s="17"/>
      <c r="P1370" s="17"/>
      <c r="Q1370" s="22"/>
      <c r="R1370" s="23"/>
    </row>
    <row r="1371" spans="1:18" ht="12.75">
      <c r="A1371" s="22"/>
      <c r="D1371" s="19"/>
      <c r="H1371" s="18"/>
      <c r="J1371" s="18"/>
      <c r="N1371" s="16"/>
      <c r="O1371" s="17"/>
      <c r="P1371" s="17"/>
      <c r="Q1371" s="22"/>
      <c r="R1371" s="23"/>
    </row>
    <row r="1372" spans="1:18" ht="12.75">
      <c r="A1372" s="22"/>
      <c r="D1372" s="19"/>
      <c r="H1372" s="18"/>
      <c r="J1372" s="18"/>
      <c r="N1372" s="16"/>
      <c r="O1372" s="17"/>
      <c r="P1372" s="17"/>
      <c r="Q1372" s="22"/>
      <c r="R1372" s="23"/>
    </row>
    <row r="1373" spans="1:18" ht="12.75">
      <c r="A1373" s="22"/>
      <c r="D1373" s="19"/>
      <c r="H1373" s="18"/>
      <c r="J1373" s="18"/>
      <c r="N1373" s="16"/>
      <c r="O1373" s="17"/>
      <c r="P1373" s="17"/>
      <c r="Q1373" s="22"/>
      <c r="R1373" s="23"/>
    </row>
    <row r="1374" spans="1:18" ht="12.75">
      <c r="A1374" s="22"/>
      <c r="D1374" s="19"/>
      <c r="H1374" s="18"/>
      <c r="J1374" s="18"/>
      <c r="N1374" s="16"/>
      <c r="O1374" s="17"/>
      <c r="P1374" s="17"/>
      <c r="Q1374" s="22"/>
      <c r="R1374" s="23"/>
    </row>
    <row r="1375" spans="1:18" ht="12.75">
      <c r="A1375" s="22"/>
      <c r="D1375" s="19"/>
      <c r="H1375" s="18"/>
      <c r="J1375" s="18"/>
      <c r="N1375" s="16"/>
      <c r="O1375" s="17"/>
      <c r="P1375" s="17"/>
      <c r="Q1375" s="22"/>
      <c r="R1375" s="23"/>
    </row>
    <row r="1376" spans="1:18" ht="12.75">
      <c r="A1376" s="22"/>
      <c r="D1376" s="19"/>
      <c r="H1376" s="18"/>
      <c r="J1376" s="18"/>
      <c r="N1376" s="16"/>
      <c r="O1376" s="17"/>
      <c r="P1376" s="17"/>
      <c r="Q1376" s="22"/>
      <c r="R1376" s="23"/>
    </row>
    <row r="1377" spans="1:18" ht="12.75">
      <c r="A1377" s="22"/>
      <c r="D1377" s="19"/>
      <c r="H1377" s="18"/>
      <c r="J1377" s="18"/>
      <c r="N1377" s="16"/>
      <c r="O1377" s="17"/>
      <c r="P1377" s="17"/>
      <c r="Q1377" s="22"/>
      <c r="R1377" s="23"/>
    </row>
    <row r="1378" spans="1:18" ht="12.75">
      <c r="A1378" s="22"/>
      <c r="D1378" s="19"/>
      <c r="H1378" s="18"/>
      <c r="J1378" s="18"/>
      <c r="N1378" s="16"/>
      <c r="O1378" s="17"/>
      <c r="P1378" s="17"/>
      <c r="Q1378" s="22"/>
      <c r="R1378" s="23"/>
    </row>
    <row r="1379" spans="1:18" ht="12.75">
      <c r="A1379" s="22"/>
      <c r="D1379" s="19"/>
      <c r="H1379" s="18"/>
      <c r="J1379" s="18"/>
      <c r="N1379" s="16"/>
      <c r="O1379" s="17"/>
      <c r="P1379" s="17"/>
      <c r="Q1379" s="22"/>
      <c r="R1379" s="23"/>
    </row>
    <row r="1380" spans="1:18" ht="12.75">
      <c r="A1380" s="22"/>
      <c r="D1380" s="19"/>
      <c r="H1380" s="18"/>
      <c r="J1380" s="18"/>
      <c r="N1380" s="16"/>
      <c r="O1380" s="17"/>
      <c r="P1380" s="17"/>
      <c r="Q1380" s="22"/>
      <c r="R1380" s="23"/>
    </row>
    <row r="1381" spans="1:18" ht="12.75">
      <c r="A1381" s="22"/>
      <c r="D1381" s="19"/>
      <c r="H1381" s="18"/>
      <c r="J1381" s="18"/>
      <c r="N1381" s="16"/>
      <c r="O1381" s="17"/>
      <c r="P1381" s="17"/>
      <c r="Q1381" s="22"/>
      <c r="R1381" s="23"/>
    </row>
    <row r="1382" spans="1:18" ht="12.75">
      <c r="A1382" s="22"/>
      <c r="D1382" s="19"/>
      <c r="H1382" s="18"/>
      <c r="J1382" s="18"/>
      <c r="N1382" s="16"/>
      <c r="O1382" s="17"/>
      <c r="P1382" s="17"/>
      <c r="Q1382" s="22"/>
      <c r="R1382" s="23"/>
    </row>
    <row r="1383" spans="1:18" ht="12.75">
      <c r="A1383" s="22"/>
      <c r="D1383" s="19"/>
      <c r="H1383" s="18"/>
      <c r="J1383" s="18"/>
      <c r="N1383" s="16"/>
      <c r="O1383" s="17"/>
      <c r="P1383" s="17"/>
      <c r="Q1383" s="22"/>
      <c r="R1383" s="23"/>
    </row>
    <row r="1384" spans="1:18" ht="12.75">
      <c r="A1384" s="22"/>
      <c r="D1384" s="19"/>
      <c r="H1384" s="18"/>
      <c r="J1384" s="18"/>
      <c r="N1384" s="16"/>
      <c r="O1384" s="17"/>
      <c r="P1384" s="17"/>
      <c r="Q1384" s="22"/>
      <c r="R1384" s="23"/>
    </row>
    <row r="1385" spans="1:18" ht="12.75">
      <c r="A1385" s="22"/>
      <c r="D1385" s="19"/>
      <c r="H1385" s="18"/>
      <c r="J1385" s="18"/>
      <c r="N1385" s="16"/>
      <c r="O1385" s="17"/>
      <c r="P1385" s="17"/>
      <c r="Q1385" s="22"/>
      <c r="R1385" s="23"/>
    </row>
    <row r="1386" spans="1:18" ht="12.75">
      <c r="A1386" s="22"/>
      <c r="D1386" s="19"/>
      <c r="H1386" s="18"/>
      <c r="J1386" s="18"/>
      <c r="N1386" s="16"/>
      <c r="O1386" s="17"/>
      <c r="P1386" s="17"/>
      <c r="Q1386" s="22"/>
      <c r="R1386" s="23"/>
    </row>
    <row r="1387" spans="1:18" ht="12.75">
      <c r="A1387" s="22"/>
      <c r="D1387" s="19"/>
      <c r="H1387" s="18"/>
      <c r="J1387" s="18"/>
      <c r="N1387" s="16"/>
      <c r="O1387" s="17"/>
      <c r="P1387" s="17"/>
      <c r="Q1387" s="22"/>
      <c r="R1387" s="23"/>
    </row>
    <row r="1388" spans="1:18" ht="12.75">
      <c r="A1388" s="22"/>
      <c r="D1388" s="19"/>
      <c r="H1388" s="18"/>
      <c r="J1388" s="18"/>
      <c r="N1388" s="16"/>
      <c r="O1388" s="17"/>
      <c r="P1388" s="17"/>
      <c r="Q1388" s="22"/>
      <c r="R1388" s="23"/>
    </row>
    <row r="1389" spans="1:18" ht="12.75">
      <c r="A1389" s="22"/>
      <c r="D1389" s="19"/>
      <c r="H1389" s="18"/>
      <c r="J1389" s="18"/>
      <c r="N1389" s="16"/>
      <c r="O1389" s="17"/>
      <c r="P1389" s="17"/>
      <c r="Q1389" s="22"/>
      <c r="R1389" s="23"/>
    </row>
    <row r="1390" spans="1:18" ht="12.75">
      <c r="A1390" s="22"/>
      <c r="D1390" s="19"/>
      <c r="H1390" s="18"/>
      <c r="J1390" s="18"/>
      <c r="N1390" s="16"/>
      <c r="O1390" s="17"/>
      <c r="P1390" s="17"/>
      <c r="Q1390" s="22"/>
      <c r="R1390" s="23"/>
    </row>
    <row r="1391" spans="1:18" ht="12.75">
      <c r="A1391" s="22"/>
      <c r="D1391" s="19"/>
      <c r="H1391" s="18"/>
      <c r="J1391" s="18"/>
      <c r="N1391" s="16"/>
      <c r="O1391" s="17"/>
      <c r="P1391" s="17"/>
      <c r="Q1391" s="22"/>
      <c r="R1391" s="23"/>
    </row>
    <row r="1392" spans="1:18" ht="12.75">
      <c r="A1392" s="22"/>
      <c r="D1392" s="19"/>
      <c r="H1392" s="18"/>
      <c r="J1392" s="18"/>
      <c r="N1392" s="16"/>
      <c r="O1392" s="17"/>
      <c r="P1392" s="17"/>
      <c r="Q1392" s="22"/>
      <c r="R1392" s="23"/>
    </row>
    <row r="1393" spans="1:18" ht="12.75">
      <c r="A1393" s="22"/>
      <c r="D1393" s="19"/>
      <c r="H1393" s="18"/>
      <c r="J1393" s="18"/>
      <c r="N1393" s="16"/>
      <c r="O1393" s="17"/>
      <c r="P1393" s="17"/>
      <c r="Q1393" s="22"/>
      <c r="R1393" s="23"/>
    </row>
    <row r="1394" spans="1:18" ht="12.75">
      <c r="A1394" s="22"/>
      <c r="D1394" s="19"/>
      <c r="H1394" s="18"/>
      <c r="J1394" s="18"/>
      <c r="N1394" s="16"/>
      <c r="O1394" s="17"/>
      <c r="P1394" s="17"/>
      <c r="Q1394" s="22"/>
      <c r="R1394" s="23"/>
    </row>
    <row r="1395" spans="1:18" ht="12.75">
      <c r="A1395" s="22"/>
      <c r="D1395" s="19"/>
      <c r="H1395" s="18"/>
      <c r="J1395" s="18"/>
      <c r="N1395" s="16"/>
      <c r="O1395" s="17"/>
      <c r="P1395" s="17"/>
      <c r="Q1395" s="22"/>
      <c r="R1395" s="23"/>
    </row>
    <row r="1396" spans="1:18" ht="12.75">
      <c r="A1396" s="22"/>
      <c r="D1396" s="19"/>
      <c r="H1396" s="18"/>
      <c r="J1396" s="18"/>
      <c r="N1396" s="16"/>
      <c r="O1396" s="17"/>
      <c r="P1396" s="17"/>
      <c r="Q1396" s="22"/>
      <c r="R1396" s="23"/>
    </row>
    <row r="1397" spans="1:18" ht="12.75">
      <c r="A1397" s="22"/>
      <c r="D1397" s="19"/>
      <c r="H1397" s="18"/>
      <c r="J1397" s="18"/>
      <c r="N1397" s="16"/>
      <c r="O1397" s="17"/>
      <c r="P1397" s="17"/>
      <c r="Q1397" s="22"/>
      <c r="R1397" s="23"/>
    </row>
    <row r="1398" spans="1:18" ht="12.75">
      <c r="A1398" s="22"/>
      <c r="D1398" s="19"/>
      <c r="H1398" s="18"/>
      <c r="J1398" s="18"/>
      <c r="N1398" s="16"/>
      <c r="O1398" s="17"/>
      <c r="P1398" s="17"/>
      <c r="Q1398" s="22"/>
      <c r="R1398" s="23"/>
    </row>
    <row r="1399" spans="1:18" ht="12.75">
      <c r="A1399" s="22"/>
      <c r="D1399" s="19"/>
      <c r="H1399" s="18"/>
      <c r="J1399" s="18"/>
      <c r="N1399" s="16"/>
      <c r="O1399" s="17"/>
      <c r="P1399" s="17"/>
      <c r="Q1399" s="22"/>
      <c r="R1399" s="23"/>
    </row>
    <row r="1400" spans="1:18" ht="12.75">
      <c r="A1400" s="22"/>
      <c r="D1400" s="19"/>
      <c r="H1400" s="18"/>
      <c r="J1400" s="18"/>
      <c r="N1400" s="16"/>
      <c r="O1400" s="17"/>
      <c r="P1400" s="17"/>
      <c r="Q1400" s="22"/>
      <c r="R1400" s="23"/>
    </row>
    <row r="1401" spans="1:18" ht="12.75">
      <c r="A1401" s="22"/>
      <c r="D1401" s="19"/>
      <c r="H1401" s="18"/>
      <c r="J1401" s="18"/>
      <c r="N1401" s="16"/>
      <c r="O1401" s="17"/>
      <c r="P1401" s="17"/>
      <c r="Q1401" s="22"/>
      <c r="R1401" s="23"/>
    </row>
    <row r="1402" spans="1:18" ht="12.75">
      <c r="A1402" s="22"/>
      <c r="D1402" s="19"/>
      <c r="H1402" s="18"/>
      <c r="J1402" s="18"/>
      <c r="N1402" s="16"/>
      <c r="O1402" s="17"/>
      <c r="P1402" s="17"/>
      <c r="Q1402" s="22"/>
      <c r="R1402" s="23"/>
    </row>
    <row r="1403" spans="1:18" ht="12.75">
      <c r="A1403" s="22"/>
      <c r="D1403" s="19"/>
      <c r="H1403" s="18"/>
      <c r="J1403" s="18"/>
      <c r="N1403" s="16"/>
      <c r="O1403" s="17"/>
      <c r="P1403" s="17"/>
      <c r="Q1403" s="22"/>
      <c r="R1403" s="23"/>
    </row>
    <row r="1404" spans="1:18" ht="12.75">
      <c r="A1404" s="22"/>
      <c r="D1404" s="19"/>
      <c r="H1404" s="18"/>
      <c r="J1404" s="18"/>
      <c r="N1404" s="16"/>
      <c r="O1404" s="17"/>
      <c r="P1404" s="17"/>
      <c r="Q1404" s="22"/>
      <c r="R1404" s="23"/>
    </row>
    <row r="1405" spans="1:18" ht="12.75">
      <c r="A1405" s="22"/>
      <c r="D1405" s="19"/>
      <c r="H1405" s="18"/>
      <c r="J1405" s="18"/>
      <c r="N1405" s="16"/>
      <c r="O1405" s="17"/>
      <c r="P1405" s="17"/>
      <c r="Q1405" s="22"/>
      <c r="R1405" s="23"/>
    </row>
    <row r="1406" spans="1:18" ht="12.75">
      <c r="A1406" s="22"/>
      <c r="D1406" s="19"/>
      <c r="H1406" s="18"/>
      <c r="J1406" s="18"/>
      <c r="N1406" s="16"/>
      <c r="O1406" s="17"/>
      <c r="P1406" s="17"/>
      <c r="Q1406" s="22"/>
      <c r="R1406" s="23"/>
    </row>
    <row r="1407" spans="1:18" ht="12.75">
      <c r="A1407" s="22"/>
      <c r="D1407" s="19"/>
      <c r="H1407" s="18"/>
      <c r="J1407" s="18"/>
      <c r="N1407" s="16"/>
      <c r="O1407" s="17"/>
      <c r="P1407" s="17"/>
      <c r="Q1407" s="22"/>
      <c r="R1407" s="23"/>
    </row>
    <row r="1408" spans="1:18" ht="12.75">
      <c r="A1408" s="22"/>
      <c r="D1408" s="19"/>
      <c r="H1408" s="18"/>
      <c r="J1408" s="18"/>
      <c r="N1408" s="16"/>
      <c r="O1408" s="17"/>
      <c r="P1408" s="17"/>
      <c r="Q1408" s="22"/>
      <c r="R1408" s="23"/>
    </row>
    <row r="1409" spans="1:18" ht="12.75">
      <c r="A1409" s="22"/>
      <c r="D1409" s="19"/>
      <c r="H1409" s="18"/>
      <c r="J1409" s="18"/>
      <c r="N1409" s="16"/>
      <c r="O1409" s="17"/>
      <c r="P1409" s="17"/>
      <c r="Q1409" s="22"/>
      <c r="R1409" s="23"/>
    </row>
    <row r="1410" spans="1:18" ht="12.75">
      <c r="A1410" s="22"/>
      <c r="D1410" s="19"/>
      <c r="H1410" s="18"/>
      <c r="J1410" s="18"/>
      <c r="N1410" s="16"/>
      <c r="O1410" s="17"/>
      <c r="P1410" s="17"/>
      <c r="Q1410" s="22"/>
      <c r="R1410" s="23"/>
    </row>
    <row r="1411" spans="1:18" ht="12.75">
      <c r="A1411" s="22"/>
      <c r="D1411" s="19"/>
      <c r="H1411" s="18"/>
      <c r="J1411" s="18"/>
      <c r="N1411" s="16"/>
      <c r="O1411" s="17"/>
      <c r="P1411" s="17"/>
      <c r="Q1411" s="22"/>
      <c r="R1411" s="23"/>
    </row>
    <row r="1412" spans="1:18" ht="12.75">
      <c r="A1412" s="22"/>
      <c r="D1412" s="19"/>
      <c r="H1412" s="18"/>
      <c r="J1412" s="18"/>
      <c r="N1412" s="16"/>
      <c r="O1412" s="17"/>
      <c r="P1412" s="17"/>
      <c r="Q1412" s="22"/>
      <c r="R1412" s="23"/>
    </row>
    <row r="1413" spans="1:18" ht="12.75">
      <c r="A1413" s="22"/>
      <c r="D1413" s="19"/>
      <c r="H1413" s="18"/>
      <c r="J1413" s="18"/>
      <c r="N1413" s="16"/>
      <c r="O1413" s="17"/>
      <c r="P1413" s="17"/>
      <c r="Q1413" s="22"/>
      <c r="R1413" s="23"/>
    </row>
    <row r="1414" spans="1:18" ht="12.75">
      <c r="A1414" s="22"/>
      <c r="D1414" s="19"/>
      <c r="H1414" s="18"/>
      <c r="J1414" s="18"/>
      <c r="N1414" s="16"/>
      <c r="O1414" s="17"/>
      <c r="P1414" s="17"/>
      <c r="Q1414" s="22"/>
      <c r="R1414" s="23"/>
    </row>
    <row r="1415" spans="1:18" ht="12.75">
      <c r="A1415" s="22"/>
      <c r="D1415" s="19"/>
      <c r="H1415" s="18"/>
      <c r="J1415" s="18"/>
      <c r="N1415" s="16"/>
      <c r="O1415" s="17"/>
      <c r="P1415" s="17"/>
      <c r="Q1415" s="22"/>
      <c r="R1415" s="23"/>
    </row>
    <row r="1416" spans="1:18" ht="12.75">
      <c r="A1416" s="22"/>
      <c r="D1416" s="19"/>
      <c r="H1416" s="18"/>
      <c r="J1416" s="18"/>
      <c r="N1416" s="16"/>
      <c r="O1416" s="17"/>
      <c r="P1416" s="17"/>
      <c r="Q1416" s="22"/>
      <c r="R1416" s="23"/>
    </row>
    <row r="1417" spans="1:18" ht="12.75">
      <c r="A1417" s="22"/>
      <c r="D1417" s="19"/>
      <c r="H1417" s="18"/>
      <c r="J1417" s="18"/>
      <c r="N1417" s="16"/>
      <c r="O1417" s="17"/>
      <c r="P1417" s="17"/>
      <c r="Q1417" s="22"/>
      <c r="R1417" s="23"/>
    </row>
    <row r="1418" spans="1:18" ht="12.75">
      <c r="A1418" s="22"/>
      <c r="D1418" s="19"/>
      <c r="H1418" s="18"/>
      <c r="J1418" s="18"/>
      <c r="N1418" s="16"/>
      <c r="O1418" s="17"/>
      <c r="P1418" s="17"/>
      <c r="Q1418" s="22"/>
      <c r="R1418" s="23"/>
    </row>
    <row r="1419" spans="1:18" ht="12.75">
      <c r="A1419" s="22"/>
      <c r="D1419" s="19"/>
      <c r="H1419" s="18"/>
      <c r="J1419" s="18"/>
      <c r="N1419" s="16"/>
      <c r="O1419" s="17"/>
      <c r="P1419" s="17"/>
      <c r="Q1419" s="22"/>
      <c r="R1419" s="23"/>
    </row>
    <row r="1420" spans="1:18" ht="12.75">
      <c r="A1420" s="22"/>
      <c r="D1420" s="19"/>
      <c r="H1420" s="18"/>
      <c r="J1420" s="18"/>
      <c r="N1420" s="16"/>
      <c r="O1420" s="17"/>
      <c r="P1420" s="17"/>
      <c r="Q1420" s="22"/>
      <c r="R1420" s="23"/>
    </row>
    <row r="1421" spans="1:18" ht="12.75">
      <c r="A1421" s="22"/>
      <c r="D1421" s="19"/>
      <c r="H1421" s="18"/>
      <c r="J1421" s="18"/>
      <c r="N1421" s="16"/>
      <c r="O1421" s="17"/>
      <c r="P1421" s="17"/>
      <c r="Q1421" s="22"/>
      <c r="R1421" s="23"/>
    </row>
    <row r="1422" spans="1:18" ht="12.75">
      <c r="A1422" s="22"/>
      <c r="D1422" s="19"/>
      <c r="H1422" s="18"/>
      <c r="J1422" s="18"/>
      <c r="N1422" s="16"/>
      <c r="O1422" s="17"/>
      <c r="P1422" s="17"/>
      <c r="Q1422" s="22"/>
      <c r="R1422" s="23"/>
    </row>
    <row r="1423" spans="1:18" ht="12.75">
      <c r="A1423" s="22"/>
      <c r="D1423" s="19"/>
      <c r="H1423" s="18"/>
      <c r="J1423" s="18"/>
      <c r="N1423" s="16"/>
      <c r="O1423" s="17"/>
      <c r="P1423" s="17"/>
      <c r="Q1423" s="22"/>
      <c r="R1423" s="23"/>
    </row>
    <row r="1424" spans="1:18" ht="12.75">
      <c r="A1424" s="22"/>
      <c r="D1424" s="19"/>
      <c r="H1424" s="18"/>
      <c r="J1424" s="18"/>
      <c r="N1424" s="16"/>
      <c r="O1424" s="17"/>
      <c r="P1424" s="17"/>
      <c r="Q1424" s="22"/>
      <c r="R1424" s="23"/>
    </row>
    <row r="1425" spans="1:18" ht="12.75">
      <c r="A1425" s="22"/>
      <c r="D1425" s="19"/>
      <c r="H1425" s="18"/>
      <c r="J1425" s="18"/>
      <c r="N1425" s="16"/>
      <c r="O1425" s="17"/>
      <c r="P1425" s="17"/>
      <c r="Q1425" s="22"/>
      <c r="R1425" s="23"/>
    </row>
    <row r="1426" spans="1:18" ht="12.75">
      <c r="A1426" s="22"/>
      <c r="D1426" s="19"/>
      <c r="H1426" s="18"/>
      <c r="J1426" s="18"/>
      <c r="N1426" s="16"/>
      <c r="O1426" s="17"/>
      <c r="P1426" s="17"/>
      <c r="Q1426" s="22"/>
      <c r="R1426" s="23"/>
    </row>
    <row r="1427" spans="1:18" ht="12.75">
      <c r="A1427" s="22"/>
      <c r="D1427" s="19"/>
      <c r="H1427" s="18"/>
      <c r="J1427" s="18"/>
      <c r="N1427" s="16"/>
      <c r="O1427" s="17"/>
      <c r="P1427" s="17"/>
      <c r="Q1427" s="22"/>
      <c r="R1427" s="23"/>
    </row>
    <row r="1428" spans="1:18" ht="12.75">
      <c r="A1428" s="22"/>
      <c r="D1428" s="19"/>
      <c r="H1428" s="18"/>
      <c r="J1428" s="18"/>
      <c r="N1428" s="16"/>
      <c r="O1428" s="17"/>
      <c r="P1428" s="17"/>
      <c r="Q1428" s="22"/>
      <c r="R1428" s="23"/>
    </row>
    <row r="1429" spans="1:18" ht="12.75">
      <c r="A1429" s="22"/>
      <c r="D1429" s="19"/>
      <c r="H1429" s="18"/>
      <c r="J1429" s="18"/>
      <c r="N1429" s="16"/>
      <c r="O1429" s="17"/>
      <c r="P1429" s="17"/>
      <c r="Q1429" s="22"/>
      <c r="R1429" s="23"/>
    </row>
    <row r="1430" spans="1:18" ht="12.75">
      <c r="A1430" s="22"/>
      <c r="D1430" s="19"/>
      <c r="H1430" s="18"/>
      <c r="J1430" s="18"/>
      <c r="N1430" s="16"/>
      <c r="O1430" s="17"/>
      <c r="P1430" s="17"/>
      <c r="Q1430" s="22"/>
      <c r="R1430" s="23"/>
    </row>
    <row r="1431" spans="1:18" ht="12.75">
      <c r="A1431" s="22"/>
      <c r="D1431" s="19"/>
      <c r="H1431" s="18"/>
      <c r="J1431" s="18"/>
      <c r="N1431" s="16"/>
      <c r="O1431" s="17"/>
      <c r="P1431" s="17"/>
      <c r="Q1431" s="22"/>
      <c r="R1431" s="23"/>
    </row>
    <row r="1432" spans="1:18" ht="12.75">
      <c r="A1432" s="22"/>
      <c r="D1432" s="19"/>
      <c r="H1432" s="18"/>
      <c r="J1432" s="18"/>
      <c r="N1432" s="16"/>
      <c r="O1432" s="17"/>
      <c r="P1432" s="17"/>
      <c r="Q1432" s="22"/>
      <c r="R1432" s="23"/>
    </row>
    <row r="1433" spans="1:18" ht="12.75">
      <c r="A1433" s="22"/>
      <c r="D1433" s="19"/>
      <c r="H1433" s="18"/>
      <c r="J1433" s="18"/>
      <c r="N1433" s="16"/>
      <c r="O1433" s="17"/>
      <c r="P1433" s="17"/>
      <c r="Q1433" s="22"/>
      <c r="R1433" s="23"/>
    </row>
    <row r="1434" spans="1:18" ht="12.75">
      <c r="A1434" s="22"/>
      <c r="D1434" s="19"/>
      <c r="H1434" s="18"/>
      <c r="J1434" s="18"/>
      <c r="N1434" s="16"/>
      <c r="O1434" s="17"/>
      <c r="P1434" s="17"/>
      <c r="Q1434" s="22"/>
      <c r="R1434" s="23"/>
    </row>
    <row r="1435" spans="1:18" ht="12.75">
      <c r="A1435" s="22"/>
      <c r="D1435" s="19"/>
      <c r="H1435" s="18"/>
      <c r="J1435" s="18"/>
      <c r="N1435" s="16"/>
      <c r="O1435" s="17"/>
      <c r="P1435" s="17"/>
      <c r="Q1435" s="22"/>
      <c r="R1435" s="23"/>
    </row>
    <row r="1436" spans="1:18" ht="12.75">
      <c r="A1436" s="22"/>
      <c r="D1436" s="19"/>
      <c r="H1436" s="18"/>
      <c r="J1436" s="18"/>
      <c r="N1436" s="16"/>
      <c r="O1436" s="17"/>
      <c r="P1436" s="17"/>
      <c r="Q1436" s="22"/>
      <c r="R1436" s="23"/>
    </row>
    <row r="1437" spans="1:18" ht="12.75">
      <c r="A1437" s="22"/>
      <c r="D1437" s="19"/>
      <c r="H1437" s="18"/>
      <c r="J1437" s="18"/>
      <c r="N1437" s="16"/>
      <c r="O1437" s="17"/>
      <c r="P1437" s="17"/>
      <c r="Q1437" s="22"/>
      <c r="R1437" s="23"/>
    </row>
    <row r="1438" spans="1:18" ht="12.75">
      <c r="A1438" s="22"/>
      <c r="D1438" s="19"/>
      <c r="H1438" s="18"/>
      <c r="J1438" s="18"/>
      <c r="N1438" s="16"/>
      <c r="O1438" s="17"/>
      <c r="P1438" s="17"/>
      <c r="Q1438" s="22"/>
      <c r="R1438" s="23"/>
    </row>
    <row r="1439" spans="1:18" ht="12.75">
      <c r="A1439" s="22"/>
      <c r="D1439" s="19"/>
      <c r="H1439" s="18"/>
      <c r="J1439" s="18"/>
      <c r="N1439" s="16"/>
      <c r="O1439" s="17"/>
      <c r="P1439" s="17"/>
      <c r="Q1439" s="22"/>
      <c r="R1439" s="23"/>
    </row>
    <row r="1440" spans="1:18" ht="12.75">
      <c r="A1440" s="22"/>
      <c r="D1440" s="19"/>
      <c r="H1440" s="18"/>
      <c r="J1440" s="18"/>
      <c r="N1440" s="16"/>
      <c r="O1440" s="17"/>
      <c r="P1440" s="17"/>
      <c r="Q1440" s="22"/>
      <c r="R1440" s="23"/>
    </row>
    <row r="1441" spans="1:18" ht="12.75">
      <c r="A1441" s="22"/>
      <c r="D1441" s="19"/>
      <c r="H1441" s="18"/>
      <c r="J1441" s="18"/>
      <c r="N1441" s="16"/>
      <c r="O1441" s="17"/>
      <c r="P1441" s="17"/>
      <c r="Q1441" s="22"/>
      <c r="R1441" s="23"/>
    </row>
    <row r="1442" spans="1:18" ht="12.75">
      <c r="A1442" s="22"/>
      <c r="D1442" s="19"/>
      <c r="H1442" s="18"/>
      <c r="J1442" s="18"/>
      <c r="N1442" s="16"/>
      <c r="O1442" s="17"/>
      <c r="P1442" s="17"/>
      <c r="Q1442" s="22"/>
      <c r="R1442" s="23"/>
    </row>
    <row r="1443" spans="1:18" ht="12.75">
      <c r="A1443" s="22"/>
      <c r="D1443" s="19"/>
      <c r="H1443" s="18"/>
      <c r="J1443" s="18"/>
      <c r="N1443" s="16"/>
      <c r="O1443" s="17"/>
      <c r="P1443" s="17"/>
      <c r="Q1443" s="22"/>
      <c r="R1443" s="23"/>
    </row>
    <row r="1444" spans="1:18" ht="12.75">
      <c r="A1444" s="22"/>
      <c r="D1444" s="19"/>
      <c r="H1444" s="18"/>
      <c r="J1444" s="18"/>
      <c r="N1444" s="16"/>
      <c r="O1444" s="17"/>
      <c r="P1444" s="17"/>
      <c r="Q1444" s="22"/>
      <c r="R1444" s="23"/>
    </row>
    <row r="1445" spans="1:18" ht="12.75">
      <c r="A1445" s="22"/>
      <c r="D1445" s="19"/>
      <c r="H1445" s="18"/>
      <c r="J1445" s="18"/>
      <c r="N1445" s="16"/>
      <c r="O1445" s="17"/>
      <c r="P1445" s="17"/>
      <c r="Q1445" s="22"/>
      <c r="R1445" s="23"/>
    </row>
    <row r="1446" spans="1:18" ht="12.75">
      <c r="A1446" s="22"/>
      <c r="D1446" s="19"/>
      <c r="H1446" s="18"/>
      <c r="J1446" s="18"/>
      <c r="N1446" s="16"/>
      <c r="O1446" s="17"/>
      <c r="P1446" s="17"/>
      <c r="Q1446" s="22"/>
      <c r="R1446" s="23"/>
    </row>
    <row r="1447" spans="1:18" ht="12.75">
      <c r="A1447" s="22"/>
      <c r="D1447" s="19"/>
      <c r="H1447" s="18"/>
      <c r="J1447" s="18"/>
      <c r="N1447" s="16"/>
      <c r="O1447" s="17"/>
      <c r="P1447" s="17"/>
      <c r="Q1447" s="22"/>
      <c r="R1447" s="23"/>
    </row>
    <row r="1448" spans="1:18" ht="12.75">
      <c r="A1448" s="22"/>
      <c r="D1448" s="19"/>
      <c r="H1448" s="18"/>
      <c r="J1448" s="18"/>
      <c r="N1448" s="16"/>
      <c r="O1448" s="17"/>
      <c r="P1448" s="17"/>
      <c r="Q1448" s="22"/>
      <c r="R1448" s="23"/>
    </row>
    <row r="1449" spans="1:18" ht="12.75">
      <c r="A1449" s="22"/>
      <c r="D1449" s="19"/>
      <c r="H1449" s="18"/>
      <c r="J1449" s="18"/>
      <c r="N1449" s="16"/>
      <c r="O1449" s="17"/>
      <c r="P1449" s="17"/>
      <c r="Q1449" s="22"/>
      <c r="R1449" s="23"/>
    </row>
    <row r="1450" spans="1:18" ht="12.75">
      <c r="A1450" s="22"/>
      <c r="D1450" s="19"/>
      <c r="H1450" s="18"/>
      <c r="J1450" s="18"/>
      <c r="N1450" s="16"/>
      <c r="O1450" s="17"/>
      <c r="P1450" s="17"/>
      <c r="Q1450" s="22"/>
      <c r="R1450" s="23"/>
    </row>
    <row r="1451" spans="1:18" ht="12.75">
      <c r="A1451" s="22"/>
      <c r="D1451" s="19"/>
      <c r="H1451" s="18"/>
      <c r="J1451" s="18"/>
      <c r="N1451" s="16"/>
      <c r="O1451" s="17"/>
      <c r="P1451" s="17"/>
      <c r="Q1451" s="22"/>
      <c r="R1451" s="23"/>
    </row>
    <row r="1452" spans="1:18" ht="12.75">
      <c r="A1452" s="22"/>
      <c r="D1452" s="19"/>
      <c r="H1452" s="18"/>
      <c r="J1452" s="18"/>
      <c r="N1452" s="16"/>
      <c r="O1452" s="17"/>
      <c r="P1452" s="17"/>
      <c r="Q1452" s="22"/>
      <c r="R1452" s="23"/>
    </row>
    <row r="1453" spans="1:18" ht="12.75">
      <c r="A1453" s="22"/>
      <c r="D1453" s="19"/>
      <c r="H1453" s="18"/>
      <c r="J1453" s="18"/>
      <c r="N1453" s="16"/>
      <c r="O1453" s="17"/>
      <c r="P1453" s="17"/>
      <c r="Q1453" s="22"/>
      <c r="R1453" s="23"/>
    </row>
    <row r="1454" spans="1:18" ht="12.75">
      <c r="A1454" s="22"/>
      <c r="D1454" s="19"/>
      <c r="H1454" s="18"/>
      <c r="J1454" s="18"/>
      <c r="N1454" s="16"/>
      <c r="O1454" s="17"/>
      <c r="P1454" s="17"/>
      <c r="Q1454" s="22"/>
      <c r="R1454" s="23"/>
    </row>
    <row r="1455" spans="1:18" ht="12.75">
      <c r="A1455" s="22"/>
      <c r="D1455" s="19"/>
      <c r="H1455" s="18"/>
      <c r="J1455" s="18"/>
      <c r="N1455" s="16"/>
      <c r="O1455" s="17"/>
      <c r="P1455" s="17"/>
      <c r="Q1455" s="22"/>
      <c r="R1455" s="23"/>
    </row>
    <row r="1456" spans="1:18" ht="12.75">
      <c r="A1456" s="22"/>
      <c r="D1456" s="19"/>
      <c r="H1456" s="18"/>
      <c r="J1456" s="18"/>
      <c r="N1456" s="16"/>
      <c r="O1456" s="17"/>
      <c r="P1456" s="17"/>
      <c r="Q1456" s="22"/>
      <c r="R1456" s="23"/>
    </row>
    <row r="1457" spans="1:18" ht="12.75">
      <c r="A1457" s="22"/>
      <c r="D1457" s="19"/>
      <c r="H1457" s="18"/>
      <c r="J1457" s="18"/>
      <c r="N1457" s="16"/>
      <c r="O1457" s="17"/>
      <c r="P1457" s="17"/>
      <c r="Q1457" s="22"/>
      <c r="R1457" s="23"/>
    </row>
    <row r="1458" spans="1:18" ht="12.75">
      <c r="A1458" s="22"/>
      <c r="D1458" s="19"/>
      <c r="H1458" s="18"/>
      <c r="J1458" s="18"/>
      <c r="N1458" s="16"/>
      <c r="O1458" s="17"/>
      <c r="P1458" s="17"/>
      <c r="Q1458" s="22"/>
      <c r="R1458" s="23"/>
    </row>
    <row r="1459" spans="1:18" ht="12.75">
      <c r="A1459" s="22"/>
      <c r="D1459" s="19"/>
      <c r="H1459" s="18"/>
      <c r="J1459" s="18"/>
      <c r="N1459" s="16"/>
      <c r="O1459" s="17"/>
      <c r="P1459" s="17"/>
      <c r="Q1459" s="22"/>
      <c r="R1459" s="23"/>
    </row>
    <row r="1460" spans="1:18" ht="12.75">
      <c r="A1460" s="22"/>
      <c r="D1460" s="19"/>
      <c r="H1460" s="18"/>
      <c r="J1460" s="18"/>
      <c r="N1460" s="16"/>
      <c r="O1460" s="17"/>
      <c r="P1460" s="17"/>
      <c r="Q1460" s="22"/>
      <c r="R1460" s="23"/>
    </row>
    <row r="1461" spans="1:18" ht="12.75">
      <c r="A1461" s="22"/>
      <c r="D1461" s="19"/>
      <c r="H1461" s="18"/>
      <c r="J1461" s="18"/>
      <c r="N1461" s="16"/>
      <c r="O1461" s="17"/>
      <c r="P1461" s="17"/>
      <c r="Q1461" s="22"/>
      <c r="R1461" s="23"/>
    </row>
    <row r="1462" spans="1:18" ht="12.75">
      <c r="A1462" s="22"/>
      <c r="D1462" s="19"/>
      <c r="H1462" s="18"/>
      <c r="J1462" s="18"/>
      <c r="N1462" s="16"/>
      <c r="O1462" s="17"/>
      <c r="P1462" s="17"/>
      <c r="Q1462" s="22"/>
      <c r="R1462" s="23"/>
    </row>
    <row r="1463" spans="1:18" ht="12.75">
      <c r="A1463" s="22"/>
      <c r="D1463" s="19"/>
      <c r="H1463" s="18"/>
      <c r="J1463" s="18"/>
      <c r="N1463" s="16"/>
      <c r="O1463" s="17"/>
      <c r="P1463" s="17"/>
      <c r="Q1463" s="22"/>
      <c r="R1463" s="23"/>
    </row>
    <row r="1464" spans="1:18" ht="12.75">
      <c r="A1464" s="22"/>
      <c r="D1464" s="19"/>
      <c r="H1464" s="18"/>
      <c r="J1464" s="18"/>
      <c r="N1464" s="16"/>
      <c r="O1464" s="17"/>
      <c r="P1464" s="17"/>
      <c r="Q1464" s="22"/>
      <c r="R1464" s="23"/>
    </row>
    <row r="1465" spans="1:18" ht="12.75">
      <c r="A1465" s="22"/>
      <c r="D1465" s="19"/>
      <c r="H1465" s="18"/>
      <c r="J1465" s="18"/>
      <c r="N1465" s="16"/>
      <c r="O1465" s="17"/>
      <c r="P1465" s="17"/>
      <c r="Q1465" s="22"/>
      <c r="R1465" s="23"/>
    </row>
    <row r="1466" spans="1:18" ht="12.75">
      <c r="A1466" s="22"/>
      <c r="D1466" s="19"/>
      <c r="H1466" s="18"/>
      <c r="J1466" s="18"/>
      <c r="N1466" s="16"/>
      <c r="O1466" s="17"/>
      <c r="P1466" s="17"/>
      <c r="Q1466" s="22"/>
      <c r="R1466" s="23"/>
    </row>
    <row r="1467" spans="1:18" ht="12.75">
      <c r="A1467" s="22"/>
      <c r="D1467" s="19"/>
      <c r="H1467" s="18"/>
      <c r="J1467" s="18"/>
      <c r="N1467" s="16"/>
      <c r="O1467" s="17"/>
      <c r="P1467" s="17"/>
      <c r="Q1467" s="22"/>
      <c r="R1467" s="23"/>
    </row>
    <row r="1468" spans="1:18" ht="12.75">
      <c r="A1468" s="22"/>
      <c r="D1468" s="19"/>
      <c r="H1468" s="18"/>
      <c r="J1468" s="18"/>
      <c r="N1468" s="16"/>
      <c r="O1468" s="17"/>
      <c r="P1468" s="17"/>
      <c r="Q1468" s="22"/>
      <c r="R1468" s="23"/>
    </row>
    <row r="1469" spans="1:18" ht="12.75">
      <c r="A1469" s="22"/>
      <c r="D1469" s="19"/>
      <c r="H1469" s="18"/>
      <c r="J1469" s="18"/>
      <c r="N1469" s="16"/>
      <c r="O1469" s="17"/>
      <c r="P1469" s="17"/>
      <c r="Q1469" s="22"/>
      <c r="R1469" s="23"/>
    </row>
    <row r="1470" spans="1:18" ht="12.75">
      <c r="A1470" s="22"/>
      <c r="D1470" s="19"/>
      <c r="H1470" s="18"/>
      <c r="J1470" s="18"/>
      <c r="N1470" s="16"/>
      <c r="O1470" s="17"/>
      <c r="P1470" s="17"/>
      <c r="Q1470" s="22"/>
      <c r="R1470" s="23"/>
    </row>
    <row r="1471" spans="1:18" ht="12.75">
      <c r="A1471" s="22"/>
      <c r="D1471" s="19"/>
      <c r="H1471" s="18"/>
      <c r="J1471" s="18"/>
      <c r="N1471" s="16"/>
      <c r="O1471" s="17"/>
      <c r="P1471" s="17"/>
      <c r="Q1471" s="22"/>
      <c r="R1471" s="23"/>
    </row>
    <row r="1472" spans="1:18" ht="12.75">
      <c r="A1472" s="22"/>
      <c r="D1472" s="19"/>
      <c r="H1472" s="18"/>
      <c r="J1472" s="18"/>
      <c r="N1472" s="16"/>
      <c r="O1472" s="17"/>
      <c r="P1472" s="17"/>
      <c r="Q1472" s="22"/>
      <c r="R1472" s="23"/>
    </row>
    <row r="1473" spans="1:18" ht="12.75">
      <c r="A1473" s="22"/>
      <c r="D1473" s="19"/>
      <c r="H1473" s="18"/>
      <c r="J1473" s="18"/>
      <c r="N1473" s="16"/>
      <c r="O1473" s="17"/>
      <c r="P1473" s="17"/>
      <c r="Q1473" s="22"/>
      <c r="R1473" s="23"/>
    </row>
    <row r="1474" spans="1:18" ht="12.75">
      <c r="A1474" s="22"/>
      <c r="D1474" s="19"/>
      <c r="H1474" s="18"/>
      <c r="J1474" s="18"/>
      <c r="N1474" s="16"/>
      <c r="O1474" s="17"/>
      <c r="P1474" s="17"/>
      <c r="Q1474" s="22"/>
      <c r="R1474" s="23"/>
    </row>
    <row r="1475" spans="1:18" ht="12.75">
      <c r="A1475" s="22"/>
      <c r="D1475" s="19"/>
      <c r="H1475" s="18"/>
      <c r="J1475" s="18"/>
      <c r="N1475" s="16"/>
      <c r="O1475" s="17"/>
      <c r="P1475" s="17"/>
      <c r="Q1475" s="22"/>
      <c r="R1475" s="23"/>
    </row>
    <row r="1476" spans="1:18" ht="12.75">
      <c r="A1476" s="22"/>
      <c r="D1476" s="19"/>
      <c r="H1476" s="18"/>
      <c r="J1476" s="18"/>
      <c r="N1476" s="16"/>
      <c r="O1476" s="17"/>
      <c r="P1476" s="17"/>
      <c r="Q1476" s="22"/>
      <c r="R1476" s="23"/>
    </row>
    <row r="1477" spans="1:18" ht="12.75">
      <c r="A1477" s="22"/>
      <c r="D1477" s="19"/>
      <c r="H1477" s="18"/>
      <c r="J1477" s="18"/>
      <c r="N1477" s="16"/>
      <c r="O1477" s="17"/>
      <c r="P1477" s="17"/>
      <c r="Q1477" s="22"/>
      <c r="R1477" s="23"/>
    </row>
    <row r="1478" spans="1:18" ht="12.75">
      <c r="A1478" s="22"/>
      <c r="D1478" s="19"/>
      <c r="H1478" s="18"/>
      <c r="J1478" s="18"/>
      <c r="N1478" s="16"/>
      <c r="O1478" s="17"/>
      <c r="P1478" s="17"/>
      <c r="Q1478" s="22"/>
      <c r="R1478" s="23"/>
    </row>
    <row r="1479" spans="1:18" ht="12.75">
      <c r="A1479" s="22"/>
      <c r="D1479" s="19"/>
      <c r="H1479" s="18"/>
      <c r="J1479" s="18"/>
      <c r="N1479" s="16"/>
      <c r="O1479" s="17"/>
      <c r="P1479" s="17"/>
      <c r="Q1479" s="22"/>
      <c r="R1479" s="23"/>
    </row>
    <row r="1480" spans="1:18" ht="12.75">
      <c r="A1480" s="22"/>
      <c r="D1480" s="19"/>
      <c r="H1480" s="18"/>
      <c r="J1480" s="18"/>
      <c r="N1480" s="16"/>
      <c r="O1480" s="17"/>
      <c r="P1480" s="17"/>
      <c r="Q1480" s="22"/>
      <c r="R1480" s="23"/>
    </row>
    <row r="1481" spans="1:18" ht="12.75">
      <c r="A1481" s="22"/>
      <c r="D1481" s="19"/>
      <c r="H1481" s="18"/>
      <c r="J1481" s="18"/>
      <c r="N1481" s="16"/>
      <c r="O1481" s="17"/>
      <c r="P1481" s="17"/>
      <c r="Q1481" s="22"/>
      <c r="R1481" s="23"/>
    </row>
    <row r="1482" spans="1:18" ht="12.75">
      <c r="A1482" s="22"/>
      <c r="D1482" s="19"/>
      <c r="H1482" s="18"/>
      <c r="J1482" s="18"/>
      <c r="N1482" s="16"/>
      <c r="O1482" s="17"/>
      <c r="P1482" s="17"/>
      <c r="Q1482" s="22"/>
      <c r="R1482" s="23"/>
    </row>
    <row r="1483" spans="1:18" ht="12.75">
      <c r="A1483" s="22"/>
      <c r="D1483" s="19"/>
      <c r="H1483" s="18"/>
      <c r="J1483" s="18"/>
      <c r="N1483" s="16"/>
      <c r="O1483" s="17"/>
      <c r="P1483" s="17"/>
      <c r="Q1483" s="22"/>
      <c r="R1483" s="23"/>
    </row>
    <row r="1484" spans="1:18" ht="12.75">
      <c r="A1484" s="22"/>
      <c r="D1484" s="19"/>
      <c r="H1484" s="18"/>
      <c r="J1484" s="18"/>
      <c r="N1484" s="16"/>
      <c r="O1484" s="17"/>
      <c r="P1484" s="17"/>
      <c r="Q1484" s="22"/>
      <c r="R1484" s="23"/>
    </row>
    <row r="1485" spans="1:18" ht="12.75">
      <c r="A1485" s="22"/>
      <c r="D1485" s="19"/>
      <c r="H1485" s="18"/>
      <c r="J1485" s="18"/>
      <c r="N1485" s="16"/>
      <c r="O1485" s="17"/>
      <c r="P1485" s="17"/>
      <c r="Q1485" s="22"/>
      <c r="R1485" s="23"/>
    </row>
    <row r="1486" spans="1:18" ht="12.75">
      <c r="A1486" s="22"/>
      <c r="D1486" s="19"/>
      <c r="H1486" s="18"/>
      <c r="J1486" s="18"/>
      <c r="N1486" s="16"/>
      <c r="O1486" s="17"/>
      <c r="P1486" s="17"/>
      <c r="Q1486" s="22"/>
      <c r="R1486" s="23"/>
    </row>
    <row r="1487" spans="1:18" ht="12.75">
      <c r="A1487" s="22"/>
      <c r="D1487" s="19"/>
      <c r="H1487" s="18"/>
      <c r="J1487" s="18"/>
      <c r="N1487" s="16"/>
      <c r="O1487" s="17"/>
      <c r="P1487" s="17"/>
      <c r="Q1487" s="22"/>
      <c r="R1487" s="23"/>
    </row>
    <row r="1488" spans="1:18" ht="12.75">
      <c r="A1488" s="22"/>
      <c r="D1488" s="19"/>
      <c r="H1488" s="18"/>
      <c r="J1488" s="18"/>
      <c r="N1488" s="16"/>
      <c r="O1488" s="17"/>
      <c r="P1488" s="17"/>
      <c r="Q1488" s="22"/>
      <c r="R1488" s="23"/>
    </row>
    <row r="1489" spans="1:18" ht="12.75">
      <c r="A1489" s="22"/>
      <c r="D1489" s="19"/>
      <c r="H1489" s="18"/>
      <c r="J1489" s="18"/>
      <c r="N1489" s="16"/>
      <c r="O1489" s="17"/>
      <c r="P1489" s="17"/>
      <c r="Q1489" s="22"/>
      <c r="R1489" s="23"/>
    </row>
    <row r="1490" spans="1:18" ht="12.75">
      <c r="A1490" s="22"/>
      <c r="D1490" s="19"/>
      <c r="H1490" s="18"/>
      <c r="J1490" s="18"/>
      <c r="N1490" s="16"/>
      <c r="O1490" s="17"/>
      <c r="P1490" s="17"/>
      <c r="Q1490" s="22"/>
      <c r="R1490" s="23"/>
    </row>
    <row r="1491" spans="1:18" ht="12.75">
      <c r="A1491" s="22"/>
      <c r="D1491" s="19"/>
      <c r="H1491" s="18"/>
      <c r="J1491" s="18"/>
      <c r="N1491" s="16"/>
      <c r="O1491" s="17"/>
      <c r="P1491" s="17"/>
      <c r="Q1491" s="22"/>
      <c r="R1491" s="23"/>
    </row>
    <row r="1492" spans="1:18" ht="12.75">
      <c r="A1492" s="22"/>
      <c r="D1492" s="19"/>
      <c r="H1492" s="18"/>
      <c r="J1492" s="18"/>
      <c r="N1492" s="16"/>
      <c r="O1492" s="17"/>
      <c r="P1492" s="17"/>
      <c r="Q1492" s="22"/>
      <c r="R1492" s="23"/>
    </row>
    <row r="1493" spans="1:18" ht="12.75">
      <c r="A1493" s="22"/>
      <c r="D1493" s="19"/>
      <c r="H1493" s="18"/>
      <c r="J1493" s="18"/>
      <c r="N1493" s="16"/>
      <c r="O1493" s="17"/>
      <c r="P1493" s="17"/>
      <c r="Q1493" s="22"/>
      <c r="R1493" s="23"/>
    </row>
    <row r="1494" spans="1:18" ht="12.75">
      <c r="A1494" s="22"/>
      <c r="D1494" s="19"/>
      <c r="H1494" s="18"/>
      <c r="J1494" s="18"/>
      <c r="N1494" s="16"/>
      <c r="O1494" s="17"/>
      <c r="P1494" s="17"/>
      <c r="Q1494" s="22"/>
      <c r="R1494" s="23"/>
    </row>
    <row r="1495" spans="1:18" ht="12.75">
      <c r="A1495" s="22"/>
      <c r="D1495" s="19"/>
      <c r="H1495" s="18"/>
      <c r="J1495" s="18"/>
      <c r="N1495" s="16"/>
      <c r="O1495" s="17"/>
      <c r="P1495" s="17"/>
      <c r="Q1495" s="22"/>
      <c r="R1495" s="23"/>
    </row>
    <row r="1496" spans="1:18" ht="12.75">
      <c r="A1496" s="22"/>
      <c r="D1496" s="19"/>
      <c r="H1496" s="18"/>
      <c r="J1496" s="18"/>
      <c r="N1496" s="16"/>
      <c r="O1496" s="17"/>
      <c r="P1496" s="17"/>
      <c r="Q1496" s="22"/>
      <c r="R1496" s="23"/>
    </row>
    <row r="1497" spans="1:18" ht="12.75">
      <c r="A1497" s="22"/>
      <c r="D1497" s="19"/>
      <c r="H1497" s="18"/>
      <c r="J1497" s="18"/>
      <c r="N1497" s="16"/>
      <c r="O1497" s="17"/>
      <c r="P1497" s="17"/>
      <c r="Q1497" s="22"/>
      <c r="R1497" s="23"/>
    </row>
    <row r="1498" spans="1:18" ht="12.75">
      <c r="A1498" s="22"/>
      <c r="D1498" s="19"/>
      <c r="H1498" s="18"/>
      <c r="J1498" s="18"/>
      <c r="N1498" s="16"/>
      <c r="O1498" s="17"/>
      <c r="P1498" s="17"/>
      <c r="Q1498" s="22"/>
      <c r="R1498" s="23"/>
    </row>
    <row r="1499" spans="1:18" ht="12.75">
      <c r="A1499" s="22"/>
      <c r="D1499" s="19"/>
      <c r="H1499" s="18"/>
      <c r="J1499" s="18"/>
      <c r="N1499" s="16"/>
      <c r="O1499" s="17"/>
      <c r="P1499" s="17"/>
      <c r="Q1499" s="22"/>
      <c r="R1499" s="23"/>
    </row>
    <row r="1500" spans="1:18" ht="12.75">
      <c r="A1500" s="22"/>
      <c r="D1500" s="19"/>
      <c r="H1500" s="18"/>
      <c r="J1500" s="18"/>
      <c r="N1500" s="16"/>
      <c r="O1500" s="17"/>
      <c r="P1500" s="17"/>
      <c r="Q1500" s="22"/>
      <c r="R1500" s="23"/>
    </row>
    <row r="1501" spans="1:18" ht="12.75">
      <c r="A1501" s="22"/>
      <c r="D1501" s="19"/>
      <c r="H1501" s="18"/>
      <c r="J1501" s="18"/>
      <c r="N1501" s="16"/>
      <c r="O1501" s="17"/>
      <c r="P1501" s="17"/>
      <c r="Q1501" s="22"/>
      <c r="R1501" s="23"/>
    </row>
    <row r="1502" spans="1:18" ht="12.75">
      <c r="A1502" s="22"/>
      <c r="D1502" s="19"/>
      <c r="H1502" s="18"/>
      <c r="J1502" s="18"/>
      <c r="N1502" s="16"/>
      <c r="O1502" s="17"/>
      <c r="P1502" s="17"/>
      <c r="Q1502" s="22"/>
      <c r="R1502" s="23"/>
    </row>
    <row r="1503" spans="1:18" ht="12.75">
      <c r="A1503" s="22"/>
      <c r="D1503" s="19"/>
      <c r="H1503" s="18"/>
      <c r="J1503" s="18"/>
      <c r="N1503" s="16"/>
      <c r="O1503" s="17"/>
      <c r="P1503" s="17"/>
      <c r="Q1503" s="22"/>
      <c r="R1503" s="23"/>
    </row>
    <row r="1504" spans="1:18" ht="12.75">
      <c r="A1504" s="22"/>
      <c r="D1504" s="19"/>
      <c r="H1504" s="18"/>
      <c r="J1504" s="18"/>
      <c r="N1504" s="16"/>
      <c r="O1504" s="17"/>
      <c r="P1504" s="17"/>
      <c r="Q1504" s="22"/>
      <c r="R1504" s="23"/>
    </row>
    <row r="1505" spans="1:18" ht="12.75">
      <c r="A1505" s="22"/>
      <c r="D1505" s="19"/>
      <c r="H1505" s="18"/>
      <c r="J1505" s="18"/>
      <c r="N1505" s="16"/>
      <c r="O1505" s="17"/>
      <c r="P1505" s="17"/>
      <c r="Q1505" s="22"/>
      <c r="R1505" s="23"/>
    </row>
    <row r="1506" spans="1:18" ht="12.75">
      <c r="A1506" s="22"/>
      <c r="D1506" s="19"/>
      <c r="H1506" s="18"/>
      <c r="J1506" s="18"/>
      <c r="N1506" s="16"/>
      <c r="O1506" s="17"/>
      <c r="P1506" s="17"/>
      <c r="Q1506" s="22"/>
      <c r="R1506" s="23"/>
    </row>
    <row r="1507" spans="1:18" ht="12.75">
      <c r="A1507" s="22"/>
      <c r="D1507" s="19"/>
      <c r="H1507" s="18"/>
      <c r="J1507" s="18"/>
      <c r="N1507" s="16"/>
      <c r="O1507" s="17"/>
      <c r="P1507" s="17"/>
      <c r="Q1507" s="22"/>
      <c r="R1507" s="23"/>
    </row>
    <row r="1508" spans="1:18" ht="12.75">
      <c r="A1508" s="22"/>
      <c r="D1508" s="19"/>
      <c r="H1508" s="18"/>
      <c r="J1508" s="18"/>
      <c r="N1508" s="16"/>
      <c r="O1508" s="17"/>
      <c r="P1508" s="17"/>
      <c r="Q1508" s="22"/>
      <c r="R1508" s="23"/>
    </row>
    <row r="1509" spans="1:18" ht="12.75">
      <c r="A1509" s="22"/>
      <c r="D1509" s="19"/>
      <c r="H1509" s="18"/>
      <c r="J1509" s="18"/>
      <c r="N1509" s="16"/>
      <c r="O1509" s="17"/>
      <c r="P1509" s="17"/>
      <c r="Q1509" s="22"/>
      <c r="R1509" s="23"/>
    </row>
    <row r="1510" spans="1:18" ht="12.75">
      <c r="A1510" s="22"/>
      <c r="D1510" s="19"/>
      <c r="H1510" s="18"/>
      <c r="J1510" s="18"/>
      <c r="N1510" s="16"/>
      <c r="O1510" s="17"/>
      <c r="P1510" s="17"/>
      <c r="Q1510" s="22"/>
      <c r="R1510" s="23"/>
    </row>
    <row r="1511" spans="1:18" ht="12.75">
      <c r="A1511" s="22"/>
      <c r="D1511" s="19"/>
      <c r="H1511" s="18"/>
      <c r="J1511" s="18"/>
      <c r="N1511" s="16"/>
      <c r="O1511" s="17"/>
      <c r="P1511" s="17"/>
      <c r="Q1511" s="22"/>
      <c r="R1511" s="23"/>
    </row>
    <row r="1512" spans="1:18" ht="12.75">
      <c r="A1512" s="22"/>
      <c r="D1512" s="19"/>
      <c r="H1512" s="18"/>
      <c r="J1512" s="18"/>
      <c r="N1512" s="16"/>
      <c r="O1512" s="17"/>
      <c r="P1512" s="17"/>
      <c r="Q1512" s="22"/>
      <c r="R1512" s="23"/>
    </row>
    <row r="1513" spans="1:18" ht="12.75">
      <c r="A1513" s="22"/>
      <c r="D1513" s="19"/>
      <c r="H1513" s="18"/>
      <c r="J1513" s="18"/>
      <c r="N1513" s="16"/>
      <c r="O1513" s="17"/>
      <c r="P1513" s="17"/>
      <c r="Q1513" s="22"/>
      <c r="R1513" s="23"/>
    </row>
    <row r="1514" spans="1:18" ht="12.75">
      <c r="A1514" s="22"/>
      <c r="D1514" s="19"/>
      <c r="H1514" s="18"/>
      <c r="J1514" s="18"/>
      <c r="N1514" s="16"/>
      <c r="O1514" s="17"/>
      <c r="P1514" s="17"/>
      <c r="Q1514" s="22"/>
      <c r="R1514" s="23"/>
    </row>
    <row r="1515" spans="1:18" ht="12.75">
      <c r="A1515" s="22"/>
      <c r="D1515" s="19"/>
      <c r="H1515" s="18"/>
      <c r="J1515" s="18"/>
      <c r="N1515" s="16"/>
      <c r="O1515" s="17"/>
      <c r="P1515" s="17"/>
      <c r="Q1515" s="22"/>
      <c r="R1515" s="23"/>
    </row>
    <row r="1516" spans="1:18" ht="12.75">
      <c r="A1516" s="22"/>
      <c r="D1516" s="19"/>
      <c r="H1516" s="18"/>
      <c r="J1516" s="18"/>
      <c r="N1516" s="16"/>
      <c r="O1516" s="17"/>
      <c r="P1516" s="17"/>
      <c r="Q1516" s="22"/>
      <c r="R1516" s="23"/>
    </row>
    <row r="1517" spans="1:18" ht="12.75">
      <c r="A1517" s="22"/>
      <c r="D1517" s="19"/>
      <c r="H1517" s="18"/>
      <c r="J1517" s="18"/>
      <c r="N1517" s="16"/>
      <c r="O1517" s="17"/>
      <c r="P1517" s="17"/>
      <c r="Q1517" s="22"/>
      <c r="R1517" s="23"/>
    </row>
    <row r="1518" spans="1:18" ht="12.75">
      <c r="A1518" s="22"/>
      <c r="D1518" s="19"/>
      <c r="H1518" s="18"/>
      <c r="J1518" s="18"/>
      <c r="N1518" s="16"/>
      <c r="O1518" s="17"/>
      <c r="P1518" s="17"/>
      <c r="Q1518" s="22"/>
      <c r="R1518" s="23"/>
    </row>
    <row r="1519" spans="1:18" ht="12.75">
      <c r="A1519" s="22"/>
      <c r="D1519" s="19"/>
      <c r="H1519" s="18"/>
      <c r="J1519" s="18"/>
      <c r="N1519" s="16"/>
      <c r="O1519" s="17"/>
      <c r="P1519" s="17"/>
      <c r="Q1519" s="22"/>
      <c r="R1519" s="23"/>
    </row>
    <row r="1520" spans="1:18" ht="12.75">
      <c r="A1520" s="22"/>
      <c r="D1520" s="19"/>
      <c r="H1520" s="18"/>
      <c r="J1520" s="18"/>
      <c r="N1520" s="16"/>
      <c r="O1520" s="17"/>
      <c r="P1520" s="17"/>
      <c r="Q1520" s="22"/>
      <c r="R1520" s="23"/>
    </row>
    <row r="1521" spans="1:18" ht="12.75">
      <c r="A1521" s="22"/>
      <c r="D1521" s="19"/>
      <c r="H1521" s="18"/>
      <c r="J1521" s="18"/>
      <c r="N1521" s="16"/>
      <c r="O1521" s="17"/>
      <c r="P1521" s="17"/>
      <c r="Q1521" s="22"/>
      <c r="R1521" s="23"/>
    </row>
    <row r="1522" spans="1:18" ht="12.75">
      <c r="A1522" s="22"/>
      <c r="D1522" s="19"/>
      <c r="H1522" s="18"/>
      <c r="J1522" s="18"/>
      <c r="N1522" s="16"/>
      <c r="O1522" s="17"/>
      <c r="P1522" s="17"/>
      <c r="Q1522" s="22"/>
      <c r="R1522" s="23"/>
    </row>
    <row r="1523" spans="1:18" ht="12.75">
      <c r="A1523" s="22"/>
      <c r="D1523" s="19"/>
      <c r="H1523" s="18"/>
      <c r="J1523" s="18"/>
      <c r="N1523" s="16"/>
      <c r="O1523" s="17"/>
      <c r="P1523" s="17"/>
      <c r="Q1523" s="22"/>
      <c r="R1523" s="23"/>
    </row>
    <row r="1524" spans="1:18" ht="12.75">
      <c r="A1524" s="22"/>
      <c r="D1524" s="19"/>
      <c r="H1524" s="18"/>
      <c r="J1524" s="18"/>
      <c r="N1524" s="16"/>
      <c r="O1524" s="17"/>
      <c r="P1524" s="17"/>
      <c r="Q1524" s="22"/>
      <c r="R1524" s="23"/>
    </row>
    <row r="1525" spans="1:18" ht="12.75">
      <c r="A1525" s="22"/>
      <c r="D1525" s="19"/>
      <c r="H1525" s="18"/>
      <c r="J1525" s="18"/>
      <c r="N1525" s="16"/>
      <c r="O1525" s="17"/>
      <c r="P1525" s="17"/>
      <c r="Q1525" s="22"/>
      <c r="R1525" s="23"/>
    </row>
    <row r="1526" spans="1:18" ht="12.75">
      <c r="A1526" s="22"/>
      <c r="D1526" s="19"/>
      <c r="H1526" s="18"/>
      <c r="J1526" s="18"/>
      <c r="N1526" s="16"/>
      <c r="O1526" s="17"/>
      <c r="P1526" s="17"/>
      <c r="Q1526" s="22"/>
      <c r="R1526" s="23"/>
    </row>
    <row r="1527" spans="1:18" ht="12.75">
      <c r="A1527" s="22"/>
      <c r="D1527" s="19"/>
      <c r="H1527" s="18"/>
      <c r="J1527" s="18"/>
      <c r="N1527" s="16"/>
      <c r="O1527" s="17"/>
      <c r="P1527" s="17"/>
      <c r="Q1527" s="22"/>
      <c r="R1527" s="23"/>
    </row>
    <row r="1528" spans="1:18" ht="12.75">
      <c r="A1528" s="22"/>
      <c r="D1528" s="19"/>
      <c r="H1528" s="18"/>
      <c r="J1528" s="18"/>
      <c r="N1528" s="16"/>
      <c r="O1528" s="17"/>
      <c r="P1528" s="17"/>
      <c r="Q1528" s="22"/>
      <c r="R1528" s="23"/>
    </row>
    <row r="1529" spans="1:18" ht="12.75">
      <c r="A1529" s="22"/>
      <c r="D1529" s="19"/>
      <c r="H1529" s="18"/>
      <c r="J1529" s="18"/>
      <c r="N1529" s="16"/>
      <c r="O1529" s="17"/>
      <c r="P1529" s="17"/>
      <c r="Q1529" s="22"/>
      <c r="R1529" s="23"/>
    </row>
    <row r="1530" spans="1:18" ht="12.75">
      <c r="A1530" s="22"/>
      <c r="D1530" s="19"/>
      <c r="H1530" s="18"/>
      <c r="J1530" s="18"/>
      <c r="N1530" s="16"/>
      <c r="O1530" s="17"/>
      <c r="P1530" s="17"/>
      <c r="Q1530" s="22"/>
      <c r="R1530" s="23"/>
    </row>
    <row r="1531" spans="1:18" ht="12.75">
      <c r="A1531" s="22"/>
      <c r="D1531" s="19"/>
      <c r="H1531" s="18"/>
      <c r="J1531" s="18"/>
      <c r="N1531" s="16"/>
      <c r="O1531" s="17"/>
      <c r="P1531" s="17"/>
      <c r="Q1531" s="22"/>
      <c r="R1531" s="23"/>
    </row>
    <row r="1532" spans="1:18" ht="12.75">
      <c r="A1532" s="22"/>
      <c r="D1532" s="19"/>
      <c r="H1532" s="18"/>
      <c r="J1532" s="18"/>
      <c r="N1532" s="16"/>
      <c r="O1532" s="17"/>
      <c r="P1532" s="17"/>
      <c r="Q1532" s="22"/>
      <c r="R1532" s="23"/>
    </row>
    <row r="1533" spans="1:18" ht="12.75">
      <c r="A1533" s="22"/>
      <c r="D1533" s="19"/>
      <c r="H1533" s="18"/>
      <c r="J1533" s="18"/>
      <c r="N1533" s="16"/>
      <c r="O1533" s="17"/>
      <c r="P1533" s="17"/>
      <c r="Q1533" s="22"/>
      <c r="R1533" s="23"/>
    </row>
    <row r="1534" spans="1:18" ht="12.75">
      <c r="A1534" s="22"/>
      <c r="D1534" s="19"/>
      <c r="H1534" s="18"/>
      <c r="J1534" s="18"/>
      <c r="N1534" s="16"/>
      <c r="O1534" s="17"/>
      <c r="P1534" s="17"/>
      <c r="Q1534" s="22"/>
      <c r="R1534" s="23"/>
    </row>
    <row r="1535" spans="1:18" ht="12.75">
      <c r="A1535" s="22"/>
      <c r="D1535" s="19"/>
      <c r="H1535" s="18"/>
      <c r="J1535" s="18"/>
      <c r="N1535" s="16"/>
      <c r="O1535" s="17"/>
      <c r="P1535" s="17"/>
      <c r="Q1535" s="22"/>
      <c r="R1535" s="23"/>
    </row>
    <row r="1536" spans="1:18" ht="12.75">
      <c r="A1536" s="22"/>
      <c r="D1536" s="19"/>
      <c r="H1536" s="18"/>
      <c r="J1536" s="18"/>
      <c r="N1536" s="16"/>
      <c r="O1536" s="17"/>
      <c r="P1536" s="17"/>
      <c r="Q1536" s="22"/>
      <c r="R1536" s="23"/>
    </row>
    <row r="1537" spans="1:18" ht="12.75">
      <c r="A1537" s="22"/>
      <c r="D1537" s="19"/>
      <c r="H1537" s="18"/>
      <c r="J1537" s="18"/>
      <c r="N1537" s="16"/>
      <c r="O1537" s="17"/>
      <c r="P1537" s="17"/>
      <c r="Q1537" s="22"/>
      <c r="R1537" s="23"/>
    </row>
    <row r="1538" spans="1:18" ht="12.75">
      <c r="A1538" s="22"/>
      <c r="D1538" s="19"/>
      <c r="H1538" s="18"/>
      <c r="J1538" s="18"/>
      <c r="N1538" s="16"/>
      <c r="O1538" s="17"/>
      <c r="P1538" s="17"/>
      <c r="Q1538" s="22"/>
      <c r="R1538" s="23"/>
    </row>
    <row r="1539" spans="1:18" ht="12.75">
      <c r="A1539" s="22"/>
      <c r="D1539" s="19"/>
      <c r="H1539" s="18"/>
      <c r="J1539" s="18"/>
      <c r="N1539" s="16"/>
      <c r="O1539" s="17"/>
      <c r="P1539" s="17"/>
      <c r="Q1539" s="22"/>
      <c r="R1539" s="23"/>
    </row>
    <row r="1540" spans="1:18" ht="12.75">
      <c r="A1540" s="22"/>
      <c r="D1540" s="19"/>
      <c r="H1540" s="18"/>
      <c r="J1540" s="18"/>
      <c r="N1540" s="16"/>
      <c r="O1540" s="17"/>
      <c r="P1540" s="17"/>
      <c r="Q1540" s="22"/>
      <c r="R1540" s="23"/>
    </row>
    <row r="1541" spans="1:18" ht="12.75">
      <c r="A1541" s="22"/>
      <c r="D1541" s="19"/>
      <c r="H1541" s="18"/>
      <c r="J1541" s="18"/>
      <c r="N1541" s="16"/>
      <c r="O1541" s="17"/>
      <c r="P1541" s="17"/>
      <c r="Q1541" s="22"/>
      <c r="R1541" s="23"/>
    </row>
    <row r="1542" spans="1:18" ht="12.75">
      <c r="A1542" s="22"/>
      <c r="D1542" s="19"/>
      <c r="H1542" s="18"/>
      <c r="J1542" s="18"/>
      <c r="N1542" s="16"/>
      <c r="O1542" s="17"/>
      <c r="P1542" s="17"/>
      <c r="Q1542" s="22"/>
      <c r="R1542" s="23"/>
    </row>
    <row r="1543" spans="1:18" ht="12.75">
      <c r="A1543" s="22"/>
      <c r="D1543" s="19"/>
      <c r="H1543" s="18"/>
      <c r="J1543" s="18"/>
      <c r="N1543" s="16"/>
      <c r="O1543" s="17"/>
      <c r="P1543" s="17"/>
      <c r="Q1543" s="22"/>
      <c r="R1543" s="23"/>
    </row>
    <row r="1544" spans="1:18" ht="12.75">
      <c r="A1544" s="22"/>
      <c r="D1544" s="19"/>
      <c r="H1544" s="18"/>
      <c r="J1544" s="18"/>
      <c r="N1544" s="16"/>
      <c r="O1544" s="17"/>
      <c r="P1544" s="17"/>
      <c r="Q1544" s="22"/>
      <c r="R1544" s="23"/>
    </row>
    <row r="1545" spans="1:18" ht="12.75">
      <c r="A1545" s="22"/>
      <c r="D1545" s="19"/>
      <c r="H1545" s="18"/>
      <c r="J1545" s="18"/>
      <c r="N1545" s="16"/>
      <c r="O1545" s="17"/>
      <c r="P1545" s="17"/>
      <c r="Q1545" s="22"/>
      <c r="R1545" s="23"/>
    </row>
    <row r="1546" spans="1:18" ht="12.75">
      <c r="A1546" s="22"/>
      <c r="D1546" s="19"/>
      <c r="H1546" s="18"/>
      <c r="J1546" s="18"/>
      <c r="N1546" s="16"/>
      <c r="O1546" s="17"/>
      <c r="P1546" s="17"/>
      <c r="Q1546" s="22"/>
      <c r="R1546" s="23"/>
    </row>
    <row r="1547" spans="1:18" ht="12.75">
      <c r="A1547" s="22"/>
      <c r="D1547" s="19"/>
      <c r="H1547" s="18"/>
      <c r="J1547" s="18"/>
      <c r="N1547" s="16"/>
      <c r="O1547" s="17"/>
      <c r="P1547" s="17"/>
      <c r="Q1547" s="22"/>
      <c r="R1547" s="23"/>
    </row>
    <row r="1548" spans="1:18" ht="12.75">
      <c r="A1548" s="22"/>
      <c r="D1548" s="19"/>
      <c r="H1548" s="18"/>
      <c r="J1548" s="18"/>
      <c r="N1548" s="16"/>
      <c r="O1548" s="17"/>
      <c r="P1548" s="17"/>
      <c r="Q1548" s="22"/>
      <c r="R1548" s="23"/>
    </row>
    <row r="1549" spans="1:18" ht="12.75">
      <c r="A1549" s="22"/>
      <c r="D1549" s="19"/>
      <c r="H1549" s="18"/>
      <c r="J1549" s="18"/>
      <c r="N1549" s="16"/>
      <c r="O1549" s="17"/>
      <c r="P1549" s="17"/>
      <c r="Q1549" s="22"/>
      <c r="R1549" s="23"/>
    </row>
    <row r="1550" spans="1:18" ht="12.75">
      <c r="A1550" s="22"/>
      <c r="D1550" s="19"/>
      <c r="H1550" s="18"/>
      <c r="J1550" s="18"/>
      <c r="N1550" s="16"/>
      <c r="O1550" s="17"/>
      <c r="P1550" s="17"/>
      <c r="Q1550" s="22"/>
      <c r="R1550" s="23"/>
    </row>
    <row r="1551" spans="1:18" ht="12.75">
      <c r="A1551" s="22"/>
      <c r="D1551" s="19"/>
      <c r="H1551" s="18"/>
      <c r="J1551" s="18"/>
      <c r="N1551" s="16"/>
      <c r="O1551" s="17"/>
      <c r="P1551" s="17"/>
      <c r="Q1551" s="22"/>
      <c r="R1551" s="23"/>
    </row>
    <row r="1552" spans="1:18" ht="12.75">
      <c r="A1552" s="22"/>
      <c r="D1552" s="19"/>
      <c r="H1552" s="18"/>
      <c r="J1552" s="18"/>
      <c r="N1552" s="16"/>
      <c r="O1552" s="17"/>
      <c r="P1552" s="17"/>
      <c r="Q1552" s="22"/>
      <c r="R1552" s="23"/>
    </row>
    <row r="1553" spans="1:18" ht="12.75">
      <c r="A1553" s="22"/>
      <c r="D1553" s="19"/>
      <c r="H1553" s="18"/>
      <c r="J1553" s="18"/>
      <c r="N1553" s="16"/>
      <c r="O1553" s="17"/>
      <c r="P1553" s="17"/>
      <c r="Q1553" s="22"/>
      <c r="R1553" s="23"/>
    </row>
    <row r="1554" spans="1:18" ht="12.75">
      <c r="A1554" s="22"/>
      <c r="D1554" s="19"/>
      <c r="H1554" s="18"/>
      <c r="J1554" s="18"/>
      <c r="N1554" s="16"/>
      <c r="O1554" s="17"/>
      <c r="P1554" s="17"/>
      <c r="Q1554" s="22"/>
      <c r="R1554" s="23"/>
    </row>
    <row r="1555" spans="1:18" ht="12.75">
      <c r="A1555" s="22"/>
      <c r="D1555" s="19"/>
      <c r="H1555" s="18"/>
      <c r="J1555" s="18"/>
      <c r="N1555" s="16"/>
      <c r="O1555" s="17"/>
      <c r="P1555" s="17"/>
      <c r="Q1555" s="22"/>
      <c r="R1555" s="23"/>
    </row>
    <row r="1556" spans="1:18" ht="12.75">
      <c r="A1556" s="22"/>
      <c r="D1556" s="19"/>
      <c r="H1556" s="18"/>
      <c r="J1556" s="18"/>
      <c r="N1556" s="16"/>
      <c r="O1556" s="17"/>
      <c r="P1556" s="17"/>
      <c r="Q1556" s="22"/>
      <c r="R1556" s="23"/>
    </row>
    <row r="1557" spans="1:18" ht="12.75">
      <c r="A1557" s="22"/>
      <c r="D1557" s="19"/>
      <c r="H1557" s="18"/>
      <c r="J1557" s="18"/>
      <c r="N1557" s="16"/>
      <c r="O1557" s="17"/>
      <c r="P1557" s="17"/>
      <c r="Q1557" s="22"/>
      <c r="R1557" s="23"/>
    </row>
    <row r="1558" spans="1:18" ht="12.75">
      <c r="A1558" s="22"/>
      <c r="D1558" s="19"/>
      <c r="H1558" s="18"/>
      <c r="J1558" s="18"/>
      <c r="N1558" s="16"/>
      <c r="O1558" s="17"/>
      <c r="P1558" s="17"/>
      <c r="Q1558" s="22"/>
      <c r="R1558" s="23"/>
    </row>
    <row r="1559" spans="1:18" ht="12.75">
      <c r="A1559" s="22"/>
      <c r="D1559" s="19"/>
      <c r="H1559" s="18"/>
      <c r="J1559" s="18"/>
      <c r="N1559" s="16"/>
      <c r="O1559" s="17"/>
      <c r="P1559" s="17"/>
      <c r="Q1559" s="22"/>
      <c r="R1559" s="23"/>
    </row>
    <row r="1560" spans="1:18" ht="12.75">
      <c r="A1560" s="22"/>
      <c r="D1560" s="19"/>
      <c r="H1560" s="18"/>
      <c r="J1560" s="18"/>
      <c r="N1560" s="16"/>
      <c r="O1560" s="17"/>
      <c r="P1560" s="17"/>
      <c r="Q1560" s="22"/>
      <c r="R1560" s="23"/>
    </row>
    <row r="1561" spans="1:18" ht="12.75">
      <c r="A1561" s="22"/>
      <c r="D1561" s="19"/>
      <c r="H1561" s="18"/>
      <c r="J1561" s="18"/>
      <c r="N1561" s="16"/>
      <c r="O1561" s="17"/>
      <c r="P1561" s="17"/>
      <c r="Q1561" s="22"/>
      <c r="R1561" s="23"/>
    </row>
    <row r="1562" spans="1:18" ht="12.75">
      <c r="A1562" s="22"/>
      <c r="D1562" s="19"/>
      <c r="H1562" s="18"/>
      <c r="J1562" s="18"/>
      <c r="N1562" s="16"/>
      <c r="O1562" s="17"/>
      <c r="P1562" s="17"/>
      <c r="Q1562" s="22"/>
      <c r="R1562" s="23"/>
    </row>
    <row r="1563" spans="1:18" ht="12.75">
      <c r="A1563" s="22"/>
      <c r="D1563" s="19"/>
      <c r="H1563" s="18"/>
      <c r="J1563" s="18"/>
      <c r="N1563" s="16"/>
      <c r="O1563" s="17"/>
      <c r="P1563" s="17"/>
      <c r="Q1563" s="22"/>
      <c r="R1563" s="23"/>
    </row>
    <row r="1564" spans="1:18" ht="12.75">
      <c r="A1564" s="22"/>
      <c r="D1564" s="19"/>
      <c r="H1564" s="18"/>
      <c r="J1564" s="18"/>
      <c r="N1564" s="16"/>
      <c r="O1564" s="17"/>
      <c r="P1564" s="17"/>
      <c r="Q1564" s="22"/>
      <c r="R1564" s="23"/>
    </row>
    <row r="1565" spans="1:18" ht="12.75">
      <c r="A1565" s="22"/>
      <c r="D1565" s="19"/>
      <c r="H1565" s="18"/>
      <c r="J1565" s="18"/>
      <c r="N1565" s="16"/>
      <c r="O1565" s="17"/>
      <c r="P1565" s="17"/>
      <c r="Q1565" s="22"/>
      <c r="R1565" s="23"/>
    </row>
    <row r="1566" spans="1:18" ht="12.75">
      <c r="A1566" s="22"/>
      <c r="D1566" s="19"/>
      <c r="H1566" s="18"/>
      <c r="J1566" s="18"/>
      <c r="N1566" s="16"/>
      <c r="O1566" s="17"/>
      <c r="P1566" s="17"/>
      <c r="Q1566" s="22"/>
      <c r="R1566" s="23"/>
    </row>
    <row r="1567" spans="1:18" ht="12.75">
      <c r="A1567" s="22"/>
      <c r="D1567" s="19"/>
      <c r="H1567" s="18"/>
      <c r="J1567" s="18"/>
      <c r="N1567" s="16"/>
      <c r="O1567" s="17"/>
      <c r="P1567" s="17"/>
      <c r="Q1567" s="22"/>
      <c r="R1567" s="23"/>
    </row>
    <row r="1568" spans="1:18" ht="12.75">
      <c r="A1568" s="22"/>
      <c r="D1568" s="19"/>
      <c r="H1568" s="18"/>
      <c r="J1568" s="18"/>
      <c r="N1568" s="16"/>
      <c r="O1568" s="17"/>
      <c r="P1568" s="17"/>
      <c r="Q1568" s="22"/>
      <c r="R1568" s="23"/>
    </row>
    <row r="1569" spans="1:18" ht="12.75">
      <c r="A1569" s="22"/>
      <c r="D1569" s="19"/>
      <c r="H1569" s="18"/>
      <c r="J1569" s="18"/>
      <c r="N1569" s="16"/>
      <c r="O1569" s="17"/>
      <c r="P1569" s="17"/>
      <c r="Q1569" s="22"/>
      <c r="R1569" s="23"/>
    </row>
    <row r="1570" spans="1:18" ht="12.75">
      <c r="A1570" s="22"/>
      <c r="D1570" s="19"/>
      <c r="H1570" s="18"/>
      <c r="J1570" s="18"/>
      <c r="N1570" s="16"/>
      <c r="O1570" s="17"/>
      <c r="P1570" s="17"/>
      <c r="Q1570" s="22"/>
      <c r="R1570" s="23"/>
    </row>
    <row r="1571" spans="1:18" ht="12.75">
      <c r="A1571" s="22"/>
      <c r="D1571" s="19"/>
      <c r="H1571" s="18"/>
      <c r="J1571" s="18"/>
      <c r="N1571" s="16"/>
      <c r="O1571" s="17"/>
      <c r="P1571" s="17"/>
      <c r="Q1571" s="22"/>
      <c r="R1571" s="23"/>
    </row>
    <row r="1572" spans="1:18" ht="12.75">
      <c r="A1572" s="22"/>
      <c r="D1572" s="19"/>
      <c r="H1572" s="18"/>
      <c r="J1572" s="18"/>
      <c r="N1572" s="16"/>
      <c r="O1572" s="17"/>
      <c r="P1572" s="17"/>
      <c r="Q1572" s="22"/>
      <c r="R1572" s="23"/>
    </row>
    <row r="1573" spans="1:18" ht="12.75">
      <c r="A1573" s="22"/>
      <c r="D1573" s="19"/>
      <c r="H1573" s="18"/>
      <c r="J1573" s="18"/>
      <c r="N1573" s="16"/>
      <c r="O1573" s="17"/>
      <c r="P1573" s="17"/>
      <c r="Q1573" s="22"/>
      <c r="R1573" s="23"/>
    </row>
    <row r="1574" spans="1:18" ht="12.75">
      <c r="A1574" s="22"/>
      <c r="D1574" s="19"/>
      <c r="H1574" s="18"/>
      <c r="J1574" s="18"/>
      <c r="N1574" s="16"/>
      <c r="O1574" s="17"/>
      <c r="P1574" s="17"/>
      <c r="Q1574" s="22"/>
      <c r="R1574" s="23"/>
    </row>
    <row r="1575" spans="1:18" ht="12.75">
      <c r="A1575" s="22"/>
      <c r="D1575" s="19"/>
      <c r="H1575" s="18"/>
      <c r="J1575" s="18"/>
      <c r="N1575" s="16"/>
      <c r="O1575" s="17"/>
      <c r="P1575" s="17"/>
      <c r="Q1575" s="22"/>
      <c r="R1575" s="23"/>
    </row>
    <row r="1576" spans="1:18" ht="12.75">
      <c r="A1576" s="22"/>
      <c r="D1576" s="19"/>
      <c r="H1576" s="18"/>
      <c r="J1576" s="18"/>
      <c r="N1576" s="16"/>
      <c r="O1576" s="17"/>
      <c r="P1576" s="17"/>
      <c r="Q1576" s="22"/>
      <c r="R1576" s="23"/>
    </row>
    <row r="1577" spans="1:18" ht="12.75">
      <c r="A1577" s="22"/>
      <c r="D1577" s="19"/>
      <c r="H1577" s="18"/>
      <c r="J1577" s="18"/>
      <c r="N1577" s="16"/>
      <c r="O1577" s="17"/>
      <c r="P1577" s="17"/>
      <c r="Q1577" s="22"/>
      <c r="R1577" s="23"/>
    </row>
    <row r="1578" spans="1:18" ht="12.75">
      <c r="A1578" s="22"/>
      <c r="D1578" s="19"/>
      <c r="H1578" s="18"/>
      <c r="J1578" s="18"/>
      <c r="N1578" s="16"/>
      <c r="O1578" s="17"/>
      <c r="P1578" s="17"/>
      <c r="Q1578" s="22"/>
      <c r="R1578" s="23"/>
    </row>
    <row r="1579" spans="1:18" ht="12.75">
      <c r="A1579" s="22"/>
      <c r="D1579" s="19"/>
      <c r="H1579" s="18"/>
      <c r="J1579" s="18"/>
      <c r="N1579" s="16"/>
      <c r="O1579" s="17"/>
      <c r="P1579" s="17"/>
      <c r="Q1579" s="22"/>
      <c r="R1579" s="23"/>
    </row>
    <row r="1580" spans="1:18" ht="12.75">
      <c r="A1580" s="22"/>
      <c r="D1580" s="19"/>
      <c r="H1580" s="18"/>
      <c r="J1580" s="18"/>
      <c r="N1580" s="16"/>
      <c r="O1580" s="17"/>
      <c r="P1580" s="17"/>
      <c r="Q1580" s="22"/>
      <c r="R1580" s="23"/>
    </row>
    <row r="1581" spans="1:18" ht="12.75">
      <c r="A1581" s="22"/>
      <c r="D1581" s="19"/>
      <c r="H1581" s="18"/>
      <c r="J1581" s="18"/>
      <c r="N1581" s="16"/>
      <c r="O1581" s="17"/>
      <c r="P1581" s="17"/>
      <c r="Q1581" s="22"/>
      <c r="R1581" s="23"/>
    </row>
    <row r="1582" spans="1:18" ht="12.75">
      <c r="A1582" s="22"/>
      <c r="D1582" s="19"/>
      <c r="H1582" s="18"/>
      <c r="J1582" s="18"/>
      <c r="N1582" s="16"/>
      <c r="O1582" s="17"/>
      <c r="P1582" s="17"/>
      <c r="Q1582" s="22"/>
      <c r="R1582" s="23"/>
    </row>
    <row r="1583" spans="1:18" ht="12.75">
      <c r="A1583" s="22"/>
      <c r="D1583" s="19"/>
      <c r="H1583" s="18"/>
      <c r="J1583" s="18"/>
      <c r="N1583" s="16"/>
      <c r="O1583" s="17"/>
      <c r="P1583" s="17"/>
      <c r="Q1583" s="22"/>
      <c r="R1583" s="23"/>
    </row>
    <row r="1584" spans="1:18" ht="12.75">
      <c r="A1584" s="22"/>
      <c r="D1584" s="19"/>
      <c r="H1584" s="18"/>
      <c r="J1584" s="18"/>
      <c r="N1584" s="16"/>
      <c r="O1584" s="17"/>
      <c r="P1584" s="17"/>
      <c r="Q1584" s="22"/>
      <c r="R1584" s="23"/>
    </row>
    <row r="1585" spans="1:18" ht="12.75">
      <c r="A1585" s="22"/>
      <c r="D1585" s="19"/>
      <c r="H1585" s="18"/>
      <c r="J1585" s="18"/>
      <c r="N1585" s="16"/>
      <c r="O1585" s="17"/>
      <c r="P1585" s="17"/>
      <c r="Q1585" s="22"/>
      <c r="R1585" s="23"/>
    </row>
    <row r="1586" spans="1:18" ht="12.75">
      <c r="A1586" s="22"/>
      <c r="D1586" s="19"/>
      <c r="H1586" s="18"/>
      <c r="J1586" s="18"/>
      <c r="N1586" s="16"/>
      <c r="O1586" s="17"/>
      <c r="P1586" s="17"/>
      <c r="Q1586" s="22"/>
      <c r="R1586" s="23"/>
    </row>
    <row r="1587" spans="1:18" ht="12.75">
      <c r="A1587" s="22"/>
      <c r="D1587" s="19"/>
      <c r="H1587" s="18"/>
      <c r="J1587" s="18"/>
      <c r="N1587" s="16"/>
      <c r="O1587" s="17"/>
      <c r="P1587" s="17"/>
      <c r="Q1587" s="22"/>
      <c r="R1587" s="23"/>
    </row>
    <row r="1588" spans="1:18" ht="12.75">
      <c r="A1588" s="22"/>
      <c r="D1588" s="19"/>
      <c r="H1588" s="18"/>
      <c r="J1588" s="18"/>
      <c r="N1588" s="16"/>
      <c r="O1588" s="17"/>
      <c r="P1588" s="17"/>
      <c r="Q1588" s="22"/>
      <c r="R1588" s="23"/>
    </row>
    <row r="1589" spans="1:18" ht="12.75">
      <c r="A1589" s="22"/>
      <c r="D1589" s="19"/>
      <c r="H1589" s="18"/>
      <c r="J1589" s="18"/>
      <c r="N1589" s="16"/>
      <c r="O1589" s="17"/>
      <c r="P1589" s="17"/>
      <c r="Q1589" s="22"/>
      <c r="R1589" s="23"/>
    </row>
    <row r="1590" spans="1:18" ht="12.75">
      <c r="A1590" s="22"/>
      <c r="D1590" s="19"/>
      <c r="H1590" s="18"/>
      <c r="J1590" s="18"/>
      <c r="N1590" s="16"/>
      <c r="O1590" s="17"/>
      <c r="P1590" s="17"/>
      <c r="Q1590" s="22"/>
      <c r="R1590" s="23"/>
    </row>
    <row r="1591" spans="1:18" ht="12.75">
      <c r="A1591" s="22"/>
      <c r="D1591" s="19"/>
      <c r="H1591" s="18"/>
      <c r="J1591" s="18"/>
      <c r="N1591" s="16"/>
      <c r="O1591" s="17"/>
      <c r="P1591" s="17"/>
      <c r="Q1591" s="22"/>
      <c r="R1591" s="23"/>
    </row>
    <row r="1592" spans="1:18" ht="12.75">
      <c r="A1592" s="22"/>
      <c r="D1592" s="19"/>
      <c r="H1592" s="18"/>
      <c r="J1592" s="18"/>
      <c r="N1592" s="16"/>
      <c r="O1592" s="17"/>
      <c r="P1592" s="17"/>
      <c r="Q1592" s="22"/>
      <c r="R1592" s="23"/>
    </row>
    <row r="1593" spans="1:18" ht="12.75">
      <c r="A1593" s="22"/>
      <c r="D1593" s="19"/>
      <c r="H1593" s="18"/>
      <c r="J1593" s="18"/>
      <c r="N1593" s="16"/>
      <c r="O1593" s="17"/>
      <c r="P1593" s="17"/>
      <c r="Q1593" s="22"/>
      <c r="R1593" s="23"/>
    </row>
    <row r="1594" spans="1:18" ht="12.75">
      <c r="A1594" s="22"/>
      <c r="D1594" s="19"/>
      <c r="H1594" s="18"/>
      <c r="J1594" s="18"/>
      <c r="N1594" s="16"/>
      <c r="O1594" s="17"/>
      <c r="P1594" s="17"/>
      <c r="Q1594" s="22"/>
      <c r="R1594" s="23"/>
    </row>
    <row r="1595" spans="1:18" ht="12.75">
      <c r="A1595" s="22"/>
      <c r="D1595" s="19"/>
      <c r="H1595" s="18"/>
      <c r="J1595" s="18"/>
      <c r="N1595" s="16"/>
      <c r="O1595" s="17"/>
      <c r="P1595" s="17"/>
      <c r="Q1595" s="22"/>
      <c r="R1595" s="23"/>
    </row>
    <row r="1596" spans="1:18" ht="12.75">
      <c r="A1596" s="22"/>
      <c r="D1596" s="19"/>
      <c r="H1596" s="18"/>
      <c r="J1596" s="18"/>
      <c r="N1596" s="16"/>
      <c r="O1596" s="17"/>
      <c r="P1596" s="17"/>
      <c r="Q1596" s="22"/>
      <c r="R1596" s="23"/>
    </row>
    <row r="1597" spans="1:18" ht="12.75">
      <c r="A1597" s="22"/>
      <c r="D1597" s="19"/>
      <c r="H1597" s="18"/>
      <c r="J1597" s="18"/>
      <c r="N1597" s="16"/>
      <c r="O1597" s="17"/>
      <c r="P1597" s="17"/>
      <c r="Q1597" s="22"/>
      <c r="R1597" s="23"/>
    </row>
    <row r="1598" spans="1:18" ht="12.75">
      <c r="A1598" s="22"/>
      <c r="D1598" s="19"/>
      <c r="H1598" s="18"/>
      <c r="J1598" s="18"/>
      <c r="N1598" s="16"/>
      <c r="O1598" s="17"/>
      <c r="P1598" s="17"/>
      <c r="Q1598" s="22"/>
      <c r="R1598" s="23"/>
    </row>
    <row r="1599" spans="1:18" ht="12.75">
      <c r="A1599" s="22"/>
      <c r="D1599" s="19"/>
      <c r="H1599" s="18"/>
      <c r="J1599" s="18"/>
      <c r="N1599" s="16"/>
      <c r="O1599" s="17"/>
      <c r="P1599" s="17"/>
      <c r="Q1599" s="22"/>
      <c r="R1599" s="23"/>
    </row>
    <row r="1600" spans="1:18" ht="12.75">
      <c r="A1600" s="22"/>
      <c r="D1600" s="19"/>
      <c r="H1600" s="18"/>
      <c r="J1600" s="18"/>
      <c r="N1600" s="16"/>
      <c r="O1600" s="17"/>
      <c r="P1600" s="17"/>
      <c r="Q1600" s="22"/>
      <c r="R1600" s="23"/>
    </row>
    <row r="1601" spans="1:18" ht="12.75">
      <c r="A1601" s="22"/>
      <c r="D1601" s="19"/>
      <c r="H1601" s="18"/>
      <c r="J1601" s="18"/>
      <c r="N1601" s="16"/>
      <c r="O1601" s="17"/>
      <c r="P1601" s="17"/>
      <c r="Q1601" s="22"/>
      <c r="R1601" s="23"/>
    </row>
    <row r="1602" spans="1:18" ht="12.75">
      <c r="A1602" s="22"/>
      <c r="D1602" s="19"/>
      <c r="H1602" s="18"/>
      <c r="J1602" s="18"/>
      <c r="N1602" s="16"/>
      <c r="O1602" s="17"/>
      <c r="P1602" s="17"/>
      <c r="Q1602" s="22"/>
      <c r="R1602" s="23"/>
    </row>
    <row r="1603" spans="1:18" ht="12.75">
      <c r="A1603" s="22"/>
      <c r="D1603" s="19"/>
      <c r="H1603" s="18"/>
      <c r="J1603" s="18"/>
      <c r="N1603" s="16"/>
      <c r="O1603" s="17"/>
      <c r="P1603" s="17"/>
      <c r="Q1603" s="22"/>
      <c r="R1603" s="23"/>
    </row>
    <row r="1604" spans="1:18" ht="12.75">
      <c r="A1604" s="22"/>
      <c r="D1604" s="19"/>
      <c r="H1604" s="18"/>
      <c r="J1604" s="18"/>
      <c r="N1604" s="16"/>
      <c r="O1604" s="17"/>
      <c r="P1604" s="17"/>
      <c r="Q1604" s="22"/>
      <c r="R1604" s="23"/>
    </row>
    <row r="1605" spans="1:18" ht="12.75">
      <c r="A1605" s="22"/>
      <c r="D1605" s="19"/>
      <c r="H1605" s="18"/>
      <c r="J1605" s="18"/>
      <c r="N1605" s="16"/>
      <c r="O1605" s="17"/>
      <c r="P1605" s="17"/>
      <c r="Q1605" s="22"/>
      <c r="R1605" s="23"/>
    </row>
    <row r="1606" spans="1:18" ht="12.75">
      <c r="A1606" s="22"/>
      <c r="D1606" s="19"/>
      <c r="H1606" s="18"/>
      <c r="J1606" s="18"/>
      <c r="N1606" s="16"/>
      <c r="O1606" s="17"/>
      <c r="P1606" s="17"/>
      <c r="Q1606" s="22"/>
      <c r="R1606" s="23"/>
    </row>
    <row r="1607" spans="1:18" ht="12.75">
      <c r="A1607" s="22"/>
      <c r="D1607" s="19"/>
      <c r="H1607" s="18"/>
      <c r="J1607" s="18"/>
      <c r="N1607" s="16"/>
      <c r="O1607" s="17"/>
      <c r="P1607" s="17"/>
      <c r="Q1607" s="22"/>
      <c r="R1607" s="23"/>
    </row>
    <row r="1608" spans="1:18" ht="12.75">
      <c r="A1608" s="22"/>
      <c r="D1608" s="19"/>
      <c r="H1608" s="18"/>
      <c r="J1608" s="18"/>
      <c r="N1608" s="16"/>
      <c r="O1608" s="17"/>
      <c r="P1608" s="17"/>
      <c r="Q1608" s="22"/>
      <c r="R1608" s="23"/>
    </row>
    <row r="1609" spans="1:18" ht="12.75">
      <c r="A1609" s="22"/>
      <c r="D1609" s="19"/>
      <c r="H1609" s="18"/>
      <c r="J1609" s="18"/>
      <c r="N1609" s="16"/>
      <c r="O1609" s="17"/>
      <c r="P1609" s="17"/>
      <c r="Q1609" s="22"/>
      <c r="R1609" s="23"/>
    </row>
    <row r="1610" spans="1:18" ht="12.75">
      <c r="A1610" s="22"/>
      <c r="D1610" s="19"/>
      <c r="H1610" s="18"/>
      <c r="J1610" s="18"/>
      <c r="N1610" s="16"/>
      <c r="O1610" s="17"/>
      <c r="P1610" s="17"/>
      <c r="Q1610" s="22"/>
      <c r="R1610" s="23"/>
    </row>
    <row r="1611" spans="1:18" ht="12.75">
      <c r="A1611" s="22"/>
      <c r="D1611" s="19"/>
      <c r="H1611" s="18"/>
      <c r="J1611" s="18"/>
      <c r="N1611" s="16"/>
      <c r="O1611" s="17"/>
      <c r="P1611" s="17"/>
      <c r="Q1611" s="22"/>
      <c r="R1611" s="23"/>
    </row>
    <row r="1612" spans="1:18" ht="12.75">
      <c r="A1612" s="22"/>
      <c r="D1612" s="19"/>
      <c r="H1612" s="18"/>
      <c r="J1612" s="18"/>
      <c r="N1612" s="16"/>
      <c r="O1612" s="17"/>
      <c r="P1612" s="17"/>
      <c r="Q1612" s="22"/>
      <c r="R1612" s="23"/>
    </row>
    <row r="1613" spans="1:18" ht="12.75">
      <c r="A1613" s="22"/>
      <c r="D1613" s="19"/>
      <c r="H1613" s="18"/>
      <c r="J1613" s="18"/>
      <c r="N1613" s="16"/>
      <c r="O1613" s="17"/>
      <c r="P1613" s="17"/>
      <c r="Q1613" s="22"/>
      <c r="R1613" s="23"/>
    </row>
    <row r="1614" spans="1:18" ht="12.75">
      <c r="A1614" s="22"/>
      <c r="D1614" s="19"/>
      <c r="H1614" s="18"/>
      <c r="J1614" s="18"/>
      <c r="N1614" s="16"/>
      <c r="O1614" s="17"/>
      <c r="P1614" s="17"/>
      <c r="Q1614" s="22"/>
      <c r="R1614" s="23"/>
    </row>
    <row r="1615" spans="1:18" ht="12.75">
      <c r="A1615" s="22"/>
      <c r="D1615" s="19"/>
      <c r="H1615" s="18"/>
      <c r="J1615" s="18"/>
      <c r="N1615" s="16"/>
      <c r="O1615" s="17"/>
      <c r="P1615" s="17"/>
      <c r="Q1615" s="22"/>
      <c r="R1615" s="23"/>
    </row>
    <row r="1616" spans="1:18" ht="12.75">
      <c r="A1616" s="22"/>
      <c r="D1616" s="19"/>
      <c r="H1616" s="18"/>
      <c r="J1616" s="18"/>
      <c r="N1616" s="16"/>
      <c r="O1616" s="17"/>
      <c r="P1616" s="17"/>
      <c r="Q1616" s="22"/>
      <c r="R1616" s="23"/>
    </row>
    <row r="1617" spans="1:18" ht="12.75">
      <c r="A1617" s="22"/>
      <c r="D1617" s="19"/>
      <c r="H1617" s="18"/>
      <c r="J1617" s="18"/>
      <c r="N1617" s="16"/>
      <c r="O1617" s="17"/>
      <c r="P1617" s="17"/>
      <c r="Q1617" s="22"/>
      <c r="R1617" s="23"/>
    </row>
    <row r="1618" spans="1:18" ht="12.75">
      <c r="A1618" s="22"/>
      <c r="D1618" s="19"/>
      <c r="H1618" s="18"/>
      <c r="J1618" s="18"/>
      <c r="N1618" s="16"/>
      <c r="O1618" s="17"/>
      <c r="P1618" s="17"/>
      <c r="Q1618" s="22"/>
      <c r="R1618" s="23"/>
    </row>
    <row r="1619" spans="1:18" ht="12.75">
      <c r="A1619" s="22"/>
      <c r="D1619" s="19"/>
      <c r="H1619" s="18"/>
      <c r="J1619" s="18"/>
      <c r="N1619" s="16"/>
      <c r="O1619" s="17"/>
      <c r="P1619" s="17"/>
      <c r="Q1619" s="22"/>
      <c r="R1619" s="23"/>
    </row>
    <row r="1620" spans="1:18" ht="12.75">
      <c r="A1620" s="22"/>
      <c r="D1620" s="19"/>
      <c r="H1620" s="18"/>
      <c r="J1620" s="18"/>
      <c r="N1620" s="16"/>
      <c r="O1620" s="17"/>
      <c r="P1620" s="17"/>
      <c r="Q1620" s="22"/>
      <c r="R1620" s="23"/>
    </row>
    <row r="1621" spans="1:18" ht="12.75">
      <c r="A1621" s="22"/>
      <c r="D1621" s="19"/>
      <c r="H1621" s="18"/>
      <c r="J1621" s="18"/>
      <c r="N1621" s="16"/>
      <c r="O1621" s="17"/>
      <c r="P1621" s="17"/>
      <c r="Q1621" s="22"/>
      <c r="R1621" s="23"/>
    </row>
    <row r="1622" spans="1:18" ht="12.75">
      <c r="A1622" s="22"/>
      <c r="D1622" s="19"/>
      <c r="H1622" s="18"/>
      <c r="J1622" s="18"/>
      <c r="N1622" s="16"/>
      <c r="O1622" s="17"/>
      <c r="P1622" s="17"/>
      <c r="Q1622" s="22"/>
      <c r="R1622" s="23"/>
    </row>
    <row r="1623" spans="1:18" ht="12.75">
      <c r="A1623" s="22"/>
      <c r="D1623" s="19"/>
      <c r="H1623" s="18"/>
      <c r="J1623" s="18"/>
      <c r="N1623" s="16"/>
      <c r="O1623" s="17"/>
      <c r="P1623" s="17"/>
      <c r="Q1623" s="22"/>
      <c r="R1623" s="23"/>
    </row>
    <row r="1624" spans="1:18" ht="12.75">
      <c r="A1624" s="22"/>
      <c r="D1624" s="19"/>
      <c r="H1624" s="18"/>
      <c r="J1624" s="18"/>
      <c r="N1624" s="16"/>
      <c r="O1624" s="17"/>
      <c r="P1624" s="17"/>
      <c r="Q1624" s="22"/>
      <c r="R1624" s="23"/>
    </row>
    <row r="1625" spans="1:18" ht="12.75">
      <c r="A1625" s="22"/>
      <c r="D1625" s="19"/>
      <c r="H1625" s="18"/>
      <c r="J1625" s="18"/>
      <c r="N1625" s="16"/>
      <c r="O1625" s="17"/>
      <c r="P1625" s="17"/>
      <c r="Q1625" s="22"/>
      <c r="R1625" s="23"/>
    </row>
    <row r="1626" spans="1:18" ht="12.75">
      <c r="A1626" s="22"/>
      <c r="D1626" s="19"/>
      <c r="H1626" s="18"/>
      <c r="J1626" s="18"/>
      <c r="N1626" s="16"/>
      <c r="O1626" s="17"/>
      <c r="P1626" s="17"/>
      <c r="Q1626" s="22"/>
      <c r="R1626" s="23"/>
    </row>
    <row r="1627" spans="1:18" ht="12.75">
      <c r="A1627" s="22"/>
      <c r="D1627" s="19"/>
      <c r="H1627" s="18"/>
      <c r="J1627" s="18"/>
      <c r="N1627" s="16"/>
      <c r="O1627" s="17"/>
      <c r="P1627" s="17"/>
      <c r="Q1627" s="22"/>
      <c r="R1627" s="23"/>
    </row>
    <row r="1628" spans="1:18" ht="12.75">
      <c r="A1628" s="22"/>
      <c r="D1628" s="19"/>
      <c r="H1628" s="18"/>
      <c r="J1628" s="18"/>
      <c r="N1628" s="16"/>
      <c r="O1628" s="17"/>
      <c r="P1628" s="17"/>
      <c r="Q1628" s="22"/>
      <c r="R1628" s="23"/>
    </row>
    <row r="1629" spans="1:18" ht="12.75">
      <c r="A1629" s="22"/>
      <c r="D1629" s="19"/>
      <c r="H1629" s="18"/>
      <c r="J1629" s="18"/>
      <c r="N1629" s="16"/>
      <c r="O1629" s="17"/>
      <c r="P1629" s="17"/>
      <c r="Q1629" s="22"/>
      <c r="R1629" s="23"/>
    </row>
    <row r="1630" spans="1:18" ht="12.75">
      <c r="A1630" s="22"/>
      <c r="D1630" s="19"/>
      <c r="H1630" s="18"/>
      <c r="J1630" s="18"/>
      <c r="N1630" s="16"/>
      <c r="O1630" s="17"/>
      <c r="P1630" s="17"/>
      <c r="Q1630" s="22"/>
      <c r="R1630" s="23"/>
    </row>
    <row r="1631" spans="1:18" ht="12.75">
      <c r="A1631" s="22"/>
      <c r="D1631" s="19"/>
      <c r="H1631" s="18"/>
      <c r="J1631" s="18"/>
      <c r="N1631" s="16"/>
      <c r="O1631" s="17"/>
      <c r="P1631" s="17"/>
      <c r="Q1631" s="22"/>
      <c r="R1631" s="23"/>
    </row>
    <row r="1632" spans="1:18" ht="12.75">
      <c r="A1632" s="22"/>
      <c r="D1632" s="19"/>
      <c r="H1632" s="18"/>
      <c r="J1632" s="18"/>
      <c r="N1632" s="16"/>
      <c r="O1632" s="17"/>
      <c r="P1632" s="17"/>
      <c r="Q1632" s="22"/>
      <c r="R1632" s="23"/>
    </row>
    <row r="1633" spans="1:18" ht="12.75">
      <c r="A1633" s="22"/>
      <c r="D1633" s="19"/>
      <c r="H1633" s="18"/>
      <c r="J1633" s="18"/>
      <c r="N1633" s="16"/>
      <c r="O1633" s="17"/>
      <c r="P1633" s="17"/>
      <c r="Q1633" s="22"/>
      <c r="R1633" s="23"/>
    </row>
    <row r="1634" spans="1:18" ht="12.75">
      <c r="A1634" s="22"/>
      <c r="D1634" s="19"/>
      <c r="H1634" s="18"/>
      <c r="J1634" s="18"/>
      <c r="N1634" s="16"/>
      <c r="O1634" s="17"/>
      <c r="P1634" s="17"/>
      <c r="Q1634" s="22"/>
      <c r="R1634" s="23"/>
    </row>
    <row r="1635" spans="1:18" ht="12.75">
      <c r="A1635" s="22"/>
      <c r="D1635" s="19"/>
      <c r="H1635" s="18"/>
      <c r="J1635" s="18"/>
      <c r="N1635" s="16"/>
      <c r="O1635" s="17"/>
      <c r="P1635" s="17"/>
      <c r="Q1635" s="22"/>
      <c r="R1635" s="23"/>
    </row>
    <row r="1636" spans="1:18" ht="12.75">
      <c r="A1636" s="22"/>
      <c r="D1636" s="19"/>
      <c r="H1636" s="18"/>
      <c r="J1636" s="18"/>
      <c r="N1636" s="16"/>
      <c r="O1636" s="17"/>
      <c r="P1636" s="17"/>
      <c r="Q1636" s="22"/>
      <c r="R1636" s="23"/>
    </row>
    <row r="1637" spans="1:18" ht="12.75">
      <c r="A1637" s="22"/>
      <c r="D1637" s="19"/>
      <c r="H1637" s="18"/>
      <c r="J1637" s="18"/>
      <c r="N1637" s="16"/>
      <c r="O1637" s="17"/>
      <c r="P1637" s="17"/>
      <c r="Q1637" s="22"/>
      <c r="R1637" s="23"/>
    </row>
    <row r="1638" spans="1:18" ht="12.75">
      <c r="A1638" s="22"/>
      <c r="D1638" s="19"/>
      <c r="H1638" s="18"/>
      <c r="J1638" s="18"/>
      <c r="N1638" s="16"/>
      <c r="O1638" s="17"/>
      <c r="P1638" s="17"/>
      <c r="Q1638" s="22"/>
      <c r="R1638" s="23"/>
    </row>
    <row r="1639" spans="1:18" ht="12.75">
      <c r="A1639" s="22"/>
      <c r="D1639" s="19"/>
      <c r="H1639" s="18"/>
      <c r="J1639" s="18"/>
      <c r="N1639" s="16"/>
      <c r="O1639" s="17"/>
      <c r="P1639" s="17"/>
      <c r="Q1639" s="22"/>
      <c r="R1639" s="23"/>
    </row>
    <row r="1640" spans="1:18" ht="12.75">
      <c r="A1640" s="22"/>
      <c r="D1640" s="19"/>
      <c r="H1640" s="18"/>
      <c r="J1640" s="18"/>
      <c r="N1640" s="16"/>
      <c r="O1640" s="17"/>
      <c r="P1640" s="17"/>
      <c r="Q1640" s="22"/>
      <c r="R1640" s="23"/>
    </row>
    <row r="1641" spans="1:18" ht="12.75">
      <c r="A1641" s="22"/>
      <c r="D1641" s="19"/>
      <c r="H1641" s="18"/>
      <c r="J1641" s="18"/>
      <c r="N1641" s="16"/>
      <c r="O1641" s="17"/>
      <c r="P1641" s="17"/>
      <c r="Q1641" s="22"/>
      <c r="R1641" s="23"/>
    </row>
    <row r="1642" spans="1:18" ht="12.75">
      <c r="A1642" s="22"/>
      <c r="D1642" s="19"/>
      <c r="H1642" s="18"/>
      <c r="J1642" s="18"/>
      <c r="N1642" s="16"/>
      <c r="O1642" s="17"/>
      <c r="P1642" s="17"/>
      <c r="Q1642" s="22"/>
      <c r="R1642" s="23"/>
    </row>
    <row r="1643" spans="1:18" ht="12.75">
      <c r="A1643" s="22"/>
      <c r="D1643" s="19"/>
      <c r="H1643" s="18"/>
      <c r="J1643" s="18"/>
      <c r="N1643" s="16"/>
      <c r="O1643" s="17"/>
      <c r="P1643" s="17"/>
      <c r="Q1643" s="22"/>
      <c r="R1643" s="23"/>
    </row>
    <row r="1644" spans="1:18" ht="12.75">
      <c r="A1644" s="22"/>
      <c r="D1644" s="19"/>
      <c r="H1644" s="18"/>
      <c r="J1644" s="18"/>
      <c r="N1644" s="16"/>
      <c r="O1644" s="17"/>
      <c r="P1644" s="17"/>
      <c r="Q1644" s="22"/>
      <c r="R1644" s="23"/>
    </row>
    <row r="1645" spans="1:18" ht="12.75">
      <c r="A1645" s="22"/>
      <c r="D1645" s="19"/>
      <c r="H1645" s="18"/>
      <c r="J1645" s="18"/>
      <c r="N1645" s="16"/>
      <c r="O1645" s="17"/>
      <c r="P1645" s="17"/>
      <c r="Q1645" s="22"/>
      <c r="R1645" s="23"/>
    </row>
    <row r="1646" spans="1:18" ht="12.75">
      <c r="A1646" s="22"/>
      <c r="D1646" s="19"/>
      <c r="H1646" s="18"/>
      <c r="J1646" s="18"/>
      <c r="N1646" s="16"/>
      <c r="O1646" s="17"/>
      <c r="P1646" s="17"/>
      <c r="Q1646" s="22"/>
      <c r="R1646" s="23"/>
    </row>
    <row r="1647" spans="1:18" ht="12.75">
      <c r="A1647" s="22"/>
      <c r="D1647" s="19"/>
      <c r="H1647" s="18"/>
      <c r="J1647" s="18"/>
      <c r="N1647" s="16"/>
      <c r="O1647" s="17"/>
      <c r="P1647" s="17"/>
      <c r="Q1647" s="22"/>
      <c r="R1647" s="23"/>
    </row>
    <row r="1648" spans="1:18" ht="12.75">
      <c r="A1648" s="22"/>
      <c r="D1648" s="19"/>
      <c r="H1648" s="18"/>
      <c r="J1648" s="18"/>
      <c r="N1648" s="16"/>
      <c r="O1648" s="17"/>
      <c r="P1648" s="17"/>
      <c r="Q1648" s="22"/>
      <c r="R1648" s="23"/>
    </row>
    <row r="1649" spans="1:18" ht="12.75">
      <c r="A1649" s="22"/>
      <c r="D1649" s="19"/>
      <c r="H1649" s="18"/>
      <c r="J1649" s="18"/>
      <c r="N1649" s="16"/>
      <c r="O1649" s="17"/>
      <c r="P1649" s="17"/>
      <c r="Q1649" s="22"/>
      <c r="R1649" s="23"/>
    </row>
    <row r="1650" spans="1:18" ht="12.75">
      <c r="A1650" s="22"/>
      <c r="D1650" s="19"/>
      <c r="H1650" s="18"/>
      <c r="J1650" s="18"/>
      <c r="N1650" s="16"/>
      <c r="O1650" s="17"/>
      <c r="P1650" s="17"/>
      <c r="Q1650" s="22"/>
      <c r="R1650" s="23"/>
    </row>
    <row r="1651" spans="1:18" ht="12.75">
      <c r="A1651" s="22"/>
      <c r="D1651" s="19"/>
      <c r="H1651" s="18"/>
      <c r="J1651" s="18"/>
      <c r="N1651" s="16"/>
      <c r="O1651" s="17"/>
      <c r="P1651" s="17"/>
      <c r="Q1651" s="22"/>
      <c r="R1651" s="23"/>
    </row>
    <row r="1652" spans="1:18" ht="12.75">
      <c r="A1652" s="22"/>
      <c r="D1652" s="19"/>
      <c r="H1652" s="18"/>
      <c r="J1652" s="18"/>
      <c r="N1652" s="16"/>
      <c r="O1652" s="17"/>
      <c r="P1652" s="17"/>
      <c r="Q1652" s="22"/>
      <c r="R1652" s="23"/>
    </row>
    <row r="1653" spans="1:18" ht="12.75">
      <c r="A1653" s="22"/>
      <c r="D1653" s="19"/>
      <c r="H1653" s="18"/>
      <c r="J1653" s="18"/>
      <c r="N1653" s="16"/>
      <c r="O1653" s="17"/>
      <c r="P1653" s="17"/>
      <c r="Q1653" s="22"/>
      <c r="R1653" s="23"/>
    </row>
    <row r="1654" spans="1:18" ht="12.75">
      <c r="A1654" s="22"/>
      <c r="D1654" s="19"/>
      <c r="H1654" s="18"/>
      <c r="J1654" s="18"/>
      <c r="N1654" s="16"/>
      <c r="O1654" s="17"/>
      <c r="P1654" s="17"/>
      <c r="Q1654" s="22"/>
      <c r="R1654" s="23"/>
    </row>
    <row r="1655" spans="1:18" ht="12.75">
      <c r="A1655" s="22"/>
      <c r="D1655" s="19"/>
      <c r="H1655" s="18"/>
      <c r="J1655" s="18"/>
      <c r="N1655" s="16"/>
      <c r="O1655" s="17"/>
      <c r="P1655" s="17"/>
      <c r="Q1655" s="22"/>
      <c r="R1655" s="23"/>
    </row>
    <row r="1656" spans="1:18" ht="12.75">
      <c r="A1656" s="22"/>
      <c r="D1656" s="19"/>
      <c r="H1656" s="18"/>
      <c r="J1656" s="18"/>
      <c r="N1656" s="16"/>
      <c r="O1656" s="17"/>
      <c r="P1656" s="17"/>
      <c r="Q1656" s="22"/>
      <c r="R1656" s="23"/>
    </row>
    <row r="1657" spans="1:18" ht="12.75">
      <c r="A1657" s="22"/>
      <c r="D1657" s="19"/>
      <c r="H1657" s="18"/>
      <c r="J1657" s="18"/>
      <c r="N1657" s="16"/>
      <c r="O1657" s="17"/>
      <c r="P1657" s="17"/>
      <c r="Q1657" s="22"/>
      <c r="R1657" s="23"/>
    </row>
    <row r="1658" spans="1:18" ht="12.75">
      <c r="A1658" s="22"/>
      <c r="D1658" s="19"/>
      <c r="H1658" s="18"/>
      <c r="J1658" s="18"/>
      <c r="N1658" s="16"/>
      <c r="O1658" s="17"/>
      <c r="P1658" s="17"/>
      <c r="Q1658" s="22"/>
      <c r="R1658" s="23"/>
    </row>
    <row r="1659" spans="1:18" ht="12.75">
      <c r="A1659" s="22"/>
      <c r="D1659" s="19"/>
      <c r="H1659" s="18"/>
      <c r="J1659" s="18"/>
      <c r="N1659" s="16"/>
      <c r="O1659" s="17"/>
      <c r="P1659" s="17"/>
      <c r="Q1659" s="22"/>
      <c r="R1659" s="23"/>
    </row>
    <row r="1660" spans="1:18" ht="12.75">
      <c r="A1660" s="22"/>
      <c r="D1660" s="19"/>
      <c r="H1660" s="18"/>
      <c r="J1660" s="18"/>
      <c r="N1660" s="16"/>
      <c r="O1660" s="17"/>
      <c r="P1660" s="17"/>
      <c r="Q1660" s="22"/>
      <c r="R1660" s="23"/>
    </row>
    <row r="1661" spans="1:18" ht="12.75">
      <c r="A1661" s="22"/>
      <c r="D1661" s="19"/>
      <c r="H1661" s="18"/>
      <c r="J1661" s="18"/>
      <c r="N1661" s="16"/>
      <c r="O1661" s="17"/>
      <c r="P1661" s="17"/>
      <c r="Q1661" s="22"/>
      <c r="R1661" s="23"/>
    </row>
    <row r="1662" spans="1:18" ht="12.75">
      <c r="A1662" s="22"/>
      <c r="D1662" s="19"/>
      <c r="H1662" s="18"/>
      <c r="J1662" s="18"/>
      <c r="N1662" s="16"/>
      <c r="O1662" s="17"/>
      <c r="P1662" s="17"/>
      <c r="Q1662" s="22"/>
      <c r="R1662" s="23"/>
    </row>
    <row r="1663" spans="1:18" ht="12.75">
      <c r="A1663" s="22"/>
      <c r="D1663" s="19"/>
      <c r="H1663" s="18"/>
      <c r="J1663" s="18"/>
      <c r="N1663" s="16"/>
      <c r="O1663" s="17"/>
      <c r="P1663" s="17"/>
      <c r="Q1663" s="22"/>
      <c r="R1663" s="23"/>
    </row>
    <row r="1664" spans="1:18" ht="12.75">
      <c r="A1664" s="22"/>
      <c r="D1664" s="19"/>
      <c r="H1664" s="18"/>
      <c r="J1664" s="18"/>
      <c r="N1664" s="16"/>
      <c r="O1664" s="17"/>
      <c r="P1664" s="17"/>
      <c r="Q1664" s="22"/>
      <c r="R1664" s="23"/>
    </row>
    <row r="1665" spans="1:18" ht="12.75">
      <c r="A1665" s="22"/>
      <c r="D1665" s="19"/>
      <c r="H1665" s="18"/>
      <c r="J1665" s="18"/>
      <c r="N1665" s="16"/>
      <c r="O1665" s="17"/>
      <c r="P1665" s="17"/>
      <c r="Q1665" s="22"/>
      <c r="R1665" s="23"/>
    </row>
    <row r="1666" spans="1:18" ht="12.75">
      <c r="A1666" s="22"/>
      <c r="D1666" s="19"/>
      <c r="H1666" s="18"/>
      <c r="J1666" s="18"/>
      <c r="N1666" s="16"/>
      <c r="O1666" s="17"/>
      <c r="P1666" s="17"/>
      <c r="Q1666" s="22"/>
      <c r="R1666" s="23"/>
    </row>
    <row r="1667" spans="1:18" ht="12.75">
      <c r="A1667" s="22"/>
      <c r="D1667" s="19"/>
      <c r="H1667" s="18"/>
      <c r="J1667" s="18"/>
      <c r="N1667" s="16"/>
      <c r="O1667" s="17"/>
      <c r="P1667" s="17"/>
      <c r="Q1667" s="22"/>
      <c r="R1667" s="23"/>
    </row>
    <row r="1668" spans="1:18" ht="12.75">
      <c r="A1668" s="22"/>
      <c r="D1668" s="19"/>
      <c r="H1668" s="18"/>
      <c r="J1668" s="18"/>
      <c r="N1668" s="16"/>
      <c r="O1668" s="17"/>
      <c r="P1668" s="17"/>
      <c r="Q1668" s="22"/>
      <c r="R1668" s="23"/>
    </row>
    <row r="1669" spans="1:18" ht="12.75">
      <c r="A1669" s="22"/>
      <c r="D1669" s="19"/>
      <c r="H1669" s="18"/>
      <c r="J1669" s="18"/>
      <c r="N1669" s="16"/>
      <c r="O1669" s="17"/>
      <c r="P1669" s="17"/>
      <c r="Q1669" s="22"/>
      <c r="R1669" s="23"/>
    </row>
    <row r="1670" spans="1:18" ht="12.75">
      <c r="A1670" s="22"/>
      <c r="D1670" s="19"/>
      <c r="H1670" s="18"/>
      <c r="J1670" s="18"/>
      <c r="N1670" s="16"/>
      <c r="O1670" s="17"/>
      <c r="P1670" s="17"/>
      <c r="Q1670" s="22"/>
      <c r="R1670" s="23"/>
    </row>
    <row r="1671" spans="1:18" ht="12.75">
      <c r="A1671" s="22"/>
      <c r="D1671" s="19"/>
      <c r="H1671" s="18"/>
      <c r="J1671" s="18"/>
      <c r="N1671" s="16"/>
      <c r="O1671" s="17"/>
      <c r="P1671" s="17"/>
      <c r="Q1671" s="22"/>
      <c r="R1671" s="23"/>
    </row>
    <row r="1672" spans="1:18" ht="12.75">
      <c r="A1672" s="22"/>
      <c r="D1672" s="19"/>
      <c r="H1672" s="18"/>
      <c r="J1672" s="18"/>
      <c r="N1672" s="16"/>
      <c r="O1672" s="17"/>
      <c r="P1672" s="17"/>
      <c r="Q1672" s="22"/>
      <c r="R1672" s="23"/>
    </row>
    <row r="1673" spans="1:18" ht="12.75">
      <c r="A1673" s="22"/>
      <c r="D1673" s="19"/>
      <c r="H1673" s="18"/>
      <c r="J1673" s="18"/>
      <c r="N1673" s="16"/>
      <c r="O1673" s="17"/>
      <c r="P1673" s="17"/>
      <c r="Q1673" s="22"/>
      <c r="R1673" s="23"/>
    </row>
    <row r="1674" spans="1:18" ht="12.75">
      <c r="A1674" s="22"/>
      <c r="D1674" s="19"/>
      <c r="H1674" s="18"/>
      <c r="J1674" s="18"/>
      <c r="N1674" s="16"/>
      <c r="O1674" s="17"/>
      <c r="P1674" s="17"/>
      <c r="Q1674" s="22"/>
      <c r="R1674" s="23"/>
    </row>
    <row r="1675" spans="1:18" ht="12.75">
      <c r="A1675" s="22"/>
      <c r="D1675" s="19"/>
      <c r="H1675" s="18"/>
      <c r="J1675" s="18"/>
      <c r="N1675" s="16"/>
      <c r="O1675" s="17"/>
      <c r="P1675" s="17"/>
      <c r="Q1675" s="22"/>
      <c r="R1675" s="23"/>
    </row>
    <row r="1676" spans="1:18" ht="12.75">
      <c r="A1676" s="22"/>
      <c r="D1676" s="19"/>
      <c r="H1676" s="18"/>
      <c r="J1676" s="18"/>
      <c r="N1676" s="16"/>
      <c r="O1676" s="17"/>
      <c r="P1676" s="17"/>
      <c r="Q1676" s="22"/>
      <c r="R1676" s="23"/>
    </row>
    <row r="1677" spans="1:18" ht="12.75">
      <c r="A1677" s="22"/>
      <c r="D1677" s="19"/>
      <c r="H1677" s="18"/>
      <c r="J1677" s="18"/>
      <c r="N1677" s="16"/>
      <c r="O1677" s="17"/>
      <c r="P1677" s="17"/>
      <c r="Q1677" s="22"/>
      <c r="R1677" s="23"/>
    </row>
    <row r="1678" spans="1:18" ht="12.75">
      <c r="A1678" s="22"/>
      <c r="D1678" s="19"/>
      <c r="H1678" s="18"/>
      <c r="J1678" s="18"/>
      <c r="N1678" s="16"/>
      <c r="O1678" s="17"/>
      <c r="P1678" s="17"/>
      <c r="Q1678" s="22"/>
      <c r="R1678" s="23"/>
    </row>
    <row r="1679" spans="1:18" ht="12.75">
      <c r="A1679" s="22"/>
      <c r="D1679" s="19"/>
      <c r="H1679" s="18"/>
      <c r="J1679" s="18"/>
      <c r="N1679" s="16"/>
      <c r="O1679" s="17"/>
      <c r="P1679" s="17"/>
      <c r="Q1679" s="22"/>
      <c r="R1679" s="23"/>
    </row>
    <row r="1680" spans="1:18" ht="12.75">
      <c r="A1680" s="22"/>
      <c r="D1680" s="19"/>
      <c r="H1680" s="18"/>
      <c r="J1680" s="18"/>
      <c r="N1680" s="16"/>
      <c r="O1680" s="17"/>
      <c r="P1680" s="17"/>
      <c r="Q1680" s="22"/>
      <c r="R1680" s="23"/>
    </row>
    <row r="1681" spans="1:18" ht="12.75">
      <c r="A1681" s="22"/>
      <c r="D1681" s="19"/>
      <c r="H1681" s="18"/>
      <c r="J1681" s="18"/>
      <c r="N1681" s="16"/>
      <c r="O1681" s="17"/>
      <c r="P1681" s="17"/>
      <c r="Q1681" s="22"/>
      <c r="R1681" s="23"/>
    </row>
    <row r="1682" spans="1:18" ht="12.75">
      <c r="A1682" s="22"/>
      <c r="D1682" s="19"/>
      <c r="H1682" s="18"/>
      <c r="J1682" s="18"/>
      <c r="N1682" s="16"/>
      <c r="O1682" s="17"/>
      <c r="P1682" s="17"/>
      <c r="Q1682" s="22"/>
      <c r="R1682" s="23"/>
    </row>
    <row r="1683" spans="1:18" ht="12.75">
      <c r="A1683" s="22"/>
      <c r="D1683" s="19"/>
      <c r="H1683" s="18"/>
      <c r="J1683" s="18"/>
      <c r="N1683" s="16"/>
      <c r="O1683" s="17"/>
      <c r="P1683" s="17"/>
      <c r="Q1683" s="22"/>
      <c r="R1683" s="23"/>
    </row>
    <row r="1684" spans="1:18" ht="12.75">
      <c r="A1684" s="22"/>
      <c r="D1684" s="19"/>
      <c r="H1684" s="18"/>
      <c r="J1684" s="18"/>
      <c r="N1684" s="16"/>
      <c r="O1684" s="17"/>
      <c r="P1684" s="17"/>
      <c r="Q1684" s="22"/>
      <c r="R1684" s="23"/>
    </row>
    <row r="1685" spans="1:18" ht="12.75">
      <c r="A1685" s="22"/>
      <c r="D1685" s="19"/>
      <c r="H1685" s="18"/>
      <c r="J1685" s="18"/>
      <c r="N1685" s="16"/>
      <c r="O1685" s="17"/>
      <c r="P1685" s="17"/>
      <c r="Q1685" s="22"/>
      <c r="R1685" s="23"/>
    </row>
    <row r="1686" spans="1:18" ht="12.75">
      <c r="A1686" s="22"/>
      <c r="D1686" s="19"/>
      <c r="H1686" s="18"/>
      <c r="J1686" s="18"/>
      <c r="N1686" s="16"/>
      <c r="O1686" s="17"/>
      <c r="P1686" s="17"/>
      <c r="Q1686" s="22"/>
      <c r="R1686" s="23"/>
    </row>
    <row r="1687" spans="1:18" ht="12.75">
      <c r="A1687" s="22"/>
      <c r="D1687" s="19"/>
      <c r="H1687" s="18"/>
      <c r="J1687" s="18"/>
      <c r="N1687" s="16"/>
      <c r="O1687" s="17"/>
      <c r="P1687" s="17"/>
      <c r="Q1687" s="22"/>
      <c r="R1687" s="23"/>
    </row>
    <row r="1688" spans="1:18" ht="12.75">
      <c r="A1688" s="22"/>
      <c r="D1688" s="19"/>
      <c r="H1688" s="18"/>
      <c r="J1688" s="18"/>
      <c r="N1688" s="16"/>
      <c r="O1688" s="17"/>
      <c r="P1688" s="17"/>
      <c r="Q1688" s="22"/>
      <c r="R1688" s="23"/>
    </row>
    <row r="1689" spans="1:18" ht="12.75">
      <c r="A1689" s="22"/>
      <c r="D1689" s="19"/>
      <c r="H1689" s="18"/>
      <c r="J1689" s="18"/>
      <c r="N1689" s="16"/>
      <c r="O1689" s="17"/>
      <c r="P1689" s="17"/>
      <c r="Q1689" s="22"/>
      <c r="R1689" s="23"/>
    </row>
    <row r="1690" spans="1:18" ht="12.75">
      <c r="A1690" s="22"/>
      <c r="D1690" s="19"/>
      <c r="H1690" s="18"/>
      <c r="J1690" s="18"/>
      <c r="N1690" s="16"/>
      <c r="O1690" s="17"/>
      <c r="P1690" s="17"/>
      <c r="Q1690" s="22"/>
      <c r="R1690" s="23"/>
    </row>
    <row r="1691" spans="1:18" ht="12.75">
      <c r="A1691" s="22"/>
      <c r="D1691" s="19"/>
      <c r="H1691" s="18"/>
      <c r="J1691" s="18"/>
      <c r="N1691" s="16"/>
      <c r="O1691" s="17"/>
      <c r="P1691" s="17"/>
      <c r="Q1691" s="22"/>
      <c r="R1691" s="23"/>
    </row>
    <row r="1692" spans="1:18" ht="12.75">
      <c r="A1692" s="22"/>
      <c r="D1692" s="19"/>
      <c r="H1692" s="18"/>
      <c r="J1692" s="18"/>
      <c r="N1692" s="16"/>
      <c r="O1692" s="17"/>
      <c r="P1692" s="17"/>
      <c r="Q1692" s="22"/>
      <c r="R1692" s="23"/>
    </row>
    <row r="1693" spans="1:18" ht="12.75">
      <c r="A1693" s="22"/>
      <c r="D1693" s="19"/>
      <c r="H1693" s="18"/>
      <c r="J1693" s="18"/>
      <c r="N1693" s="16"/>
      <c r="O1693" s="17"/>
      <c r="P1693" s="17"/>
      <c r="Q1693" s="22"/>
      <c r="R1693" s="23"/>
    </row>
    <row r="1694" spans="1:18" ht="12.75">
      <c r="A1694" s="22"/>
      <c r="D1694" s="19"/>
      <c r="H1694" s="18"/>
      <c r="J1694" s="18"/>
      <c r="N1694" s="16"/>
      <c r="O1694" s="17"/>
      <c r="P1694" s="17"/>
      <c r="Q1694" s="22"/>
      <c r="R1694" s="23"/>
    </row>
    <row r="1695" spans="1:18" ht="12.75">
      <c r="A1695" s="22"/>
      <c r="D1695" s="19"/>
      <c r="H1695" s="18"/>
      <c r="J1695" s="18"/>
      <c r="N1695" s="16"/>
      <c r="O1695" s="17"/>
      <c r="P1695" s="17"/>
      <c r="Q1695" s="22"/>
      <c r="R1695" s="23"/>
    </row>
    <row r="1696" spans="1:18" ht="12.75">
      <c r="A1696" s="22"/>
      <c r="D1696" s="19"/>
      <c r="H1696" s="18"/>
      <c r="J1696" s="18"/>
      <c r="N1696" s="16"/>
      <c r="O1696" s="17"/>
      <c r="P1696" s="17"/>
      <c r="Q1696" s="22"/>
      <c r="R1696" s="23"/>
    </row>
    <row r="1697" spans="1:18" ht="12.75">
      <c r="A1697" s="22"/>
      <c r="D1697" s="19"/>
      <c r="H1697" s="18"/>
      <c r="J1697" s="18"/>
      <c r="N1697" s="16"/>
      <c r="O1697" s="17"/>
      <c r="P1697" s="17"/>
      <c r="Q1697" s="22"/>
      <c r="R1697" s="23"/>
    </row>
    <row r="1698" spans="1:18" ht="12.75">
      <c r="A1698" s="22"/>
      <c r="D1698" s="19"/>
      <c r="H1698" s="18"/>
      <c r="J1698" s="18"/>
      <c r="N1698" s="16"/>
      <c r="O1698" s="17"/>
      <c r="P1698" s="17"/>
      <c r="Q1698" s="22"/>
      <c r="R1698" s="23"/>
    </row>
    <row r="1699" spans="1:18" ht="12.75">
      <c r="A1699" s="22"/>
      <c r="D1699" s="19"/>
      <c r="H1699" s="18"/>
      <c r="J1699" s="18"/>
      <c r="N1699" s="16"/>
      <c r="O1699" s="17"/>
      <c r="P1699" s="17"/>
      <c r="Q1699" s="22"/>
      <c r="R1699" s="23"/>
    </row>
    <row r="1700" spans="1:18" ht="12.75">
      <c r="A1700" s="22"/>
      <c r="D1700" s="19"/>
      <c r="H1700" s="18"/>
      <c r="J1700" s="18"/>
      <c r="N1700" s="16"/>
      <c r="O1700" s="17"/>
      <c r="P1700" s="17"/>
      <c r="Q1700" s="22"/>
      <c r="R1700" s="23"/>
    </row>
    <row r="1701" spans="1:18" ht="12.75">
      <c r="A1701" s="22"/>
      <c r="D1701" s="19"/>
      <c r="H1701" s="18"/>
      <c r="J1701" s="18"/>
      <c r="N1701" s="16"/>
      <c r="O1701" s="17"/>
      <c r="P1701" s="17"/>
      <c r="Q1701" s="22"/>
      <c r="R1701" s="23"/>
    </row>
    <row r="1702" spans="1:18" ht="12.75">
      <c r="A1702" s="22"/>
      <c r="D1702" s="19"/>
      <c r="H1702" s="18"/>
      <c r="J1702" s="18"/>
      <c r="N1702" s="16"/>
      <c r="O1702" s="17"/>
      <c r="P1702" s="17"/>
      <c r="Q1702" s="22"/>
      <c r="R1702" s="23"/>
    </row>
    <row r="1703" spans="1:18" ht="12.75">
      <c r="A1703" s="22"/>
      <c r="D1703" s="19"/>
      <c r="H1703" s="18"/>
      <c r="J1703" s="18"/>
      <c r="N1703" s="16"/>
      <c r="O1703" s="17"/>
      <c r="P1703" s="17"/>
      <c r="Q1703" s="22"/>
      <c r="R1703" s="23"/>
    </row>
    <row r="1704" spans="1:18" ht="12.75">
      <c r="A1704" s="22"/>
      <c r="D1704" s="19"/>
      <c r="H1704" s="18"/>
      <c r="J1704" s="18"/>
      <c r="N1704" s="16"/>
      <c r="O1704" s="17"/>
      <c r="P1704" s="17"/>
      <c r="Q1704" s="22"/>
      <c r="R1704" s="23"/>
    </row>
    <row r="1705" spans="1:18" ht="12.75">
      <c r="A1705" s="22"/>
      <c r="D1705" s="19"/>
      <c r="H1705" s="18"/>
      <c r="J1705" s="18"/>
      <c r="N1705" s="16"/>
      <c r="O1705" s="17"/>
      <c r="P1705" s="17"/>
      <c r="Q1705" s="22"/>
      <c r="R1705" s="23"/>
    </row>
    <row r="1706" spans="1:18" ht="12.75">
      <c r="A1706" s="22"/>
      <c r="D1706" s="19"/>
      <c r="H1706" s="18"/>
      <c r="J1706" s="18"/>
      <c r="N1706" s="16"/>
      <c r="O1706" s="17"/>
      <c r="P1706" s="17"/>
      <c r="Q1706" s="22"/>
      <c r="R1706" s="23"/>
    </row>
    <row r="1707" spans="1:18" ht="12.75">
      <c r="A1707" s="22"/>
      <c r="D1707" s="19"/>
      <c r="H1707" s="18"/>
      <c r="J1707" s="18"/>
      <c r="N1707" s="16"/>
      <c r="O1707" s="17"/>
      <c r="P1707" s="17"/>
      <c r="Q1707" s="22"/>
      <c r="R1707" s="23"/>
    </row>
    <row r="1708" spans="1:18" ht="12.75">
      <c r="A1708" s="22"/>
      <c r="D1708" s="19"/>
      <c r="H1708" s="18"/>
      <c r="J1708" s="18"/>
      <c r="N1708" s="16"/>
      <c r="O1708" s="17"/>
      <c r="P1708" s="17"/>
      <c r="Q1708" s="22"/>
      <c r="R1708" s="23"/>
    </row>
    <row r="1709" spans="1:18" ht="12.75">
      <c r="A1709" s="22"/>
      <c r="D1709" s="19"/>
      <c r="H1709" s="18"/>
      <c r="J1709" s="18"/>
      <c r="N1709" s="16"/>
      <c r="O1709" s="17"/>
      <c r="P1709" s="17"/>
      <c r="Q1709" s="22"/>
      <c r="R1709" s="23"/>
    </row>
    <row r="1710" spans="1:18" ht="12.75">
      <c r="A1710" s="22"/>
      <c r="D1710" s="19"/>
      <c r="H1710" s="18"/>
      <c r="J1710" s="18"/>
      <c r="N1710" s="16"/>
      <c r="O1710" s="17"/>
      <c r="P1710" s="17"/>
      <c r="Q1710" s="22"/>
      <c r="R1710" s="23"/>
    </row>
    <row r="1711" spans="1:18" ht="12.75">
      <c r="A1711" s="22"/>
      <c r="D1711" s="19"/>
      <c r="H1711" s="18"/>
      <c r="J1711" s="18"/>
      <c r="N1711" s="16"/>
      <c r="O1711" s="17"/>
      <c r="P1711" s="17"/>
      <c r="Q1711" s="22"/>
      <c r="R1711" s="23"/>
    </row>
    <row r="1712" spans="1:18" ht="12.75">
      <c r="A1712" s="22"/>
      <c r="D1712" s="19"/>
      <c r="H1712" s="18"/>
      <c r="J1712" s="18"/>
      <c r="N1712" s="16"/>
      <c r="O1712" s="17"/>
      <c r="P1712" s="17"/>
      <c r="Q1712" s="22"/>
      <c r="R1712" s="23"/>
    </row>
    <row r="1713" spans="1:18" ht="12.75">
      <c r="A1713" s="22"/>
      <c r="D1713" s="19"/>
      <c r="H1713" s="18"/>
      <c r="J1713" s="18"/>
      <c r="N1713" s="16"/>
      <c r="O1713" s="17"/>
      <c r="P1713" s="17"/>
      <c r="Q1713" s="22"/>
      <c r="R1713" s="23"/>
    </row>
    <row r="1714" spans="1:18" ht="12.75">
      <c r="A1714" s="22"/>
      <c r="D1714" s="19"/>
      <c r="H1714" s="18"/>
      <c r="J1714" s="18"/>
      <c r="N1714" s="16"/>
      <c r="O1714" s="17"/>
      <c r="P1714" s="17"/>
      <c r="Q1714" s="22"/>
      <c r="R1714" s="23"/>
    </row>
    <row r="1715" spans="1:18" ht="12.75">
      <c r="A1715" s="22"/>
      <c r="D1715" s="19"/>
      <c r="H1715" s="18"/>
      <c r="J1715" s="18"/>
      <c r="N1715" s="16"/>
      <c r="O1715" s="17"/>
      <c r="P1715" s="17"/>
      <c r="Q1715" s="22"/>
      <c r="R1715" s="23"/>
    </row>
    <row r="1716" spans="1:18" ht="12.75">
      <c r="A1716" s="22"/>
      <c r="D1716" s="19"/>
      <c r="H1716" s="18"/>
      <c r="J1716" s="18"/>
      <c r="N1716" s="16"/>
      <c r="O1716" s="17"/>
      <c r="P1716" s="17"/>
      <c r="Q1716" s="22"/>
      <c r="R1716" s="23"/>
    </row>
    <row r="1717" spans="1:18" ht="12.75">
      <c r="A1717" s="22"/>
      <c r="D1717" s="19"/>
      <c r="H1717" s="18"/>
      <c r="J1717" s="18"/>
      <c r="N1717" s="16"/>
      <c r="O1717" s="17"/>
      <c r="P1717" s="17"/>
      <c r="Q1717" s="22"/>
      <c r="R1717" s="23"/>
    </row>
    <row r="1718" spans="1:18" ht="12.75">
      <c r="A1718" s="22"/>
      <c r="D1718" s="19"/>
      <c r="H1718" s="18"/>
      <c r="J1718" s="18"/>
      <c r="N1718" s="16"/>
      <c r="O1718" s="17"/>
      <c r="P1718" s="17"/>
      <c r="Q1718" s="22"/>
      <c r="R1718" s="23"/>
    </row>
    <row r="1719" spans="1:18" ht="12.75">
      <c r="A1719" s="22"/>
      <c r="D1719" s="19"/>
      <c r="H1719" s="18"/>
      <c r="J1719" s="18"/>
      <c r="N1719" s="16"/>
      <c r="O1719" s="17"/>
      <c r="P1719" s="17"/>
      <c r="Q1719" s="22"/>
      <c r="R1719" s="23"/>
    </row>
    <row r="1720" spans="1:18" ht="12.75">
      <c r="A1720" s="22"/>
      <c r="D1720" s="19"/>
      <c r="H1720" s="18"/>
      <c r="J1720" s="18"/>
      <c r="N1720" s="16"/>
      <c r="O1720" s="17"/>
      <c r="P1720" s="17"/>
      <c r="Q1720" s="22"/>
      <c r="R1720" s="23"/>
    </row>
    <row r="1721" spans="1:18" ht="12.75">
      <c r="A1721" s="22"/>
      <c r="D1721" s="19"/>
      <c r="H1721" s="18"/>
      <c r="J1721" s="18"/>
      <c r="N1721" s="16"/>
      <c r="O1721" s="17"/>
      <c r="P1721" s="17"/>
      <c r="Q1721" s="22"/>
      <c r="R1721" s="23"/>
    </row>
    <row r="1722" spans="1:18" ht="12.75">
      <c r="A1722" s="22"/>
      <c r="D1722" s="19"/>
      <c r="H1722" s="18"/>
      <c r="J1722" s="18"/>
      <c r="N1722" s="16"/>
      <c r="O1722" s="17"/>
      <c r="P1722" s="17"/>
      <c r="Q1722" s="22"/>
      <c r="R1722" s="23"/>
    </row>
    <row r="1723" spans="1:18" ht="12.75">
      <c r="A1723" s="22"/>
      <c r="D1723" s="19"/>
      <c r="H1723" s="18"/>
      <c r="J1723" s="18"/>
      <c r="N1723" s="16"/>
      <c r="O1723" s="17"/>
      <c r="P1723" s="17"/>
      <c r="Q1723" s="22"/>
      <c r="R1723" s="23"/>
    </row>
    <row r="1724" spans="1:18" ht="12.75">
      <c r="A1724" s="22"/>
      <c r="D1724" s="19"/>
      <c r="H1724" s="18"/>
      <c r="J1724" s="18"/>
      <c r="N1724" s="16"/>
      <c r="O1724" s="17"/>
      <c r="P1724" s="17"/>
      <c r="Q1724" s="22"/>
      <c r="R1724" s="23"/>
    </row>
    <row r="1725" spans="1:18" ht="12.75">
      <c r="A1725" s="22"/>
      <c r="D1725" s="19"/>
      <c r="H1725" s="18"/>
      <c r="J1725" s="18"/>
      <c r="N1725" s="16"/>
      <c r="O1725" s="17"/>
      <c r="P1725" s="17"/>
      <c r="Q1725" s="22"/>
      <c r="R1725" s="23"/>
    </row>
    <row r="1726" spans="1:18" ht="12.75">
      <c r="A1726" s="22"/>
      <c r="D1726" s="19"/>
      <c r="H1726" s="18"/>
      <c r="J1726" s="18"/>
      <c r="N1726" s="16"/>
      <c r="O1726" s="17"/>
      <c r="P1726" s="17"/>
      <c r="Q1726" s="22"/>
      <c r="R1726" s="23"/>
    </row>
    <row r="1727" spans="1:18" ht="12.75">
      <c r="A1727" s="22"/>
      <c r="D1727" s="19"/>
      <c r="H1727" s="18"/>
      <c r="J1727" s="18"/>
      <c r="N1727" s="16"/>
      <c r="O1727" s="17"/>
      <c r="P1727" s="17"/>
      <c r="Q1727" s="22"/>
      <c r="R1727" s="23"/>
    </row>
    <row r="1728" spans="1:18" ht="12.75">
      <c r="A1728" s="22"/>
      <c r="D1728" s="19"/>
      <c r="H1728" s="18"/>
      <c r="J1728" s="18"/>
      <c r="N1728" s="16"/>
      <c r="O1728" s="17"/>
      <c r="P1728" s="17"/>
      <c r="Q1728" s="22"/>
      <c r="R1728" s="23"/>
    </row>
    <row r="1729" spans="1:18" ht="12.75">
      <c r="A1729" s="22"/>
      <c r="D1729" s="19"/>
      <c r="H1729" s="18"/>
      <c r="J1729" s="18"/>
      <c r="N1729" s="16"/>
      <c r="O1729" s="17"/>
      <c r="P1729" s="17"/>
      <c r="Q1729" s="22"/>
      <c r="R1729" s="23"/>
    </row>
    <row r="1730" spans="1:18" ht="12.75">
      <c r="A1730" s="22"/>
      <c r="D1730" s="19"/>
      <c r="H1730" s="18"/>
      <c r="J1730" s="18"/>
      <c r="N1730" s="16"/>
      <c r="O1730" s="17"/>
      <c r="P1730" s="17"/>
      <c r="Q1730" s="22"/>
      <c r="R1730" s="23"/>
    </row>
    <row r="1731" spans="1:18" ht="12.75">
      <c r="A1731" s="22"/>
      <c r="D1731" s="19"/>
      <c r="H1731" s="18"/>
      <c r="J1731" s="18"/>
      <c r="N1731" s="16"/>
      <c r="O1731" s="17"/>
      <c r="P1731" s="17"/>
      <c r="Q1731" s="22"/>
      <c r="R1731" s="23"/>
    </row>
    <row r="1732" spans="1:18" ht="12.75">
      <c r="A1732" s="22"/>
      <c r="D1732" s="19"/>
      <c r="H1732" s="18"/>
      <c r="J1732" s="18"/>
      <c r="N1732" s="16"/>
      <c r="O1732" s="17"/>
      <c r="P1732" s="17"/>
      <c r="Q1732" s="22"/>
      <c r="R1732" s="23"/>
    </row>
    <row r="1733" spans="1:18" ht="12.75">
      <c r="A1733" s="22"/>
      <c r="D1733" s="19"/>
      <c r="H1733" s="18"/>
      <c r="J1733" s="18"/>
      <c r="N1733" s="16"/>
      <c r="O1733" s="17"/>
      <c r="P1733" s="17"/>
      <c r="Q1733" s="22"/>
      <c r="R1733" s="23"/>
    </row>
    <row r="1734" spans="1:18" ht="12.75">
      <c r="A1734" s="22"/>
      <c r="D1734" s="19"/>
      <c r="H1734" s="18"/>
      <c r="J1734" s="18"/>
      <c r="N1734" s="16"/>
      <c r="O1734" s="17"/>
      <c r="P1734" s="17"/>
      <c r="Q1734" s="22"/>
      <c r="R1734" s="23"/>
    </row>
    <row r="1735" spans="1:18" ht="12.75">
      <c r="A1735" s="22"/>
      <c r="D1735" s="19"/>
      <c r="H1735" s="18"/>
      <c r="J1735" s="18"/>
      <c r="N1735" s="16"/>
      <c r="O1735" s="17"/>
      <c r="P1735" s="17"/>
      <c r="Q1735" s="22"/>
      <c r="R1735" s="23"/>
    </row>
    <row r="1736" spans="1:18" ht="12.75">
      <c r="A1736" s="22"/>
      <c r="D1736" s="19"/>
      <c r="H1736" s="18"/>
      <c r="J1736" s="18"/>
      <c r="N1736" s="16"/>
      <c r="O1736" s="17"/>
      <c r="P1736" s="17"/>
      <c r="Q1736" s="22"/>
      <c r="R1736" s="23"/>
    </row>
    <row r="1737" spans="1:18" ht="12.75">
      <c r="A1737" s="22"/>
      <c r="D1737" s="19"/>
      <c r="H1737" s="18"/>
      <c r="J1737" s="18"/>
      <c r="N1737" s="16"/>
      <c r="O1737" s="17"/>
      <c r="P1737" s="17"/>
      <c r="Q1737" s="22"/>
      <c r="R1737" s="23"/>
    </row>
    <row r="1738" spans="1:18" ht="12.75">
      <c r="A1738" s="22"/>
      <c r="D1738" s="19"/>
      <c r="H1738" s="18"/>
      <c r="J1738" s="18"/>
      <c r="N1738" s="16"/>
      <c r="O1738" s="17"/>
      <c r="P1738" s="17"/>
      <c r="Q1738" s="22"/>
      <c r="R1738" s="23"/>
    </row>
    <row r="1739" spans="1:18" ht="12.75">
      <c r="A1739" s="22"/>
      <c r="D1739" s="19"/>
      <c r="H1739" s="18"/>
      <c r="J1739" s="18"/>
      <c r="N1739" s="16"/>
      <c r="O1739" s="17"/>
      <c r="P1739" s="17"/>
      <c r="Q1739" s="22"/>
      <c r="R1739" s="23"/>
    </row>
    <row r="1740" spans="1:18" ht="12.75">
      <c r="A1740" s="22"/>
      <c r="D1740" s="19"/>
      <c r="H1740" s="18"/>
      <c r="J1740" s="18"/>
      <c r="N1740" s="16"/>
      <c r="O1740" s="17"/>
      <c r="P1740" s="17"/>
      <c r="Q1740" s="22"/>
      <c r="R1740" s="23"/>
    </row>
    <row r="1741" spans="1:18" ht="12.75">
      <c r="A1741" s="22"/>
      <c r="D1741" s="19"/>
      <c r="H1741" s="18"/>
      <c r="J1741" s="18"/>
      <c r="N1741" s="16"/>
      <c r="O1741" s="17"/>
      <c r="P1741" s="17"/>
      <c r="Q1741" s="22"/>
      <c r="R1741" s="23"/>
    </row>
    <row r="1742" spans="1:18" ht="12.75">
      <c r="A1742" s="22"/>
      <c r="D1742" s="19"/>
      <c r="H1742" s="18"/>
      <c r="J1742" s="18"/>
      <c r="N1742" s="16"/>
      <c r="O1742" s="17"/>
      <c r="P1742" s="17"/>
      <c r="Q1742" s="22"/>
      <c r="R1742" s="23"/>
    </row>
    <row r="1743" spans="1:18" ht="12.75">
      <c r="A1743" s="22"/>
      <c r="D1743" s="19"/>
      <c r="H1743" s="18"/>
      <c r="J1743" s="18"/>
      <c r="N1743" s="16"/>
      <c r="O1743" s="17"/>
      <c r="P1743" s="17"/>
      <c r="Q1743" s="22"/>
      <c r="R1743" s="23"/>
    </row>
    <row r="1744" spans="1:18" ht="12.75">
      <c r="A1744" s="22"/>
      <c r="D1744" s="19"/>
      <c r="H1744" s="18"/>
      <c r="J1744" s="18"/>
      <c r="N1744" s="16"/>
      <c r="O1744" s="17"/>
      <c r="P1744" s="17"/>
      <c r="Q1744" s="22"/>
      <c r="R1744" s="23"/>
    </row>
    <row r="1745" spans="1:18" ht="12.75">
      <c r="A1745" s="22"/>
      <c r="D1745" s="19"/>
      <c r="H1745" s="18"/>
      <c r="J1745" s="18"/>
      <c r="N1745" s="16"/>
      <c r="O1745" s="17"/>
      <c r="P1745" s="17"/>
      <c r="Q1745" s="22"/>
      <c r="R1745" s="23"/>
    </row>
    <row r="1746" spans="1:18" ht="12.75">
      <c r="A1746" s="22"/>
      <c r="D1746" s="19"/>
      <c r="H1746" s="18"/>
      <c r="J1746" s="18"/>
      <c r="N1746" s="16"/>
      <c r="O1746" s="17"/>
      <c r="P1746" s="17"/>
      <c r="Q1746" s="22"/>
      <c r="R1746" s="23"/>
    </row>
    <row r="1747" spans="1:18" ht="12.75">
      <c r="A1747" s="22"/>
      <c r="D1747" s="19"/>
      <c r="H1747" s="18"/>
      <c r="J1747" s="18"/>
      <c r="N1747" s="16"/>
      <c r="O1747" s="17"/>
      <c r="P1747" s="17"/>
      <c r="Q1747" s="22"/>
      <c r="R1747" s="23"/>
    </row>
    <row r="1748" spans="1:18" ht="12.75">
      <c r="A1748" s="22"/>
      <c r="D1748" s="19"/>
      <c r="H1748" s="18"/>
      <c r="J1748" s="18"/>
      <c r="N1748" s="16"/>
      <c r="O1748" s="17"/>
      <c r="P1748" s="17"/>
      <c r="Q1748" s="22"/>
      <c r="R1748" s="23"/>
    </row>
    <row r="1749" spans="1:18" ht="12.75">
      <c r="A1749" s="22"/>
      <c r="D1749" s="19"/>
      <c r="H1749" s="18"/>
      <c r="J1749" s="18"/>
      <c r="N1749" s="16"/>
      <c r="O1749" s="17"/>
      <c r="P1749" s="17"/>
      <c r="Q1749" s="22"/>
      <c r="R1749" s="23"/>
    </row>
    <row r="1750" spans="1:18" ht="12.75">
      <c r="A1750" s="22"/>
      <c r="D1750" s="19"/>
      <c r="H1750" s="18"/>
      <c r="J1750" s="18"/>
      <c r="N1750" s="16"/>
      <c r="O1750" s="17"/>
      <c r="P1750" s="17"/>
      <c r="Q1750" s="22"/>
      <c r="R1750" s="23"/>
    </row>
    <row r="1751" spans="1:18" ht="12.75">
      <c r="A1751" s="22"/>
      <c r="D1751" s="19"/>
      <c r="H1751" s="18"/>
      <c r="J1751" s="18"/>
      <c r="N1751" s="16"/>
      <c r="O1751" s="17"/>
      <c r="P1751" s="17"/>
      <c r="Q1751" s="22"/>
      <c r="R1751" s="23"/>
    </row>
    <row r="1752" spans="1:18" ht="12.75">
      <c r="A1752" s="22"/>
      <c r="D1752" s="19"/>
      <c r="H1752" s="18"/>
      <c r="J1752" s="18"/>
      <c r="N1752" s="16"/>
      <c r="O1752" s="17"/>
      <c r="P1752" s="17"/>
      <c r="Q1752" s="22"/>
      <c r="R1752" s="23"/>
    </row>
    <row r="1753" spans="1:18" ht="12.75">
      <c r="A1753" s="22"/>
      <c r="D1753" s="19"/>
      <c r="H1753" s="18"/>
      <c r="J1753" s="18"/>
      <c r="N1753" s="16"/>
      <c r="O1753" s="17"/>
      <c r="P1753" s="17"/>
      <c r="Q1753" s="22"/>
      <c r="R1753" s="23"/>
    </row>
    <row r="1754" spans="1:18" ht="12.75">
      <c r="A1754" s="22"/>
      <c r="D1754" s="19"/>
      <c r="H1754" s="18"/>
      <c r="J1754" s="18"/>
      <c r="N1754" s="16"/>
      <c r="O1754" s="17"/>
      <c r="P1754" s="17"/>
      <c r="Q1754" s="22"/>
      <c r="R1754" s="23"/>
    </row>
    <row r="1755" spans="1:18" ht="12.75">
      <c r="A1755" s="22"/>
      <c r="D1755" s="19"/>
      <c r="H1755" s="18"/>
      <c r="J1755" s="18"/>
      <c r="N1755" s="16"/>
      <c r="O1755" s="17"/>
      <c r="P1755" s="17"/>
      <c r="Q1755" s="22"/>
      <c r="R1755" s="23"/>
    </row>
    <row r="1756" spans="1:18" ht="12.75">
      <c r="A1756" s="22"/>
      <c r="D1756" s="19"/>
      <c r="H1756" s="18"/>
      <c r="J1756" s="18"/>
      <c r="N1756" s="16"/>
      <c r="O1756" s="17"/>
      <c r="P1756" s="17"/>
      <c r="Q1756" s="22"/>
      <c r="R1756" s="23"/>
    </row>
    <row r="1757" spans="1:18" ht="12.75">
      <c r="A1757" s="22"/>
      <c r="D1757" s="19"/>
      <c r="H1757" s="18"/>
      <c r="J1757" s="18"/>
      <c r="N1757" s="16"/>
      <c r="O1757" s="17"/>
      <c r="P1757" s="17"/>
      <c r="Q1757" s="22"/>
      <c r="R1757" s="23"/>
    </row>
    <row r="1758" spans="1:18" ht="12.75">
      <c r="A1758" s="22"/>
      <c r="D1758" s="19"/>
      <c r="H1758" s="18"/>
      <c r="J1758" s="18"/>
      <c r="N1758" s="16"/>
      <c r="O1758" s="17"/>
      <c r="P1758" s="17"/>
      <c r="Q1758" s="22"/>
      <c r="R1758" s="23"/>
    </row>
    <row r="1759" spans="1:18" ht="12.75">
      <c r="A1759" s="22"/>
      <c r="D1759" s="19"/>
      <c r="H1759" s="18"/>
      <c r="J1759" s="18"/>
      <c r="N1759" s="16"/>
      <c r="O1759" s="17"/>
      <c r="P1759" s="17"/>
      <c r="Q1759" s="22"/>
      <c r="R1759" s="23"/>
    </row>
    <row r="1760" spans="1:18" ht="12.75">
      <c r="A1760" s="22"/>
      <c r="D1760" s="19"/>
      <c r="H1760" s="18"/>
      <c r="J1760" s="18"/>
      <c r="N1760" s="16"/>
      <c r="O1760" s="17"/>
      <c r="P1760" s="17"/>
      <c r="Q1760" s="22"/>
      <c r="R1760" s="23"/>
    </row>
    <row r="1761" spans="1:18" ht="12.75">
      <c r="A1761" s="22"/>
      <c r="D1761" s="19"/>
      <c r="H1761" s="18"/>
      <c r="J1761" s="18"/>
      <c r="N1761" s="16"/>
      <c r="O1761" s="17"/>
      <c r="P1761" s="17"/>
      <c r="Q1761" s="22"/>
      <c r="R1761" s="23"/>
    </row>
    <row r="1762" spans="1:18" ht="12.75">
      <c r="A1762" s="22"/>
      <c r="D1762" s="19"/>
      <c r="H1762" s="18"/>
      <c r="J1762" s="18"/>
      <c r="N1762" s="16"/>
      <c r="O1762" s="17"/>
      <c r="P1762" s="17"/>
      <c r="Q1762" s="22"/>
      <c r="R1762" s="23"/>
    </row>
    <row r="1763" spans="1:18" ht="12.75">
      <c r="A1763" s="22"/>
      <c r="D1763" s="19"/>
      <c r="H1763" s="18"/>
      <c r="J1763" s="18"/>
      <c r="N1763" s="16"/>
      <c r="O1763" s="17"/>
      <c r="P1763" s="17"/>
      <c r="Q1763" s="22"/>
      <c r="R1763" s="23"/>
    </row>
    <row r="1764" spans="1:18" ht="12.75">
      <c r="A1764" s="22"/>
      <c r="D1764" s="19"/>
      <c r="H1764" s="18"/>
      <c r="J1764" s="18"/>
      <c r="N1764" s="16"/>
      <c r="O1764" s="17"/>
      <c r="P1764" s="17"/>
      <c r="Q1764" s="22"/>
      <c r="R1764" s="23"/>
    </row>
    <row r="1765" spans="1:18" ht="12.75">
      <c r="A1765" s="22"/>
      <c r="D1765" s="19"/>
      <c r="H1765" s="18"/>
      <c r="J1765" s="18"/>
      <c r="N1765" s="16"/>
      <c r="O1765" s="17"/>
      <c r="P1765" s="17"/>
      <c r="Q1765" s="22"/>
      <c r="R1765" s="23"/>
    </row>
    <row r="1766" spans="1:18" ht="12.75">
      <c r="A1766" s="22"/>
      <c r="D1766" s="19"/>
      <c r="H1766" s="18"/>
      <c r="J1766" s="18"/>
      <c r="N1766" s="16"/>
      <c r="O1766" s="17"/>
      <c r="P1766" s="17"/>
      <c r="Q1766" s="22"/>
      <c r="R1766" s="23"/>
    </row>
    <row r="1767" spans="1:18" ht="12.75">
      <c r="A1767" s="22"/>
      <c r="D1767" s="19"/>
      <c r="H1767" s="18"/>
      <c r="J1767" s="18"/>
      <c r="N1767" s="16"/>
      <c r="O1767" s="17"/>
      <c r="P1767" s="17"/>
      <c r="Q1767" s="22"/>
      <c r="R1767" s="23"/>
    </row>
    <row r="1768" spans="1:18" ht="12.75">
      <c r="A1768" s="22"/>
      <c r="D1768" s="19"/>
      <c r="H1768" s="18"/>
      <c r="J1768" s="18"/>
      <c r="N1768" s="16"/>
      <c r="O1768" s="17"/>
      <c r="P1768" s="17"/>
      <c r="Q1768" s="22"/>
      <c r="R1768" s="23"/>
    </row>
    <row r="1769" spans="1:18" ht="12.75">
      <c r="A1769" s="22"/>
      <c r="D1769" s="19"/>
      <c r="H1769" s="18"/>
      <c r="J1769" s="18"/>
      <c r="N1769" s="16"/>
      <c r="O1769" s="17"/>
      <c r="P1769" s="17"/>
      <c r="Q1769" s="22"/>
      <c r="R1769" s="23"/>
    </row>
    <row r="1770" spans="1:18" ht="12.75">
      <c r="A1770" s="22"/>
      <c r="D1770" s="19"/>
      <c r="H1770" s="18"/>
      <c r="J1770" s="18"/>
      <c r="N1770" s="16"/>
      <c r="O1770" s="17"/>
      <c r="P1770" s="17"/>
      <c r="Q1770" s="22"/>
      <c r="R1770" s="23"/>
    </row>
    <row r="1771" spans="1:18" ht="12.75">
      <c r="A1771" s="22"/>
      <c r="D1771" s="19"/>
      <c r="H1771" s="18"/>
      <c r="J1771" s="18"/>
      <c r="N1771" s="16"/>
      <c r="O1771" s="17"/>
      <c r="P1771" s="17"/>
      <c r="Q1771" s="22"/>
      <c r="R1771" s="23"/>
    </row>
    <row r="1772" spans="1:18" ht="12.75">
      <c r="A1772" s="22"/>
      <c r="D1772" s="19"/>
      <c r="H1772" s="18"/>
      <c r="J1772" s="18"/>
      <c r="N1772" s="16"/>
      <c r="O1772" s="17"/>
      <c r="P1772" s="17"/>
      <c r="Q1772" s="22"/>
      <c r="R1772" s="23"/>
    </row>
    <row r="1773" spans="1:18" ht="12.75">
      <c r="A1773" s="22"/>
      <c r="D1773" s="19"/>
      <c r="H1773" s="18"/>
      <c r="J1773" s="18"/>
      <c r="N1773" s="16"/>
      <c r="O1773" s="17"/>
      <c r="P1773" s="17"/>
      <c r="Q1773" s="22"/>
      <c r="R1773" s="23"/>
    </row>
    <row r="1774" spans="1:18" ht="12.75">
      <c r="A1774" s="22"/>
      <c r="D1774" s="19"/>
      <c r="H1774" s="18"/>
      <c r="J1774" s="18"/>
      <c r="N1774" s="16"/>
      <c r="O1774" s="17"/>
      <c r="P1774" s="17"/>
      <c r="Q1774" s="22"/>
      <c r="R1774" s="23"/>
    </row>
    <row r="1775" spans="1:18" ht="12.75">
      <c r="A1775" s="22"/>
      <c r="D1775" s="19"/>
      <c r="H1775" s="18"/>
      <c r="J1775" s="18"/>
      <c r="N1775" s="16"/>
      <c r="O1775" s="17"/>
      <c r="P1775" s="17"/>
      <c r="Q1775" s="22"/>
      <c r="R1775" s="23"/>
    </row>
    <row r="1776" spans="1:18" ht="12.75">
      <c r="A1776" s="22"/>
      <c r="D1776" s="19"/>
      <c r="H1776" s="18"/>
      <c r="J1776" s="18"/>
      <c r="N1776" s="16"/>
      <c r="O1776" s="17"/>
      <c r="P1776" s="17"/>
      <c r="Q1776" s="22"/>
      <c r="R1776" s="23"/>
    </row>
    <row r="1777" spans="1:18" ht="12.75">
      <c r="A1777" s="22"/>
      <c r="D1777" s="19"/>
      <c r="H1777" s="18"/>
      <c r="J1777" s="18"/>
      <c r="N1777" s="16"/>
      <c r="O1777" s="17"/>
      <c r="P1777" s="17"/>
      <c r="Q1777" s="22"/>
      <c r="R1777" s="23"/>
    </row>
    <row r="1778" spans="1:18" ht="12.75">
      <c r="A1778" s="22"/>
      <c r="D1778" s="19"/>
      <c r="H1778" s="18"/>
      <c r="J1778" s="18"/>
      <c r="N1778" s="16"/>
      <c r="O1778" s="17"/>
      <c r="P1778" s="17"/>
      <c r="Q1778" s="22"/>
      <c r="R1778" s="23"/>
    </row>
    <row r="1779" spans="1:18" ht="12.75">
      <c r="A1779" s="22"/>
      <c r="D1779" s="19"/>
      <c r="H1779" s="18"/>
      <c r="J1779" s="18"/>
      <c r="N1779" s="16"/>
      <c r="O1779" s="17"/>
      <c r="P1779" s="17"/>
      <c r="Q1779" s="22"/>
      <c r="R1779" s="23"/>
    </row>
    <row r="1780" spans="1:18" ht="12.75">
      <c r="A1780" s="22"/>
      <c r="D1780" s="19"/>
      <c r="H1780" s="18"/>
      <c r="J1780" s="18"/>
      <c r="N1780" s="16"/>
      <c r="O1780" s="17"/>
      <c r="P1780" s="17"/>
      <c r="Q1780" s="22"/>
      <c r="R1780" s="23"/>
    </row>
    <row r="1781" spans="1:18" ht="12.75">
      <c r="A1781" s="22"/>
      <c r="D1781" s="19"/>
      <c r="H1781" s="18"/>
      <c r="J1781" s="18"/>
      <c r="N1781" s="16"/>
      <c r="O1781" s="17"/>
      <c r="P1781" s="17"/>
      <c r="Q1781" s="22"/>
      <c r="R1781" s="23"/>
    </row>
    <row r="1782" spans="1:18" ht="12.75">
      <c r="A1782" s="22"/>
      <c r="D1782" s="19"/>
      <c r="H1782" s="18"/>
      <c r="J1782" s="18"/>
      <c r="N1782" s="16"/>
      <c r="O1782" s="17"/>
      <c r="P1782" s="17"/>
      <c r="Q1782" s="22"/>
      <c r="R1782" s="23"/>
    </row>
    <row r="1783" spans="1:18" ht="12.75">
      <c r="A1783" s="22"/>
      <c r="D1783" s="19"/>
      <c r="H1783" s="18"/>
      <c r="J1783" s="18"/>
      <c r="N1783" s="16"/>
      <c r="O1783" s="17"/>
      <c r="P1783" s="17"/>
      <c r="Q1783" s="22"/>
      <c r="R1783" s="23"/>
    </row>
    <row r="1784" spans="1:18" ht="12.75">
      <c r="A1784" s="22"/>
      <c r="D1784" s="19"/>
      <c r="H1784" s="18"/>
      <c r="J1784" s="18"/>
      <c r="N1784" s="16"/>
      <c r="O1784" s="17"/>
      <c r="P1784" s="17"/>
      <c r="Q1784" s="22"/>
      <c r="R1784" s="23"/>
    </row>
    <row r="1785" spans="1:18" ht="12.75">
      <c r="A1785" s="22"/>
      <c r="D1785" s="19"/>
      <c r="H1785" s="18"/>
      <c r="J1785" s="18"/>
      <c r="N1785" s="16"/>
      <c r="O1785" s="17"/>
      <c r="P1785" s="17"/>
      <c r="Q1785" s="22"/>
      <c r="R1785" s="23"/>
    </row>
    <row r="1786" spans="1:18" ht="12.75">
      <c r="A1786" s="22"/>
      <c r="D1786" s="19"/>
      <c r="H1786" s="18"/>
      <c r="J1786" s="18"/>
      <c r="N1786" s="16"/>
      <c r="O1786" s="17"/>
      <c r="P1786" s="17"/>
      <c r="Q1786" s="22"/>
      <c r="R1786" s="23"/>
    </row>
    <row r="1787" spans="1:18" ht="12.75">
      <c r="A1787" s="22"/>
      <c r="D1787" s="19"/>
      <c r="H1787" s="18"/>
      <c r="J1787" s="18"/>
      <c r="N1787" s="16"/>
      <c r="O1787" s="17"/>
      <c r="P1787" s="17"/>
      <c r="Q1787" s="22"/>
      <c r="R1787" s="23"/>
    </row>
    <row r="1788" spans="1:18" ht="12.75">
      <c r="A1788" s="22"/>
      <c r="D1788" s="19"/>
      <c r="H1788" s="18"/>
      <c r="J1788" s="18"/>
      <c r="N1788" s="16"/>
      <c r="O1788" s="17"/>
      <c r="P1788" s="17"/>
      <c r="Q1788" s="22"/>
      <c r="R1788" s="23"/>
    </row>
    <row r="1789" spans="1:18" ht="12.75">
      <c r="A1789" s="22"/>
      <c r="D1789" s="19"/>
      <c r="H1789" s="18"/>
      <c r="J1789" s="18"/>
      <c r="N1789" s="16"/>
      <c r="O1789" s="17"/>
      <c r="P1789" s="17"/>
      <c r="Q1789" s="22"/>
      <c r="R1789" s="23"/>
    </row>
    <row r="1790" spans="1:18" ht="12.75">
      <c r="A1790" s="22"/>
      <c r="D1790" s="19"/>
      <c r="H1790" s="18"/>
      <c r="J1790" s="18"/>
      <c r="N1790" s="16"/>
      <c r="O1790" s="17"/>
      <c r="P1790" s="17"/>
      <c r="Q1790" s="22"/>
      <c r="R1790" s="23"/>
    </row>
    <row r="1791" spans="1:18" ht="12.75">
      <c r="A1791" s="22"/>
      <c r="D1791" s="19"/>
      <c r="H1791" s="18"/>
      <c r="J1791" s="18"/>
      <c r="N1791" s="16"/>
      <c r="O1791" s="17"/>
      <c r="P1791" s="17"/>
      <c r="Q1791" s="22"/>
      <c r="R1791" s="23"/>
    </row>
    <row r="1792" spans="1:18" ht="12.75">
      <c r="A1792" s="22"/>
      <c r="D1792" s="19"/>
      <c r="H1792" s="18"/>
      <c r="J1792" s="18"/>
      <c r="N1792" s="16"/>
      <c r="O1792" s="17"/>
      <c r="P1792" s="17"/>
      <c r="Q1792" s="22"/>
      <c r="R1792" s="23"/>
    </row>
    <row r="1793" spans="1:18" ht="12.75">
      <c r="A1793" s="22"/>
      <c r="D1793" s="19"/>
      <c r="H1793" s="18"/>
      <c r="J1793" s="18"/>
      <c r="N1793" s="16"/>
      <c r="O1793" s="17"/>
      <c r="P1793" s="17"/>
      <c r="Q1793" s="22"/>
      <c r="R1793" s="23"/>
    </row>
    <row r="1794" spans="1:18" ht="12.75">
      <c r="A1794" s="22"/>
      <c r="D1794" s="19"/>
      <c r="H1794" s="18"/>
      <c r="J1794" s="18"/>
      <c r="N1794" s="16"/>
      <c r="O1794" s="17"/>
      <c r="P1794" s="17"/>
      <c r="Q1794" s="22"/>
      <c r="R1794" s="23"/>
    </row>
    <row r="1795" spans="1:18" ht="12.75">
      <c r="A1795" s="22"/>
      <c r="D1795" s="19"/>
      <c r="H1795" s="18"/>
      <c r="J1795" s="18"/>
      <c r="N1795" s="16"/>
      <c r="O1795" s="17"/>
      <c r="P1795" s="17"/>
      <c r="Q1795" s="22"/>
      <c r="R1795" s="23"/>
    </row>
    <row r="1796" spans="1:18" ht="12.75">
      <c r="A1796" s="22"/>
      <c r="D1796" s="19"/>
      <c r="H1796" s="18"/>
      <c r="J1796" s="18"/>
      <c r="N1796" s="16"/>
      <c r="O1796" s="17"/>
      <c r="P1796" s="17"/>
      <c r="Q1796" s="22"/>
      <c r="R1796" s="23"/>
    </row>
    <row r="1797" spans="1:18" ht="12.75">
      <c r="A1797" s="22"/>
      <c r="D1797" s="19"/>
      <c r="H1797" s="18"/>
      <c r="J1797" s="18"/>
      <c r="N1797" s="16"/>
      <c r="O1797" s="17"/>
      <c r="P1797" s="17"/>
      <c r="Q1797" s="22"/>
      <c r="R1797" s="23"/>
    </row>
    <row r="1798" spans="1:18" ht="12.75">
      <c r="A1798" s="22"/>
      <c r="D1798" s="19"/>
      <c r="H1798" s="18"/>
      <c r="J1798" s="18"/>
      <c r="N1798" s="16"/>
      <c r="O1798" s="17"/>
      <c r="P1798" s="17"/>
      <c r="Q1798" s="22"/>
      <c r="R1798" s="23"/>
    </row>
    <row r="1799" spans="1:18" ht="12.75">
      <c r="A1799" s="22"/>
      <c r="D1799" s="19"/>
      <c r="H1799" s="18"/>
      <c r="J1799" s="18"/>
      <c r="N1799" s="16"/>
      <c r="O1799" s="17"/>
      <c r="P1799" s="17"/>
      <c r="Q1799" s="22"/>
      <c r="R1799" s="23"/>
    </row>
    <row r="1800" spans="1:18" ht="12.75">
      <c r="A1800" s="22"/>
      <c r="D1800" s="19"/>
      <c r="H1800" s="18"/>
      <c r="J1800" s="18"/>
      <c r="N1800" s="16"/>
      <c r="O1800" s="17"/>
      <c r="P1800" s="17"/>
      <c r="Q1800" s="22"/>
      <c r="R1800" s="23"/>
    </row>
    <row r="1801" spans="1:18" ht="12.75">
      <c r="A1801" s="22"/>
      <c r="D1801" s="19"/>
      <c r="H1801" s="18"/>
      <c r="J1801" s="18"/>
      <c r="N1801" s="16"/>
      <c r="O1801" s="17"/>
      <c r="P1801" s="17"/>
      <c r="Q1801" s="22"/>
      <c r="R1801" s="23"/>
    </row>
    <row r="1802" spans="1:18" ht="12.75">
      <c r="A1802" s="22"/>
      <c r="D1802" s="19"/>
      <c r="H1802" s="18"/>
      <c r="J1802" s="18"/>
      <c r="N1802" s="16"/>
      <c r="O1802" s="17"/>
      <c r="P1802" s="17"/>
      <c r="Q1802" s="22"/>
      <c r="R1802" s="23"/>
    </row>
    <row r="1803" spans="1:18" ht="12.75">
      <c r="A1803" s="22"/>
      <c r="D1803" s="19"/>
      <c r="H1803" s="18"/>
      <c r="J1803" s="18"/>
      <c r="N1803" s="16"/>
      <c r="O1803" s="17"/>
      <c r="P1803" s="17"/>
      <c r="Q1803" s="22"/>
      <c r="R1803" s="23"/>
    </row>
    <row r="1804" spans="1:18" ht="12.75">
      <c r="A1804" s="22"/>
      <c r="D1804" s="19"/>
      <c r="H1804" s="18"/>
      <c r="J1804" s="18"/>
      <c r="N1804" s="16"/>
      <c r="O1804" s="17"/>
      <c r="P1804" s="17"/>
      <c r="Q1804" s="22"/>
      <c r="R1804" s="23"/>
    </row>
    <row r="1805" spans="1:18" ht="12.75">
      <c r="A1805" s="22"/>
      <c r="D1805" s="19"/>
      <c r="H1805" s="18"/>
      <c r="J1805" s="18"/>
      <c r="N1805" s="16"/>
      <c r="O1805" s="17"/>
      <c r="P1805" s="17"/>
      <c r="Q1805" s="22"/>
      <c r="R1805" s="23"/>
    </row>
    <row r="1806" spans="1:18" ht="12.75">
      <c r="A1806" s="22"/>
      <c r="D1806" s="19"/>
      <c r="H1806" s="18"/>
      <c r="J1806" s="18"/>
      <c r="N1806" s="16"/>
      <c r="O1806" s="17"/>
      <c r="P1806" s="17"/>
      <c r="Q1806" s="22"/>
      <c r="R1806" s="23"/>
    </row>
    <row r="1807" spans="1:18" ht="12.75">
      <c r="A1807" s="22"/>
      <c r="D1807" s="19"/>
      <c r="H1807" s="18"/>
      <c r="J1807" s="18"/>
      <c r="N1807" s="16"/>
      <c r="O1807" s="17"/>
      <c r="P1807" s="17"/>
      <c r="Q1807" s="22"/>
      <c r="R1807" s="23"/>
    </row>
    <row r="1808" spans="1:18" ht="12.75">
      <c r="A1808" s="22"/>
      <c r="D1808" s="19"/>
      <c r="H1808" s="18"/>
      <c r="J1808" s="18"/>
      <c r="N1808" s="16"/>
      <c r="O1808" s="17"/>
      <c r="P1808" s="17"/>
      <c r="Q1808" s="22"/>
      <c r="R1808" s="23"/>
    </row>
    <row r="1809" spans="1:18" ht="12.75">
      <c r="A1809" s="22"/>
      <c r="D1809" s="19"/>
      <c r="H1809" s="18"/>
      <c r="J1809" s="18"/>
      <c r="N1809" s="16"/>
      <c r="O1809" s="17"/>
      <c r="P1809" s="17"/>
      <c r="Q1809" s="22"/>
      <c r="R1809" s="23"/>
    </row>
    <row r="1810" spans="1:18" ht="12.75">
      <c r="A1810" s="22"/>
      <c r="D1810" s="19"/>
      <c r="H1810" s="18"/>
      <c r="J1810" s="18"/>
      <c r="N1810" s="16"/>
      <c r="O1810" s="17"/>
      <c r="P1810" s="17"/>
      <c r="Q1810" s="22"/>
      <c r="R1810" s="23"/>
    </row>
    <row r="1811" spans="1:18" ht="12.75">
      <c r="A1811" s="22"/>
      <c r="D1811" s="19"/>
      <c r="H1811" s="18"/>
      <c r="J1811" s="18"/>
      <c r="N1811" s="16"/>
      <c r="O1811" s="17"/>
      <c r="P1811" s="17"/>
      <c r="Q1811" s="22"/>
      <c r="R1811" s="23"/>
    </row>
    <row r="1812" spans="1:18" ht="12.75">
      <c r="A1812" s="22"/>
      <c r="D1812" s="19"/>
      <c r="H1812" s="18"/>
      <c r="J1812" s="18"/>
      <c r="N1812" s="16"/>
      <c r="O1812" s="17"/>
      <c r="P1812" s="17"/>
      <c r="Q1812" s="22"/>
      <c r="R1812" s="23"/>
    </row>
    <row r="1813" spans="1:18" ht="12.75">
      <c r="A1813" s="22"/>
      <c r="D1813" s="19"/>
      <c r="H1813" s="18"/>
      <c r="J1813" s="18"/>
      <c r="N1813" s="16"/>
      <c r="O1813" s="17"/>
      <c r="P1813" s="17"/>
      <c r="Q1813" s="22"/>
      <c r="R1813" s="23"/>
    </row>
    <row r="1814" spans="1:18" ht="12.75">
      <c r="A1814" s="22"/>
      <c r="D1814" s="19"/>
      <c r="H1814" s="18"/>
      <c r="J1814" s="18"/>
      <c r="N1814" s="16"/>
      <c r="O1814" s="17"/>
      <c r="P1814" s="17"/>
      <c r="Q1814" s="22"/>
      <c r="R1814" s="23"/>
    </row>
    <row r="1815" spans="1:18" ht="12.75">
      <c r="A1815" s="22"/>
      <c r="D1815" s="19"/>
      <c r="H1815" s="18"/>
      <c r="J1815" s="18"/>
      <c r="N1815" s="16"/>
      <c r="O1815" s="17"/>
      <c r="P1815" s="17"/>
      <c r="Q1815" s="22"/>
      <c r="R1815" s="23"/>
    </row>
    <row r="1816" spans="1:18" ht="12.75">
      <c r="A1816" s="22"/>
      <c r="D1816" s="19"/>
      <c r="H1816" s="18"/>
      <c r="J1816" s="18"/>
      <c r="N1816" s="16"/>
      <c r="O1816" s="17"/>
      <c r="P1816" s="17"/>
      <c r="Q1816" s="22"/>
      <c r="R1816" s="23"/>
    </row>
    <row r="1817" spans="1:18" ht="12.75">
      <c r="A1817" s="22"/>
      <c r="D1817" s="19"/>
      <c r="H1817" s="18"/>
      <c r="J1817" s="18"/>
      <c r="N1817" s="16"/>
      <c r="O1817" s="17"/>
      <c r="P1817" s="17"/>
      <c r="Q1817" s="22"/>
      <c r="R1817" s="23"/>
    </row>
    <row r="1818" spans="1:18" ht="12.75">
      <c r="A1818" s="22"/>
      <c r="D1818" s="19"/>
      <c r="H1818" s="18"/>
      <c r="J1818" s="18"/>
      <c r="N1818" s="16"/>
      <c r="O1818" s="17"/>
      <c r="P1818" s="17"/>
      <c r="Q1818" s="22"/>
      <c r="R1818" s="23"/>
    </row>
    <row r="1819" spans="1:18" ht="12.75">
      <c r="A1819" s="22"/>
      <c r="D1819" s="19"/>
      <c r="H1819" s="18"/>
      <c r="J1819" s="18"/>
      <c r="N1819" s="16"/>
      <c r="O1819" s="17"/>
      <c r="P1819" s="17"/>
      <c r="Q1819" s="22"/>
      <c r="R1819" s="23"/>
    </row>
    <row r="1820" spans="1:18" ht="12.75">
      <c r="A1820" s="22"/>
      <c r="D1820" s="19"/>
      <c r="H1820" s="18"/>
      <c r="J1820" s="18"/>
      <c r="N1820" s="16"/>
      <c r="O1820" s="17"/>
      <c r="P1820" s="17"/>
      <c r="Q1820" s="22"/>
      <c r="R1820" s="23"/>
    </row>
    <row r="1821" spans="1:18" ht="12.75">
      <c r="A1821" s="22"/>
      <c r="D1821" s="19"/>
      <c r="H1821" s="18"/>
      <c r="J1821" s="18"/>
      <c r="N1821" s="16"/>
      <c r="O1821" s="17"/>
      <c r="P1821" s="17"/>
      <c r="Q1821" s="22"/>
      <c r="R1821" s="23"/>
    </row>
    <row r="1822" spans="1:18" ht="12.75">
      <c r="A1822" s="22"/>
      <c r="D1822" s="19"/>
      <c r="H1822" s="18"/>
      <c r="J1822" s="18"/>
      <c r="N1822" s="16"/>
      <c r="O1822" s="17"/>
      <c r="P1822" s="17"/>
      <c r="Q1822" s="22"/>
      <c r="R1822" s="23"/>
    </row>
    <row r="1823" spans="1:18" ht="12.75">
      <c r="A1823" s="22"/>
      <c r="D1823" s="19"/>
      <c r="H1823" s="18"/>
      <c r="J1823" s="18"/>
      <c r="N1823" s="16"/>
      <c r="O1823" s="17"/>
      <c r="P1823" s="17"/>
      <c r="Q1823" s="22"/>
      <c r="R1823" s="23"/>
    </row>
    <row r="1824" spans="1:18" ht="12.75">
      <c r="A1824" s="22"/>
      <c r="D1824" s="19"/>
      <c r="H1824" s="18"/>
      <c r="J1824" s="18"/>
      <c r="N1824" s="16"/>
      <c r="O1824" s="17"/>
      <c r="P1824" s="17"/>
      <c r="Q1824" s="22"/>
      <c r="R1824" s="23"/>
    </row>
    <row r="1825" spans="1:18" ht="12.75">
      <c r="A1825" s="22"/>
      <c r="D1825" s="19"/>
      <c r="H1825" s="18"/>
      <c r="J1825" s="18"/>
      <c r="N1825" s="16"/>
      <c r="O1825" s="17"/>
      <c r="P1825" s="17"/>
      <c r="Q1825" s="22"/>
      <c r="R1825" s="23"/>
    </row>
    <row r="1826" spans="1:18" ht="12.75">
      <c r="A1826" s="22"/>
      <c r="D1826" s="19"/>
      <c r="H1826" s="18"/>
      <c r="J1826" s="18"/>
      <c r="N1826" s="16"/>
      <c r="O1826" s="17"/>
      <c r="P1826" s="17"/>
      <c r="Q1826" s="22"/>
      <c r="R1826" s="23"/>
    </row>
    <row r="1827" spans="1:18" ht="12.75">
      <c r="A1827" s="22"/>
      <c r="D1827" s="19"/>
      <c r="H1827" s="18"/>
      <c r="J1827" s="18"/>
      <c r="N1827" s="16"/>
      <c r="O1827" s="17"/>
      <c r="P1827" s="17"/>
      <c r="Q1827" s="22"/>
      <c r="R1827" s="23"/>
    </row>
    <row r="1828" spans="1:18" ht="12.75">
      <c r="A1828" s="22"/>
      <c r="D1828" s="19"/>
      <c r="H1828" s="18"/>
      <c r="J1828" s="18"/>
      <c r="N1828" s="16"/>
      <c r="O1828" s="17"/>
      <c r="P1828" s="17"/>
      <c r="Q1828" s="22"/>
      <c r="R1828" s="23"/>
    </row>
    <row r="1829" spans="1:18" ht="12.75">
      <c r="A1829" s="22"/>
      <c r="D1829" s="19"/>
      <c r="H1829" s="18"/>
      <c r="J1829" s="18"/>
      <c r="N1829" s="16"/>
      <c r="O1829" s="17"/>
      <c r="P1829" s="17"/>
      <c r="Q1829" s="22"/>
      <c r="R1829" s="23"/>
    </row>
    <row r="1830" spans="1:18" ht="12.75">
      <c r="A1830" s="22"/>
      <c r="D1830" s="19"/>
      <c r="H1830" s="18"/>
      <c r="J1830" s="18"/>
      <c r="N1830" s="16"/>
      <c r="O1830" s="17"/>
      <c r="P1830" s="17"/>
      <c r="Q1830" s="22"/>
      <c r="R1830" s="23"/>
    </row>
    <row r="1831" spans="1:18" ht="12.75">
      <c r="A1831" s="22"/>
      <c r="D1831" s="19"/>
      <c r="H1831" s="18"/>
      <c r="J1831" s="18"/>
      <c r="N1831" s="16"/>
      <c r="O1831" s="17"/>
      <c r="P1831" s="17"/>
      <c r="Q1831" s="22"/>
      <c r="R1831" s="23"/>
    </row>
    <row r="1832" spans="1:18" ht="12.75">
      <c r="A1832" s="22"/>
      <c r="D1832" s="19"/>
      <c r="H1832" s="18"/>
      <c r="J1832" s="18"/>
      <c r="N1832" s="16"/>
      <c r="O1832" s="17"/>
      <c r="P1832" s="17"/>
      <c r="Q1832" s="22"/>
      <c r="R1832" s="23"/>
    </row>
    <row r="1833" spans="1:18" ht="12.75">
      <c r="A1833" s="22"/>
      <c r="D1833" s="19"/>
      <c r="H1833" s="18"/>
      <c r="J1833" s="18"/>
      <c r="N1833" s="16"/>
      <c r="O1833" s="17"/>
      <c r="P1833" s="17"/>
      <c r="Q1833" s="22"/>
      <c r="R1833" s="23"/>
    </row>
    <row r="1834" spans="1:18" ht="12.75">
      <c r="A1834" s="22"/>
      <c r="D1834" s="19"/>
      <c r="H1834" s="18"/>
      <c r="J1834" s="18"/>
      <c r="N1834" s="16"/>
      <c r="O1834" s="17"/>
      <c r="P1834" s="17"/>
      <c r="Q1834" s="22"/>
      <c r="R1834" s="23"/>
    </row>
    <row r="1835" spans="1:18" ht="12.75">
      <c r="A1835" s="22"/>
      <c r="D1835" s="19"/>
      <c r="H1835" s="18"/>
      <c r="J1835" s="18"/>
      <c r="N1835" s="16"/>
      <c r="O1835" s="17"/>
      <c r="P1835" s="17"/>
      <c r="Q1835" s="22"/>
      <c r="R1835" s="23"/>
    </row>
    <row r="1836" spans="1:18" ht="12.75">
      <c r="A1836" s="22"/>
      <c r="D1836" s="19"/>
      <c r="H1836" s="18"/>
      <c r="J1836" s="18"/>
      <c r="N1836" s="16"/>
      <c r="O1836" s="17"/>
      <c r="P1836" s="17"/>
      <c r="Q1836" s="22"/>
      <c r="R1836" s="23"/>
    </row>
    <row r="1837" spans="1:18" ht="12.75">
      <c r="A1837" s="22"/>
      <c r="D1837" s="19"/>
      <c r="H1837" s="18"/>
      <c r="J1837" s="18"/>
      <c r="N1837" s="16"/>
      <c r="O1837" s="17"/>
      <c r="P1837" s="17"/>
      <c r="Q1837" s="22"/>
      <c r="R1837" s="23"/>
    </row>
    <row r="1838" spans="1:18" ht="12.75">
      <c r="A1838" s="22"/>
      <c r="D1838" s="19"/>
      <c r="H1838" s="18"/>
      <c r="J1838" s="18"/>
      <c r="N1838" s="16"/>
      <c r="O1838" s="17"/>
      <c r="P1838" s="17"/>
      <c r="Q1838" s="22"/>
      <c r="R1838" s="23"/>
    </row>
    <row r="1839" spans="1:18" ht="12.75">
      <c r="A1839" s="22"/>
      <c r="D1839" s="19"/>
      <c r="H1839" s="18"/>
      <c r="J1839" s="18"/>
      <c r="N1839" s="16"/>
      <c r="O1839" s="17"/>
      <c r="P1839" s="17"/>
      <c r="Q1839" s="22"/>
      <c r="R1839" s="23"/>
    </row>
    <row r="1840" spans="1:18" ht="12.75">
      <c r="A1840" s="22"/>
      <c r="D1840" s="19"/>
      <c r="H1840" s="18"/>
      <c r="J1840" s="18"/>
      <c r="N1840" s="16"/>
      <c r="O1840" s="17"/>
      <c r="P1840" s="17"/>
      <c r="Q1840" s="22"/>
      <c r="R1840" s="23"/>
    </row>
    <row r="1841" spans="1:18" ht="12.75">
      <c r="A1841" s="22"/>
      <c r="D1841" s="19"/>
      <c r="H1841" s="18"/>
      <c r="J1841" s="18"/>
      <c r="N1841" s="16"/>
      <c r="O1841" s="17"/>
      <c r="P1841" s="17"/>
      <c r="Q1841" s="22"/>
      <c r="R1841" s="23"/>
    </row>
    <row r="1842" spans="1:18" ht="12.75">
      <c r="A1842" s="22"/>
      <c r="D1842" s="19"/>
      <c r="H1842" s="18"/>
      <c r="J1842" s="18"/>
      <c r="N1842" s="16"/>
      <c r="O1842" s="17"/>
      <c r="P1842" s="17"/>
      <c r="Q1842" s="22"/>
      <c r="R1842" s="23"/>
    </row>
    <row r="1843" spans="1:18" ht="12.75">
      <c r="A1843" s="22"/>
      <c r="D1843" s="19"/>
      <c r="H1843" s="18"/>
      <c r="J1843" s="18"/>
      <c r="N1843" s="16"/>
      <c r="O1843" s="17"/>
      <c r="P1843" s="17"/>
      <c r="Q1843" s="22"/>
      <c r="R1843" s="23"/>
    </row>
    <row r="1844" spans="1:18" ht="12.75">
      <c r="A1844" s="22"/>
      <c r="D1844" s="19"/>
      <c r="H1844" s="18"/>
      <c r="J1844" s="18"/>
      <c r="N1844" s="16"/>
      <c r="O1844" s="17"/>
      <c r="P1844" s="17"/>
      <c r="Q1844" s="22"/>
      <c r="R1844" s="23"/>
    </row>
    <row r="1845" spans="1:18" ht="12.75">
      <c r="A1845" s="22"/>
      <c r="D1845" s="19"/>
      <c r="H1845" s="18"/>
      <c r="J1845" s="18"/>
      <c r="N1845" s="16"/>
      <c r="O1845" s="17"/>
      <c r="P1845" s="17"/>
      <c r="Q1845" s="22"/>
      <c r="R1845" s="23"/>
    </row>
    <row r="1846" spans="1:18" ht="12.75">
      <c r="A1846" s="22"/>
      <c r="D1846" s="19"/>
      <c r="H1846" s="18"/>
      <c r="J1846" s="18"/>
      <c r="N1846" s="16"/>
      <c r="O1846" s="17"/>
      <c r="P1846" s="17"/>
      <c r="Q1846" s="22"/>
      <c r="R1846" s="23"/>
    </row>
    <row r="1847" spans="1:18" ht="12.75">
      <c r="A1847" s="22"/>
      <c r="D1847" s="19"/>
      <c r="H1847" s="18"/>
      <c r="J1847" s="18"/>
      <c r="N1847" s="16"/>
      <c r="O1847" s="17"/>
      <c r="P1847" s="17"/>
      <c r="Q1847" s="22"/>
      <c r="R1847" s="23"/>
    </row>
    <row r="1848" spans="1:18" ht="12.75">
      <c r="A1848" s="22"/>
      <c r="D1848" s="19"/>
      <c r="H1848" s="18"/>
      <c r="J1848" s="18"/>
      <c r="N1848" s="16"/>
      <c r="O1848" s="17"/>
      <c r="P1848" s="17"/>
      <c r="Q1848" s="22"/>
      <c r="R1848" s="23"/>
    </row>
    <row r="1849" spans="1:18" ht="12.75">
      <c r="A1849" s="22"/>
      <c r="D1849" s="19"/>
      <c r="H1849" s="18"/>
      <c r="J1849" s="18"/>
      <c r="N1849" s="16"/>
      <c r="O1849" s="17"/>
      <c r="P1849" s="17"/>
      <c r="Q1849" s="22"/>
      <c r="R1849" s="23"/>
    </row>
    <row r="1850" spans="1:18" ht="12.75">
      <c r="A1850" s="22"/>
      <c r="D1850" s="19"/>
      <c r="H1850" s="18"/>
      <c r="J1850" s="18"/>
      <c r="N1850" s="16"/>
      <c r="O1850" s="17"/>
      <c r="P1850" s="17"/>
      <c r="Q1850" s="22"/>
      <c r="R1850" s="23"/>
    </row>
    <row r="1851" spans="1:18" ht="12.75">
      <c r="A1851" s="22"/>
      <c r="D1851" s="19"/>
      <c r="H1851" s="18"/>
      <c r="J1851" s="18"/>
      <c r="N1851" s="16"/>
      <c r="O1851" s="17"/>
      <c r="P1851" s="17"/>
      <c r="Q1851" s="22"/>
      <c r="R1851" s="23"/>
    </row>
    <row r="1852" spans="1:18" ht="12.75">
      <c r="A1852" s="22"/>
      <c r="D1852" s="19"/>
      <c r="H1852" s="18"/>
      <c r="J1852" s="18"/>
      <c r="N1852" s="16"/>
      <c r="O1852" s="17"/>
      <c r="P1852" s="17"/>
      <c r="Q1852" s="22"/>
      <c r="R1852" s="23"/>
    </row>
    <row r="1853" spans="1:18" ht="12.75">
      <c r="A1853" s="22"/>
      <c r="D1853" s="19"/>
      <c r="H1853" s="18"/>
      <c r="J1853" s="18"/>
      <c r="N1853" s="16"/>
      <c r="O1853" s="17"/>
      <c r="P1853" s="17"/>
      <c r="Q1853" s="22"/>
      <c r="R1853" s="23"/>
    </row>
    <row r="1854" spans="1:18" ht="12.75">
      <c r="A1854" s="22"/>
      <c r="D1854" s="19"/>
      <c r="H1854" s="18"/>
      <c r="J1854" s="18"/>
      <c r="N1854" s="16"/>
      <c r="O1854" s="17"/>
      <c r="P1854" s="17"/>
      <c r="Q1854" s="22"/>
      <c r="R1854" s="23"/>
    </row>
    <row r="1855" spans="1:18" ht="12.75">
      <c r="A1855" s="22"/>
      <c r="D1855" s="19"/>
      <c r="H1855" s="18"/>
      <c r="J1855" s="18"/>
      <c r="N1855" s="16"/>
      <c r="O1855" s="17"/>
      <c r="P1855" s="17"/>
      <c r="Q1855" s="22"/>
      <c r="R1855" s="23"/>
    </row>
    <row r="1856" spans="1:18" ht="12.75">
      <c r="A1856" s="22"/>
      <c r="D1856" s="19"/>
      <c r="H1856" s="18"/>
      <c r="J1856" s="18"/>
      <c r="N1856" s="16"/>
      <c r="O1856" s="17"/>
      <c r="P1856" s="17"/>
      <c r="Q1856" s="22"/>
      <c r="R1856" s="23"/>
    </row>
    <row r="1857" spans="1:18" ht="12.75">
      <c r="A1857" s="22"/>
      <c r="D1857" s="19"/>
      <c r="H1857" s="18"/>
      <c r="J1857" s="18"/>
      <c r="N1857" s="16"/>
      <c r="O1857" s="17"/>
      <c r="P1857" s="17"/>
      <c r="Q1857" s="22"/>
      <c r="R1857" s="23"/>
    </row>
    <row r="1858" spans="1:18" ht="12.75">
      <c r="A1858" s="22"/>
      <c r="D1858" s="19"/>
      <c r="H1858" s="18"/>
      <c r="J1858" s="18"/>
      <c r="N1858" s="16"/>
      <c r="O1858" s="17"/>
      <c r="P1858" s="17"/>
      <c r="Q1858" s="22"/>
      <c r="R1858" s="23"/>
    </row>
    <row r="1859" spans="1:18" ht="12.75">
      <c r="A1859" s="22"/>
      <c r="D1859" s="19"/>
      <c r="H1859" s="18"/>
      <c r="J1859" s="18"/>
      <c r="N1859" s="16"/>
      <c r="O1859" s="17"/>
      <c r="P1859" s="17"/>
      <c r="Q1859" s="22"/>
      <c r="R1859" s="23"/>
    </row>
    <row r="1860" spans="1:18" ht="12.75">
      <c r="A1860" s="22"/>
      <c r="D1860" s="19"/>
      <c r="H1860" s="18"/>
      <c r="J1860" s="18"/>
      <c r="N1860" s="16"/>
      <c r="O1860" s="17"/>
      <c r="P1860" s="17"/>
      <c r="Q1860" s="22"/>
      <c r="R1860" s="23"/>
    </row>
    <row r="1861" spans="1:18" ht="12.75">
      <c r="A1861" s="22"/>
      <c r="D1861" s="19"/>
      <c r="H1861" s="18"/>
      <c r="J1861" s="18"/>
      <c r="N1861" s="16"/>
      <c r="O1861" s="17"/>
      <c r="P1861" s="17"/>
      <c r="Q1861" s="22"/>
      <c r="R1861" s="23"/>
    </row>
    <row r="1862" spans="1:18" ht="12.75">
      <c r="A1862" s="22"/>
      <c r="D1862" s="19"/>
      <c r="H1862" s="18"/>
      <c r="J1862" s="18"/>
      <c r="N1862" s="16"/>
      <c r="O1862" s="17"/>
      <c r="P1862" s="17"/>
      <c r="Q1862" s="22"/>
      <c r="R1862" s="23"/>
    </row>
    <row r="1863" spans="1:18" ht="12.75">
      <c r="A1863" s="22"/>
      <c r="D1863" s="19"/>
      <c r="H1863" s="18"/>
      <c r="J1863" s="18"/>
      <c r="N1863" s="16"/>
      <c r="O1863" s="17"/>
      <c r="P1863" s="17"/>
      <c r="Q1863" s="22"/>
      <c r="R1863" s="23"/>
    </row>
    <row r="1864" spans="1:18" ht="12.75">
      <c r="A1864" s="22"/>
      <c r="D1864" s="19"/>
      <c r="H1864" s="18"/>
      <c r="J1864" s="18"/>
      <c r="N1864" s="16"/>
      <c r="O1864" s="17"/>
      <c r="P1864" s="17"/>
      <c r="Q1864" s="22"/>
      <c r="R1864" s="23"/>
    </row>
    <row r="1865" spans="1:18" ht="12.75">
      <c r="A1865" s="22"/>
      <c r="D1865" s="19"/>
      <c r="H1865" s="18"/>
      <c r="J1865" s="18"/>
      <c r="N1865" s="16"/>
      <c r="O1865" s="17"/>
      <c r="P1865" s="17"/>
      <c r="Q1865" s="22"/>
      <c r="R1865" s="23"/>
    </row>
    <row r="1866" spans="1:18" ht="12.75">
      <c r="A1866" s="22"/>
      <c r="D1866" s="19"/>
      <c r="H1866" s="18"/>
      <c r="J1866" s="18"/>
      <c r="N1866" s="16"/>
      <c r="O1866" s="17"/>
      <c r="P1866" s="17"/>
      <c r="Q1866" s="22"/>
      <c r="R1866" s="23"/>
    </row>
    <row r="1867" spans="1:18" ht="12.75">
      <c r="A1867" s="22"/>
      <c r="D1867" s="19"/>
      <c r="H1867" s="18"/>
      <c r="J1867" s="18"/>
      <c r="N1867" s="16"/>
      <c r="O1867" s="17"/>
      <c r="P1867" s="17"/>
      <c r="Q1867" s="22"/>
      <c r="R1867" s="23"/>
    </row>
    <row r="1868" spans="1:18" ht="12.75">
      <c r="A1868" s="22"/>
      <c r="D1868" s="19"/>
      <c r="H1868" s="18"/>
      <c r="J1868" s="18"/>
      <c r="N1868" s="16"/>
      <c r="O1868" s="17"/>
      <c r="P1868" s="17"/>
      <c r="Q1868" s="22"/>
      <c r="R1868" s="23"/>
    </row>
    <row r="1869" spans="1:18" ht="12.75">
      <c r="A1869" s="22"/>
      <c r="D1869" s="19"/>
      <c r="H1869" s="18"/>
      <c r="J1869" s="18"/>
      <c r="N1869" s="16"/>
      <c r="O1869" s="17"/>
      <c r="P1869" s="17"/>
      <c r="Q1869" s="22"/>
      <c r="R1869" s="23"/>
    </row>
    <row r="1870" spans="1:18" ht="12.75">
      <c r="A1870" s="22"/>
      <c r="D1870" s="19"/>
      <c r="H1870" s="18"/>
      <c r="J1870" s="18"/>
      <c r="N1870" s="16"/>
      <c r="O1870" s="17"/>
      <c r="P1870" s="17"/>
      <c r="Q1870" s="22"/>
      <c r="R1870" s="23"/>
    </row>
    <row r="1871" spans="1:18" ht="12.75">
      <c r="A1871" s="22"/>
      <c r="D1871" s="19"/>
      <c r="H1871" s="18"/>
      <c r="J1871" s="18"/>
      <c r="N1871" s="16"/>
      <c r="O1871" s="17"/>
      <c r="P1871" s="17"/>
      <c r="Q1871" s="22"/>
      <c r="R1871" s="23"/>
    </row>
    <row r="1872" spans="1:18" ht="12.75">
      <c r="A1872" s="22"/>
      <c r="D1872" s="19"/>
      <c r="H1872" s="18"/>
      <c r="J1872" s="18"/>
      <c r="N1872" s="16"/>
      <c r="O1872" s="17"/>
      <c r="P1872" s="17"/>
      <c r="Q1872" s="22"/>
      <c r="R1872" s="23"/>
    </row>
    <row r="1873" spans="1:18" ht="12.75">
      <c r="A1873" s="22"/>
      <c r="D1873" s="19"/>
      <c r="H1873" s="18"/>
      <c r="J1873" s="18"/>
      <c r="N1873" s="16"/>
      <c r="O1873" s="17"/>
      <c r="P1873" s="17"/>
      <c r="Q1873" s="22"/>
      <c r="R1873" s="23"/>
    </row>
    <row r="1874" spans="1:18" ht="12.75">
      <c r="A1874" s="22"/>
      <c r="D1874" s="19"/>
      <c r="H1874" s="18"/>
      <c r="J1874" s="18"/>
      <c r="N1874" s="16"/>
      <c r="O1874" s="17"/>
      <c r="P1874" s="17"/>
      <c r="Q1874" s="22"/>
      <c r="R1874" s="23"/>
    </row>
    <row r="1875" spans="1:18" ht="12.75">
      <c r="A1875" s="22"/>
      <c r="D1875" s="19"/>
      <c r="H1875" s="18"/>
      <c r="J1875" s="18"/>
      <c r="N1875" s="16"/>
      <c r="O1875" s="17"/>
      <c r="P1875" s="17"/>
      <c r="Q1875" s="22"/>
      <c r="R1875" s="23"/>
    </row>
    <row r="1876" spans="1:18" ht="12.75">
      <c r="A1876" s="22"/>
      <c r="D1876" s="19"/>
      <c r="H1876" s="18"/>
      <c r="J1876" s="18"/>
      <c r="N1876" s="16"/>
      <c r="O1876" s="17"/>
      <c r="P1876" s="17"/>
      <c r="Q1876" s="22"/>
      <c r="R1876" s="23"/>
    </row>
    <row r="1877" spans="1:18" ht="12.75">
      <c r="A1877" s="22"/>
      <c r="D1877" s="19"/>
      <c r="H1877" s="18"/>
      <c r="J1877" s="18"/>
      <c r="N1877" s="16"/>
      <c r="O1877" s="17"/>
      <c r="P1877" s="17"/>
      <c r="Q1877" s="22"/>
      <c r="R1877" s="23"/>
    </row>
    <row r="1878" spans="1:18" ht="12.75">
      <c r="A1878" s="22"/>
      <c r="D1878" s="19"/>
      <c r="H1878" s="18"/>
      <c r="J1878" s="18"/>
      <c r="N1878" s="16"/>
      <c r="O1878" s="17"/>
      <c r="P1878" s="17"/>
      <c r="Q1878" s="22"/>
      <c r="R1878" s="23"/>
    </row>
    <row r="1879" spans="1:18" ht="12.75">
      <c r="A1879" s="22"/>
      <c r="D1879" s="19"/>
      <c r="H1879" s="18"/>
      <c r="J1879" s="18"/>
      <c r="N1879" s="16"/>
      <c r="O1879" s="17"/>
      <c r="P1879" s="17"/>
      <c r="Q1879" s="22"/>
      <c r="R1879" s="23"/>
    </row>
    <row r="1880" spans="1:18" ht="12.75">
      <c r="A1880" s="22"/>
      <c r="D1880" s="19"/>
      <c r="H1880" s="18"/>
      <c r="J1880" s="18"/>
      <c r="N1880" s="16"/>
      <c r="O1880" s="17"/>
      <c r="P1880" s="17"/>
      <c r="Q1880" s="22"/>
      <c r="R1880" s="23"/>
    </row>
    <row r="1881" spans="1:18" ht="12.75">
      <c r="A1881" s="22"/>
      <c r="D1881" s="19"/>
      <c r="H1881" s="18"/>
      <c r="J1881" s="18"/>
      <c r="N1881" s="16"/>
      <c r="O1881" s="17"/>
      <c r="P1881" s="17"/>
      <c r="Q1881" s="22"/>
      <c r="R1881" s="23"/>
    </row>
    <row r="1882" spans="1:18" ht="12.75">
      <c r="A1882" s="22"/>
      <c r="D1882" s="19"/>
      <c r="H1882" s="18"/>
      <c r="J1882" s="18"/>
      <c r="N1882" s="16"/>
      <c r="O1882" s="17"/>
      <c r="P1882" s="17"/>
      <c r="Q1882" s="22"/>
      <c r="R1882" s="23"/>
    </row>
    <row r="1883" spans="1:18" ht="12.75">
      <c r="A1883" s="22"/>
      <c r="D1883" s="19"/>
      <c r="H1883" s="18"/>
      <c r="J1883" s="18"/>
      <c r="N1883" s="16"/>
      <c r="O1883" s="17"/>
      <c r="P1883" s="17"/>
      <c r="Q1883" s="22"/>
      <c r="R1883" s="23"/>
    </row>
    <row r="1884" spans="1:18" ht="12.75">
      <c r="A1884" s="22"/>
      <c r="D1884" s="19"/>
      <c r="H1884" s="18"/>
      <c r="J1884" s="18"/>
      <c r="N1884" s="16"/>
      <c r="O1884" s="17"/>
      <c r="P1884" s="17"/>
      <c r="Q1884" s="22"/>
      <c r="R1884" s="23"/>
    </row>
    <row r="1885" spans="1:18" ht="12.75">
      <c r="A1885" s="22"/>
      <c r="D1885" s="19"/>
      <c r="H1885" s="18"/>
      <c r="J1885" s="18"/>
      <c r="N1885" s="16"/>
      <c r="O1885" s="17"/>
      <c r="P1885" s="17"/>
      <c r="Q1885" s="22"/>
      <c r="R1885" s="23"/>
    </row>
    <row r="1886" spans="1:18" ht="12.75">
      <c r="A1886" s="22"/>
      <c r="D1886" s="19"/>
      <c r="H1886" s="18"/>
      <c r="J1886" s="18"/>
      <c r="N1886" s="16"/>
      <c r="O1886" s="17"/>
      <c r="P1886" s="17"/>
      <c r="Q1886" s="22"/>
      <c r="R1886" s="23"/>
    </row>
    <row r="1887" spans="1:18" ht="12.75">
      <c r="A1887" s="22"/>
      <c r="D1887" s="19"/>
      <c r="H1887" s="18"/>
      <c r="J1887" s="18"/>
      <c r="N1887" s="16"/>
      <c r="O1887" s="17"/>
      <c r="P1887" s="17"/>
      <c r="Q1887" s="22"/>
      <c r="R1887" s="23"/>
    </row>
    <row r="1888" spans="1:18" ht="12.75">
      <c r="A1888" s="22"/>
      <c r="D1888" s="19"/>
      <c r="H1888" s="18"/>
      <c r="J1888" s="18"/>
      <c r="N1888" s="16"/>
      <c r="O1888" s="17"/>
      <c r="P1888" s="17"/>
      <c r="Q1888" s="22"/>
      <c r="R1888" s="23"/>
    </row>
    <row r="1889" spans="1:18" ht="12.75">
      <c r="A1889" s="22"/>
      <c r="D1889" s="19"/>
      <c r="H1889" s="18"/>
      <c r="J1889" s="18"/>
      <c r="N1889" s="16"/>
      <c r="O1889" s="17"/>
      <c r="P1889" s="17"/>
      <c r="Q1889" s="22"/>
      <c r="R1889" s="23"/>
    </row>
    <row r="1890" spans="1:18" ht="12.75">
      <c r="A1890" s="22"/>
      <c r="D1890" s="19"/>
      <c r="H1890" s="18"/>
      <c r="J1890" s="18"/>
      <c r="N1890" s="16"/>
      <c r="O1890" s="17"/>
      <c r="P1890" s="17"/>
      <c r="Q1890" s="22"/>
      <c r="R1890" s="23"/>
    </row>
    <row r="1891" spans="1:18" ht="12.75">
      <c r="A1891" s="22"/>
      <c r="D1891" s="19"/>
      <c r="H1891" s="18"/>
      <c r="J1891" s="18"/>
      <c r="N1891" s="16"/>
      <c r="O1891" s="17"/>
      <c r="P1891" s="17"/>
      <c r="Q1891" s="22"/>
      <c r="R1891" s="23"/>
    </row>
    <row r="1892" spans="1:18" ht="12.75">
      <c r="A1892" s="22"/>
      <c r="D1892" s="19"/>
      <c r="H1892" s="18"/>
      <c r="J1892" s="18"/>
      <c r="N1892" s="16"/>
      <c r="O1892" s="17"/>
      <c r="P1892" s="17"/>
      <c r="Q1892" s="22"/>
      <c r="R1892" s="23"/>
    </row>
    <row r="1893" spans="1:18" ht="12.75">
      <c r="A1893" s="22"/>
      <c r="D1893" s="19"/>
      <c r="H1893" s="18"/>
      <c r="J1893" s="18"/>
      <c r="N1893" s="16"/>
      <c r="O1893" s="17"/>
      <c r="P1893" s="17"/>
      <c r="Q1893" s="22"/>
      <c r="R1893" s="23"/>
    </row>
    <row r="1894" spans="1:18" ht="12.75">
      <c r="A1894" s="22"/>
      <c r="D1894" s="19"/>
      <c r="H1894" s="18"/>
      <c r="J1894" s="18"/>
      <c r="N1894" s="16"/>
      <c r="O1894" s="17"/>
      <c r="P1894" s="17"/>
      <c r="Q1894" s="22"/>
      <c r="R1894" s="23"/>
    </row>
    <row r="1895" spans="1:18" ht="12.75">
      <c r="A1895" s="22"/>
      <c r="D1895" s="19"/>
      <c r="H1895" s="18"/>
      <c r="J1895" s="18"/>
      <c r="N1895" s="16"/>
      <c r="O1895" s="17"/>
      <c r="P1895" s="17"/>
      <c r="Q1895" s="22"/>
      <c r="R1895" s="23"/>
    </row>
    <row r="1896" spans="1:18" ht="12.75">
      <c r="A1896" s="22"/>
      <c r="D1896" s="19"/>
      <c r="H1896" s="18"/>
      <c r="J1896" s="18"/>
      <c r="N1896" s="16"/>
      <c r="O1896" s="17"/>
      <c r="P1896" s="17"/>
      <c r="Q1896" s="22"/>
      <c r="R1896" s="23"/>
    </row>
    <row r="1897" spans="1:18" ht="12.75">
      <c r="A1897" s="22"/>
      <c r="D1897" s="19"/>
      <c r="H1897" s="18"/>
      <c r="J1897" s="18"/>
      <c r="N1897" s="16"/>
      <c r="O1897" s="17"/>
      <c r="P1897" s="17"/>
      <c r="Q1897" s="22"/>
      <c r="R1897" s="23"/>
    </row>
    <row r="1898" spans="1:18" ht="12.75">
      <c r="A1898" s="22"/>
      <c r="D1898" s="19"/>
      <c r="H1898" s="18"/>
      <c r="J1898" s="18"/>
      <c r="N1898" s="16"/>
      <c r="O1898" s="17"/>
      <c r="P1898" s="17"/>
      <c r="Q1898" s="22"/>
      <c r="R1898" s="23"/>
    </row>
    <row r="1899" spans="1:18" ht="12.75">
      <c r="A1899" s="22"/>
      <c r="D1899" s="19"/>
      <c r="H1899" s="18"/>
      <c r="J1899" s="18"/>
      <c r="N1899" s="16"/>
      <c r="O1899" s="17"/>
      <c r="P1899" s="17"/>
      <c r="Q1899" s="22"/>
      <c r="R1899" s="23"/>
    </row>
    <row r="1900" spans="1:18" ht="12.75">
      <c r="A1900" s="22"/>
      <c r="D1900" s="19"/>
      <c r="H1900" s="18"/>
      <c r="J1900" s="18"/>
      <c r="N1900" s="16"/>
      <c r="O1900" s="17"/>
      <c r="P1900" s="17"/>
      <c r="Q1900" s="22"/>
      <c r="R1900" s="23"/>
    </row>
    <row r="1901" spans="1:18" ht="12.75">
      <c r="A1901" s="22"/>
      <c r="D1901" s="19"/>
      <c r="H1901" s="18"/>
      <c r="J1901" s="18"/>
      <c r="N1901" s="16"/>
      <c r="O1901" s="17"/>
      <c r="P1901" s="17"/>
      <c r="Q1901" s="22"/>
      <c r="R1901" s="23"/>
    </row>
    <row r="1902" spans="1:18" ht="12.75">
      <c r="A1902" s="22"/>
      <c r="D1902" s="19"/>
      <c r="H1902" s="18"/>
      <c r="J1902" s="18"/>
      <c r="N1902" s="16"/>
      <c r="O1902" s="17"/>
      <c r="P1902" s="17"/>
      <c r="Q1902" s="22"/>
      <c r="R1902" s="23"/>
    </row>
    <row r="1903" spans="1:18" ht="12.75">
      <c r="A1903" s="22"/>
      <c r="D1903" s="19"/>
      <c r="H1903" s="18"/>
      <c r="J1903" s="18"/>
      <c r="N1903" s="16"/>
      <c r="O1903" s="17"/>
      <c r="P1903" s="17"/>
      <c r="Q1903" s="22"/>
      <c r="R1903" s="23"/>
    </row>
    <row r="1904" spans="1:18" ht="12.75">
      <c r="A1904" s="22"/>
      <c r="D1904" s="19"/>
      <c r="H1904" s="18"/>
      <c r="J1904" s="18"/>
      <c r="N1904" s="16"/>
      <c r="O1904" s="17"/>
      <c r="P1904" s="17"/>
      <c r="Q1904" s="22"/>
      <c r="R1904" s="23"/>
    </row>
    <row r="1905" spans="1:18" ht="12.75">
      <c r="A1905" s="22"/>
      <c r="D1905" s="19"/>
      <c r="H1905" s="18"/>
      <c r="J1905" s="18"/>
      <c r="N1905" s="16"/>
      <c r="O1905" s="17"/>
      <c r="P1905" s="17"/>
      <c r="Q1905" s="22"/>
      <c r="R1905" s="23"/>
    </row>
    <row r="1906" spans="1:18" ht="12.75">
      <c r="A1906" s="22"/>
      <c r="D1906" s="19"/>
      <c r="H1906" s="18"/>
      <c r="J1906" s="18"/>
      <c r="N1906" s="16"/>
      <c r="O1906" s="17"/>
      <c r="P1906" s="17"/>
      <c r="Q1906" s="22"/>
      <c r="R1906" s="23"/>
    </row>
    <row r="1907" spans="1:18" ht="12.75">
      <c r="A1907" s="22"/>
      <c r="D1907" s="19"/>
      <c r="H1907" s="18"/>
      <c r="J1907" s="18"/>
      <c r="N1907" s="16"/>
      <c r="O1907" s="17"/>
      <c r="P1907" s="17"/>
      <c r="Q1907" s="22"/>
      <c r="R1907" s="23"/>
    </row>
    <row r="1908" spans="1:18" ht="12.75">
      <c r="A1908" s="22"/>
      <c r="D1908" s="19"/>
      <c r="H1908" s="18"/>
      <c r="J1908" s="18"/>
      <c r="N1908" s="16"/>
      <c r="O1908" s="17"/>
      <c r="P1908" s="17"/>
      <c r="Q1908" s="22"/>
      <c r="R1908" s="23"/>
    </row>
    <row r="1909" spans="1:18" ht="12.75">
      <c r="A1909" s="22"/>
      <c r="D1909" s="19"/>
      <c r="H1909" s="18"/>
      <c r="J1909" s="18"/>
      <c r="N1909" s="16"/>
      <c r="O1909" s="17"/>
      <c r="P1909" s="17"/>
      <c r="Q1909" s="22"/>
      <c r="R1909" s="23"/>
    </row>
    <row r="1910" spans="1:18" ht="12.75">
      <c r="A1910" s="22"/>
      <c r="D1910" s="19"/>
      <c r="H1910" s="18"/>
      <c r="J1910" s="18"/>
      <c r="N1910" s="16"/>
      <c r="O1910" s="17"/>
      <c r="P1910" s="17"/>
      <c r="Q1910" s="22"/>
      <c r="R1910" s="23"/>
    </row>
    <row r="1911" spans="1:18" ht="12.75">
      <c r="A1911" s="22"/>
      <c r="D1911" s="19"/>
      <c r="H1911" s="18"/>
      <c r="J1911" s="18"/>
      <c r="N1911" s="16"/>
      <c r="O1911" s="17"/>
      <c r="P1911" s="17"/>
      <c r="Q1911" s="22"/>
      <c r="R1911" s="23"/>
    </row>
    <row r="1912" spans="1:18" ht="12.75">
      <c r="A1912" s="22"/>
      <c r="D1912" s="19"/>
      <c r="H1912" s="18"/>
      <c r="J1912" s="18"/>
      <c r="N1912" s="16"/>
      <c r="O1912" s="17"/>
      <c r="P1912" s="17"/>
      <c r="Q1912" s="22"/>
      <c r="R1912" s="23"/>
    </row>
    <row r="1913" spans="1:18" ht="12.75">
      <c r="A1913" s="22"/>
      <c r="D1913" s="19"/>
      <c r="H1913" s="18"/>
      <c r="J1913" s="18"/>
      <c r="N1913" s="16"/>
      <c r="O1913" s="17"/>
      <c r="P1913" s="17"/>
      <c r="Q1913" s="22"/>
      <c r="R1913" s="23"/>
    </row>
    <row r="1914" spans="1:18" ht="12.75">
      <c r="A1914" s="22"/>
      <c r="D1914" s="19"/>
      <c r="H1914" s="18"/>
      <c r="J1914" s="18"/>
      <c r="N1914" s="16"/>
      <c r="O1914" s="17"/>
      <c r="P1914" s="17"/>
      <c r="Q1914" s="22"/>
      <c r="R1914" s="23"/>
    </row>
    <row r="1915" spans="1:18" ht="12.75">
      <c r="A1915" s="22"/>
      <c r="D1915" s="19"/>
      <c r="H1915" s="18"/>
      <c r="J1915" s="18"/>
      <c r="N1915" s="16"/>
      <c r="O1915" s="17"/>
      <c r="P1915" s="17"/>
      <c r="Q1915" s="22"/>
      <c r="R1915" s="23"/>
    </row>
    <row r="1916" spans="1:18" ht="12.75">
      <c r="A1916" s="22"/>
      <c r="D1916" s="19"/>
      <c r="H1916" s="18"/>
      <c r="J1916" s="18"/>
      <c r="N1916" s="16"/>
      <c r="O1916" s="17"/>
      <c r="P1916" s="17"/>
      <c r="Q1916" s="22"/>
      <c r="R1916" s="23"/>
    </row>
    <row r="1917" spans="1:18" ht="12.75">
      <c r="A1917" s="22"/>
      <c r="D1917" s="19"/>
      <c r="H1917" s="18"/>
      <c r="J1917" s="18"/>
      <c r="N1917" s="16"/>
      <c r="O1917" s="17"/>
      <c r="P1917" s="17"/>
      <c r="Q1917" s="22"/>
      <c r="R1917" s="23"/>
    </row>
    <row r="1918" spans="1:18" ht="12.75">
      <c r="A1918" s="22"/>
      <c r="D1918" s="19"/>
      <c r="H1918" s="18"/>
      <c r="J1918" s="18"/>
      <c r="N1918" s="16"/>
      <c r="O1918" s="17"/>
      <c r="P1918" s="17"/>
      <c r="Q1918" s="22"/>
      <c r="R1918" s="23"/>
    </row>
    <row r="1919" spans="1:18" ht="12.75">
      <c r="A1919" s="22"/>
      <c r="D1919" s="19"/>
      <c r="H1919" s="18"/>
      <c r="J1919" s="18"/>
      <c r="N1919" s="16"/>
      <c r="O1919" s="17"/>
      <c r="P1919" s="17"/>
      <c r="Q1919" s="22"/>
      <c r="R1919" s="23"/>
    </row>
    <row r="1920" spans="1:18" ht="12.75">
      <c r="A1920" s="22"/>
      <c r="D1920" s="19"/>
      <c r="H1920" s="18"/>
      <c r="J1920" s="18"/>
      <c r="N1920" s="16"/>
      <c r="O1920" s="17"/>
      <c r="P1920" s="17"/>
      <c r="Q1920" s="22"/>
      <c r="R1920" s="23"/>
    </row>
    <row r="1921" spans="1:18" ht="12.75">
      <c r="A1921" s="22"/>
      <c r="D1921" s="19"/>
      <c r="H1921" s="18"/>
      <c r="J1921" s="18"/>
      <c r="N1921" s="16"/>
      <c r="O1921" s="17"/>
      <c r="P1921" s="17"/>
      <c r="Q1921" s="22"/>
      <c r="R1921" s="23"/>
    </row>
    <row r="1922" spans="1:18" ht="12.75">
      <c r="A1922" s="22"/>
      <c r="D1922" s="19"/>
      <c r="H1922" s="18"/>
      <c r="J1922" s="18"/>
      <c r="N1922" s="16"/>
      <c r="O1922" s="17"/>
      <c r="P1922" s="17"/>
      <c r="Q1922" s="22"/>
      <c r="R1922" s="23"/>
    </row>
    <row r="1923" spans="1:18" ht="12.75">
      <c r="A1923" s="22"/>
      <c r="D1923" s="19"/>
      <c r="H1923" s="18"/>
      <c r="J1923" s="18"/>
      <c r="N1923" s="16"/>
      <c r="O1923" s="17"/>
      <c r="P1923" s="17"/>
      <c r="Q1923" s="22"/>
      <c r="R1923" s="23"/>
    </row>
    <row r="1924" spans="1:18" ht="12.75">
      <c r="A1924" s="22"/>
      <c r="D1924" s="19"/>
      <c r="H1924" s="18"/>
      <c r="J1924" s="18"/>
      <c r="N1924" s="16"/>
      <c r="O1924" s="17"/>
      <c r="P1924" s="17"/>
      <c r="Q1924" s="22"/>
      <c r="R1924" s="23"/>
    </row>
    <row r="1925" spans="1:18" ht="12.75">
      <c r="A1925" s="22"/>
      <c r="D1925" s="19"/>
      <c r="H1925" s="18"/>
      <c r="J1925" s="18"/>
      <c r="N1925" s="16"/>
      <c r="O1925" s="17"/>
      <c r="P1925" s="17"/>
      <c r="Q1925" s="22"/>
      <c r="R1925" s="23"/>
    </row>
    <row r="1926" spans="1:18" ht="12.75">
      <c r="A1926" s="22"/>
      <c r="D1926" s="19"/>
      <c r="H1926" s="18"/>
      <c r="J1926" s="18"/>
      <c r="N1926" s="16"/>
      <c r="O1926" s="17"/>
      <c r="P1926" s="17"/>
      <c r="Q1926" s="22"/>
      <c r="R1926" s="23"/>
    </row>
    <row r="1927" spans="1:18" ht="12.75">
      <c r="A1927" s="22"/>
      <c r="D1927" s="19"/>
      <c r="H1927" s="18"/>
      <c r="J1927" s="18"/>
      <c r="N1927" s="16"/>
      <c r="O1927" s="17"/>
      <c r="P1927" s="17"/>
      <c r="Q1927" s="22"/>
      <c r="R1927" s="23"/>
    </row>
    <row r="1928" spans="1:18" ht="12.75">
      <c r="A1928" s="22"/>
      <c r="D1928" s="19"/>
      <c r="H1928" s="18"/>
      <c r="J1928" s="18"/>
      <c r="N1928" s="16"/>
      <c r="O1928" s="17"/>
      <c r="P1928" s="17"/>
      <c r="Q1928" s="22"/>
      <c r="R1928" s="23"/>
    </row>
    <row r="1929" spans="1:18" ht="12.75">
      <c r="A1929" s="22"/>
      <c r="D1929" s="19"/>
      <c r="H1929" s="18"/>
      <c r="J1929" s="18"/>
      <c r="N1929" s="16"/>
      <c r="O1929" s="17"/>
      <c r="P1929" s="17"/>
      <c r="Q1929" s="22"/>
      <c r="R1929" s="23"/>
    </row>
    <row r="1930" spans="1:18" ht="12.75">
      <c r="A1930" s="22"/>
      <c r="D1930" s="19"/>
      <c r="H1930" s="18"/>
      <c r="J1930" s="18"/>
      <c r="N1930" s="16"/>
      <c r="O1930" s="17"/>
      <c r="P1930" s="17"/>
      <c r="Q1930" s="22"/>
      <c r="R1930" s="23"/>
    </row>
    <row r="1931" spans="1:18" ht="12.75">
      <c r="A1931" s="22"/>
      <c r="D1931" s="19"/>
      <c r="H1931" s="18"/>
      <c r="J1931" s="18"/>
      <c r="N1931" s="16"/>
      <c r="O1931" s="17"/>
      <c r="P1931" s="17"/>
      <c r="Q1931" s="22"/>
      <c r="R1931" s="23"/>
    </row>
    <row r="1932" spans="1:18" ht="12.75">
      <c r="A1932" s="22"/>
      <c r="D1932" s="19"/>
      <c r="H1932" s="18"/>
      <c r="J1932" s="18"/>
      <c r="N1932" s="16"/>
      <c r="O1932" s="17"/>
      <c r="P1932" s="17"/>
      <c r="Q1932" s="22"/>
      <c r="R1932" s="23"/>
    </row>
    <row r="1933" spans="1:18" ht="12.75">
      <c r="A1933" s="22"/>
      <c r="D1933" s="19"/>
      <c r="H1933" s="18"/>
      <c r="J1933" s="18"/>
      <c r="N1933" s="16"/>
      <c r="O1933" s="17"/>
      <c r="P1933" s="17"/>
      <c r="Q1933" s="22"/>
      <c r="R1933" s="23"/>
    </row>
    <row r="1934" spans="1:18" ht="12.75">
      <c r="A1934" s="22"/>
      <c r="D1934" s="19"/>
      <c r="H1934" s="18"/>
      <c r="J1934" s="18"/>
      <c r="N1934" s="16"/>
      <c r="O1934" s="17"/>
      <c r="P1934" s="17"/>
      <c r="Q1934" s="22"/>
      <c r="R1934" s="23"/>
    </row>
    <row r="1935" spans="1:18" ht="12.75">
      <c r="A1935" s="22"/>
      <c r="D1935" s="19"/>
      <c r="H1935" s="18"/>
      <c r="J1935" s="18"/>
      <c r="N1935" s="16"/>
      <c r="O1935" s="17"/>
      <c r="P1935" s="17"/>
      <c r="Q1935" s="22"/>
      <c r="R1935" s="23"/>
    </row>
    <row r="1936" spans="1:18" ht="12.75">
      <c r="A1936" s="22"/>
      <c r="D1936" s="19"/>
      <c r="H1936" s="18"/>
      <c r="J1936" s="18"/>
      <c r="N1936" s="16"/>
      <c r="O1936" s="17"/>
      <c r="P1936" s="17"/>
      <c r="Q1936" s="22"/>
      <c r="R1936" s="23"/>
    </row>
    <row r="1937" spans="1:18" ht="12.75">
      <c r="A1937" s="22"/>
      <c r="D1937" s="19"/>
      <c r="H1937" s="18"/>
      <c r="J1937" s="18"/>
      <c r="N1937" s="16"/>
      <c r="O1937" s="17"/>
      <c r="P1937" s="17"/>
      <c r="Q1937" s="22"/>
      <c r="R1937" s="23"/>
    </row>
    <row r="1938" spans="1:18" ht="12.75">
      <c r="A1938" s="22"/>
      <c r="D1938" s="19"/>
      <c r="H1938" s="18"/>
      <c r="J1938" s="18"/>
      <c r="N1938" s="16"/>
      <c r="O1938" s="17"/>
      <c r="P1938" s="17"/>
      <c r="Q1938" s="22"/>
      <c r="R1938" s="23"/>
    </row>
    <row r="1939" spans="1:18" ht="12.75">
      <c r="A1939" s="22"/>
      <c r="D1939" s="19"/>
      <c r="H1939" s="18"/>
      <c r="J1939" s="18"/>
      <c r="N1939" s="16"/>
      <c r="O1939" s="17"/>
      <c r="P1939" s="17"/>
      <c r="Q1939" s="22"/>
      <c r="R1939" s="23"/>
    </row>
    <row r="1940" spans="1:18" ht="12.75">
      <c r="A1940" s="22"/>
      <c r="D1940" s="19"/>
      <c r="H1940" s="18"/>
      <c r="J1940" s="18"/>
      <c r="N1940" s="16"/>
      <c r="O1940" s="17"/>
      <c r="P1940" s="17"/>
      <c r="Q1940" s="22"/>
      <c r="R1940" s="23"/>
    </row>
    <row r="1941" spans="1:18" ht="12.75">
      <c r="A1941" s="22"/>
      <c r="D1941" s="19"/>
      <c r="H1941" s="18"/>
      <c r="J1941" s="18"/>
      <c r="N1941" s="16"/>
      <c r="O1941" s="17"/>
      <c r="P1941" s="17"/>
      <c r="Q1941" s="22"/>
      <c r="R1941" s="23"/>
    </row>
    <row r="1942" spans="1:18" ht="12.75">
      <c r="A1942" s="22"/>
      <c r="D1942" s="19"/>
      <c r="H1942" s="18"/>
      <c r="J1942" s="18"/>
      <c r="N1942" s="16"/>
      <c r="O1942" s="17"/>
      <c r="P1942" s="17"/>
      <c r="Q1942" s="22"/>
      <c r="R1942" s="23"/>
    </row>
    <row r="1943" spans="1:18" ht="12.75">
      <c r="A1943" s="22"/>
      <c r="D1943" s="19"/>
      <c r="H1943" s="18"/>
      <c r="J1943" s="18"/>
      <c r="N1943" s="16"/>
      <c r="O1943" s="17"/>
      <c r="P1943" s="17"/>
      <c r="Q1943" s="22"/>
      <c r="R1943" s="23"/>
    </row>
    <row r="1944" spans="1:18" ht="12.75">
      <c r="A1944" s="22"/>
      <c r="D1944" s="19"/>
      <c r="H1944" s="18"/>
      <c r="J1944" s="18"/>
      <c r="N1944" s="16"/>
      <c r="O1944" s="17"/>
      <c r="P1944" s="17"/>
      <c r="Q1944" s="22"/>
      <c r="R1944" s="23"/>
    </row>
    <row r="1945" spans="1:18" ht="12.75">
      <c r="A1945" s="22"/>
      <c r="D1945" s="19"/>
      <c r="H1945" s="18"/>
      <c r="J1945" s="18"/>
      <c r="N1945" s="16"/>
      <c r="O1945" s="17"/>
      <c r="P1945" s="17"/>
      <c r="Q1945" s="22"/>
      <c r="R1945" s="23"/>
    </row>
    <row r="1946" spans="1:18" ht="12.75">
      <c r="A1946" s="22"/>
      <c r="D1946" s="19"/>
      <c r="H1946" s="18"/>
      <c r="J1946" s="18"/>
      <c r="N1946" s="16"/>
      <c r="O1946" s="17"/>
      <c r="P1946" s="17"/>
      <c r="Q1946" s="22"/>
      <c r="R1946" s="23"/>
    </row>
    <row r="1947" spans="1:18" ht="12.75">
      <c r="A1947" s="22"/>
      <c r="D1947" s="19"/>
      <c r="H1947" s="18"/>
      <c r="J1947" s="18"/>
      <c r="N1947" s="16"/>
      <c r="O1947" s="17"/>
      <c r="P1947" s="17"/>
      <c r="Q1947" s="22"/>
      <c r="R1947" s="23"/>
    </row>
    <row r="1948" spans="1:18" ht="12.75">
      <c r="A1948" s="22"/>
      <c r="D1948" s="19"/>
      <c r="H1948" s="18"/>
      <c r="J1948" s="18"/>
      <c r="N1948" s="16"/>
      <c r="O1948" s="17"/>
      <c r="P1948" s="17"/>
      <c r="Q1948" s="22"/>
      <c r="R1948" s="23"/>
    </row>
    <row r="1949" spans="1:18" ht="12.75">
      <c r="A1949" s="22"/>
      <c r="D1949" s="19"/>
      <c r="H1949" s="18"/>
      <c r="J1949" s="18"/>
      <c r="N1949" s="16"/>
      <c r="O1949" s="17"/>
      <c r="P1949" s="17"/>
      <c r="Q1949" s="22"/>
      <c r="R1949" s="23"/>
    </row>
    <row r="1950" spans="1:18" ht="12.75">
      <c r="A1950" s="22"/>
      <c r="D1950" s="19"/>
      <c r="H1950" s="18"/>
      <c r="J1950" s="18"/>
      <c r="N1950" s="16"/>
      <c r="O1950" s="17"/>
      <c r="P1950" s="17"/>
      <c r="Q1950" s="22"/>
      <c r="R1950" s="23"/>
    </row>
    <row r="1951" spans="1:18" ht="12.75">
      <c r="A1951" s="22"/>
      <c r="D1951" s="19"/>
      <c r="H1951" s="18"/>
      <c r="J1951" s="18"/>
      <c r="N1951" s="16"/>
      <c r="O1951" s="17"/>
      <c r="P1951" s="17"/>
      <c r="Q1951" s="22"/>
      <c r="R1951" s="23"/>
    </row>
    <row r="1952" spans="1:18" ht="12.75">
      <c r="A1952" s="22"/>
      <c r="D1952" s="19"/>
      <c r="H1952" s="18"/>
      <c r="J1952" s="18"/>
      <c r="N1952" s="16"/>
      <c r="O1952" s="17"/>
      <c r="P1952" s="17"/>
      <c r="Q1952" s="22"/>
      <c r="R1952" s="23"/>
    </row>
    <row r="1953" spans="1:18" ht="12.75">
      <c r="A1953" s="22"/>
      <c r="D1953" s="19"/>
      <c r="H1953" s="18"/>
      <c r="J1953" s="18"/>
      <c r="N1953" s="16"/>
      <c r="O1953" s="17"/>
      <c r="P1953" s="17"/>
      <c r="Q1953" s="22"/>
      <c r="R1953" s="23"/>
    </row>
    <row r="1954" spans="1:18" ht="12.75">
      <c r="A1954" s="22"/>
      <c r="D1954" s="19"/>
      <c r="H1954" s="18"/>
      <c r="J1954" s="18"/>
      <c r="N1954" s="16"/>
      <c r="O1954" s="17"/>
      <c r="P1954" s="17"/>
      <c r="Q1954" s="22"/>
      <c r="R1954" s="23"/>
    </row>
    <row r="1955" spans="1:18" ht="12.75">
      <c r="A1955" s="22"/>
      <c r="D1955" s="19"/>
      <c r="H1955" s="18"/>
      <c r="J1955" s="18"/>
      <c r="N1955" s="16"/>
      <c r="O1955" s="17"/>
      <c r="P1955" s="17"/>
      <c r="Q1955" s="22"/>
      <c r="R1955" s="23"/>
    </row>
    <row r="1956" spans="1:18" ht="12.75">
      <c r="A1956" s="22"/>
      <c r="D1956" s="19"/>
      <c r="H1956" s="18"/>
      <c r="J1956" s="18"/>
      <c r="N1956" s="16"/>
      <c r="O1956" s="17"/>
      <c r="P1956" s="17"/>
      <c r="Q1956" s="22"/>
      <c r="R1956" s="23"/>
    </row>
    <row r="1957" spans="1:18" ht="12.75">
      <c r="A1957" s="22"/>
      <c r="D1957" s="19"/>
      <c r="H1957" s="18"/>
      <c r="J1957" s="18"/>
      <c r="N1957" s="16"/>
      <c r="O1957" s="17"/>
      <c r="P1957" s="17"/>
      <c r="Q1957" s="22"/>
      <c r="R1957" s="23"/>
    </row>
    <row r="1958" spans="1:18" ht="12.75">
      <c r="A1958" s="22"/>
      <c r="D1958" s="19"/>
      <c r="H1958" s="18"/>
      <c r="J1958" s="18"/>
      <c r="N1958" s="16"/>
      <c r="O1958" s="17"/>
      <c r="P1958" s="17"/>
      <c r="Q1958" s="22"/>
      <c r="R1958" s="23"/>
    </row>
    <row r="1959" spans="1:18" ht="12.75">
      <c r="A1959" s="22"/>
      <c r="D1959" s="19"/>
      <c r="H1959" s="18"/>
      <c r="J1959" s="18"/>
      <c r="N1959" s="16"/>
      <c r="O1959" s="17"/>
      <c r="P1959" s="17"/>
      <c r="Q1959" s="22"/>
      <c r="R1959" s="23"/>
    </row>
    <row r="1960" spans="1:18" ht="12.75">
      <c r="A1960" s="22"/>
      <c r="D1960" s="19"/>
      <c r="H1960" s="18"/>
      <c r="J1960" s="18"/>
      <c r="N1960" s="16"/>
      <c r="O1960" s="17"/>
      <c r="P1960" s="17"/>
      <c r="Q1960" s="22"/>
      <c r="R1960" s="23"/>
    </row>
    <row r="1961" spans="1:18" ht="12.75">
      <c r="A1961" s="22"/>
      <c r="D1961" s="19"/>
      <c r="H1961" s="18"/>
      <c r="J1961" s="18"/>
      <c r="N1961" s="16"/>
      <c r="O1961" s="17"/>
      <c r="P1961" s="17"/>
      <c r="Q1961" s="22"/>
      <c r="R1961" s="23"/>
    </row>
    <row r="1962" spans="1:18" ht="12.75">
      <c r="A1962" s="22"/>
      <c r="D1962" s="19"/>
      <c r="H1962" s="18"/>
      <c r="J1962" s="18"/>
      <c r="N1962" s="16"/>
      <c r="O1962" s="17"/>
      <c r="P1962" s="17"/>
      <c r="Q1962" s="22"/>
      <c r="R1962" s="23"/>
    </row>
    <row r="1963" spans="1:18" ht="12.75">
      <c r="A1963" s="22"/>
      <c r="D1963" s="19"/>
      <c r="H1963" s="18"/>
      <c r="J1963" s="18"/>
      <c r="N1963" s="16"/>
      <c r="O1963" s="17"/>
      <c r="P1963" s="17"/>
      <c r="Q1963" s="22"/>
      <c r="R1963" s="23"/>
    </row>
    <row r="1964" spans="1:18" ht="12.75">
      <c r="A1964" s="22"/>
      <c r="D1964" s="19"/>
      <c r="H1964" s="18"/>
      <c r="J1964" s="18"/>
      <c r="N1964" s="16"/>
      <c r="O1964" s="17"/>
      <c r="P1964" s="17"/>
      <c r="Q1964" s="22"/>
      <c r="R1964" s="23"/>
    </row>
    <row r="1965" spans="1:18" ht="12.75">
      <c r="A1965" s="22"/>
      <c r="D1965" s="19"/>
      <c r="H1965" s="18"/>
      <c r="J1965" s="18"/>
      <c r="N1965" s="16"/>
      <c r="O1965" s="17"/>
      <c r="P1965" s="17"/>
      <c r="Q1965" s="22"/>
      <c r="R1965" s="23"/>
    </row>
    <row r="1966" spans="1:18" ht="12.75">
      <c r="A1966" s="22"/>
      <c r="D1966" s="19"/>
      <c r="H1966" s="18"/>
      <c r="J1966" s="18"/>
      <c r="N1966" s="16"/>
      <c r="O1966" s="17"/>
      <c r="P1966" s="17"/>
      <c r="Q1966" s="22"/>
      <c r="R1966" s="23"/>
    </row>
    <row r="1967" spans="1:18" ht="12.75">
      <c r="A1967" s="22"/>
      <c r="D1967" s="19"/>
      <c r="H1967" s="18"/>
      <c r="J1967" s="18"/>
      <c r="N1967" s="16"/>
      <c r="O1967" s="17"/>
      <c r="P1967" s="17"/>
      <c r="Q1967" s="22"/>
      <c r="R1967" s="23"/>
    </row>
    <row r="1968" spans="1:18" ht="12.75">
      <c r="A1968" s="22"/>
      <c r="D1968" s="19"/>
      <c r="H1968" s="18"/>
      <c r="J1968" s="18"/>
      <c r="N1968" s="16"/>
      <c r="O1968" s="17"/>
      <c r="P1968" s="17"/>
      <c r="Q1968" s="22"/>
      <c r="R1968" s="23"/>
    </row>
    <row r="1969" spans="1:18" ht="12.75">
      <c r="A1969" s="22"/>
      <c r="D1969" s="19"/>
      <c r="H1969" s="18"/>
      <c r="J1969" s="18"/>
      <c r="N1969" s="16"/>
      <c r="O1969" s="17"/>
      <c r="P1969" s="17"/>
      <c r="Q1969" s="22"/>
      <c r="R1969" s="23"/>
    </row>
    <row r="1970" spans="1:18" ht="12.75">
      <c r="A1970" s="22"/>
      <c r="D1970" s="19"/>
      <c r="H1970" s="18"/>
      <c r="J1970" s="18"/>
      <c r="N1970" s="16"/>
      <c r="O1970" s="17"/>
      <c r="P1970" s="17"/>
      <c r="Q1970" s="22"/>
      <c r="R1970" s="23"/>
    </row>
    <row r="1971" spans="1:18" ht="12.75">
      <c r="A1971" s="22"/>
      <c r="D1971" s="19"/>
      <c r="H1971" s="18"/>
      <c r="J1971" s="18"/>
      <c r="N1971" s="16"/>
      <c r="O1971" s="17"/>
      <c r="P1971" s="17"/>
      <c r="Q1971" s="22"/>
      <c r="R1971" s="23"/>
    </row>
    <row r="1972" spans="1:18" ht="12.75">
      <c r="A1972" s="22"/>
      <c r="D1972" s="19"/>
      <c r="H1972" s="18"/>
      <c r="J1972" s="18"/>
      <c r="N1972" s="16"/>
      <c r="O1972" s="17"/>
      <c r="P1972" s="17"/>
      <c r="Q1972" s="22"/>
      <c r="R1972" s="23"/>
    </row>
    <row r="1973" spans="1:18" ht="12.75">
      <c r="A1973" s="22"/>
      <c r="D1973" s="19"/>
      <c r="H1973" s="18"/>
      <c r="J1973" s="18"/>
      <c r="N1973" s="16"/>
      <c r="O1973" s="17"/>
      <c r="P1973" s="17"/>
      <c r="Q1973" s="22"/>
      <c r="R1973" s="23"/>
    </row>
    <row r="1974" spans="1:18" ht="12.75">
      <c r="A1974" s="22"/>
      <c r="D1974" s="19"/>
      <c r="H1974" s="18"/>
      <c r="J1974" s="18"/>
      <c r="N1974" s="16"/>
      <c r="O1974" s="17"/>
      <c r="P1974" s="17"/>
      <c r="Q1974" s="22"/>
      <c r="R1974" s="23"/>
    </row>
    <row r="1975" spans="1:18" ht="12.75">
      <c r="A1975" s="22"/>
      <c r="D1975" s="19"/>
      <c r="H1975" s="18"/>
      <c r="J1975" s="18"/>
      <c r="N1975" s="16"/>
      <c r="O1975" s="17"/>
      <c r="P1975" s="17"/>
      <c r="Q1975" s="22"/>
      <c r="R1975" s="23"/>
    </row>
    <row r="1976" spans="1:18" ht="12.75">
      <c r="A1976" s="22"/>
      <c r="D1976" s="19"/>
      <c r="H1976" s="18"/>
      <c r="J1976" s="18"/>
      <c r="N1976" s="16"/>
      <c r="O1976" s="17"/>
      <c r="P1976" s="17"/>
      <c r="Q1976" s="22"/>
      <c r="R1976" s="23"/>
    </row>
    <row r="1977" spans="1:18" ht="12.75">
      <c r="A1977" s="22"/>
      <c r="D1977" s="19"/>
      <c r="H1977" s="18"/>
      <c r="J1977" s="18"/>
      <c r="N1977" s="16"/>
      <c r="O1977" s="17"/>
      <c r="P1977" s="17"/>
      <c r="Q1977" s="22"/>
      <c r="R1977" s="23"/>
    </row>
    <row r="1978" spans="1:18" ht="12.75">
      <c r="A1978" s="22"/>
      <c r="D1978" s="19"/>
      <c r="H1978" s="18"/>
      <c r="J1978" s="18"/>
      <c r="N1978" s="16"/>
      <c r="O1978" s="17"/>
      <c r="P1978" s="17"/>
      <c r="Q1978" s="22"/>
      <c r="R1978" s="23"/>
    </row>
    <row r="1979" spans="1:18" ht="12.75">
      <c r="A1979" s="22"/>
      <c r="D1979" s="19"/>
      <c r="H1979" s="18"/>
      <c r="J1979" s="18"/>
      <c r="N1979" s="16"/>
      <c r="O1979" s="17"/>
      <c r="P1979" s="17"/>
      <c r="Q1979" s="22"/>
      <c r="R1979" s="23"/>
    </row>
    <row r="1980" spans="1:18" ht="12.75">
      <c r="A1980" s="22"/>
      <c r="D1980" s="19"/>
      <c r="H1980" s="18"/>
      <c r="J1980" s="18"/>
      <c r="N1980" s="16"/>
      <c r="O1980" s="17"/>
      <c r="P1980" s="17"/>
      <c r="Q1980" s="22"/>
      <c r="R1980" s="23"/>
    </row>
    <row r="1981" spans="1:18" ht="12.75">
      <c r="A1981" s="22"/>
      <c r="D1981" s="19"/>
      <c r="H1981" s="18"/>
      <c r="J1981" s="18"/>
      <c r="N1981" s="16"/>
      <c r="O1981" s="17"/>
      <c r="P1981" s="17"/>
      <c r="Q1981" s="22"/>
      <c r="R1981" s="23"/>
    </row>
    <row r="1982" spans="1:18" ht="12.75">
      <c r="A1982" s="22"/>
      <c r="D1982" s="19"/>
      <c r="H1982" s="18"/>
      <c r="J1982" s="18"/>
      <c r="N1982" s="16"/>
      <c r="O1982" s="17"/>
      <c r="P1982" s="17"/>
      <c r="Q1982" s="22"/>
      <c r="R1982" s="23"/>
    </row>
    <row r="1983" spans="1:18" ht="12.75">
      <c r="A1983" s="22"/>
      <c r="D1983" s="19"/>
      <c r="H1983" s="18"/>
      <c r="J1983" s="18"/>
      <c r="N1983" s="16"/>
      <c r="O1983" s="17"/>
      <c r="P1983" s="17"/>
      <c r="Q1983" s="22"/>
      <c r="R1983" s="23"/>
    </row>
    <row r="1984" spans="1:18" ht="12.75">
      <c r="A1984" s="22"/>
      <c r="D1984" s="19"/>
      <c r="H1984" s="18"/>
      <c r="J1984" s="18"/>
      <c r="N1984" s="16"/>
      <c r="O1984" s="17"/>
      <c r="P1984" s="17"/>
      <c r="Q1984" s="22"/>
      <c r="R1984" s="23"/>
    </row>
    <row r="1985" spans="1:18" ht="12.75">
      <c r="A1985" s="22"/>
      <c r="D1985" s="19"/>
      <c r="H1985" s="18"/>
      <c r="J1985" s="18"/>
      <c r="N1985" s="16"/>
      <c r="O1985" s="17"/>
      <c r="P1985" s="17"/>
      <c r="Q1985" s="22"/>
      <c r="R1985" s="23"/>
    </row>
    <row r="1986" spans="1:18" ht="12.75">
      <c r="A1986" s="22"/>
      <c r="D1986" s="19"/>
      <c r="H1986" s="18"/>
      <c r="J1986" s="18"/>
      <c r="N1986" s="16"/>
      <c r="O1986" s="17"/>
      <c r="P1986" s="17"/>
      <c r="Q1986" s="22"/>
      <c r="R1986" s="23"/>
    </row>
    <row r="1987" spans="1:18" ht="12.75">
      <c r="A1987" s="22"/>
      <c r="D1987" s="19"/>
      <c r="H1987" s="18"/>
      <c r="J1987" s="18"/>
      <c r="N1987" s="16"/>
      <c r="O1987" s="17"/>
      <c r="P1987" s="17"/>
      <c r="Q1987" s="22"/>
      <c r="R1987" s="23"/>
    </row>
    <row r="1988" spans="1:18" ht="12.75">
      <c r="A1988" s="22"/>
      <c r="D1988" s="19"/>
      <c r="H1988" s="18"/>
      <c r="J1988" s="18"/>
      <c r="N1988" s="16"/>
      <c r="O1988" s="17"/>
      <c r="P1988" s="17"/>
      <c r="Q1988" s="22"/>
      <c r="R1988" s="23"/>
    </row>
    <row r="1989" spans="1:18" ht="12.75">
      <c r="A1989" s="22"/>
      <c r="D1989" s="19"/>
      <c r="H1989" s="18"/>
      <c r="J1989" s="18"/>
      <c r="N1989" s="16"/>
      <c r="O1989" s="17"/>
      <c r="P1989" s="17"/>
      <c r="Q1989" s="22"/>
      <c r="R1989" s="23"/>
    </row>
    <row r="1990" spans="1:18" ht="12.75">
      <c r="A1990" s="22"/>
      <c r="D1990" s="19"/>
      <c r="H1990" s="18"/>
      <c r="J1990" s="18"/>
      <c r="N1990" s="16"/>
      <c r="O1990" s="17"/>
      <c r="P1990" s="17"/>
      <c r="Q1990" s="22"/>
      <c r="R1990" s="23"/>
    </row>
    <row r="1991" spans="1:18" ht="12.75">
      <c r="A1991" s="22"/>
      <c r="D1991" s="19"/>
      <c r="H1991" s="18"/>
      <c r="J1991" s="18"/>
      <c r="N1991" s="16"/>
      <c r="O1991" s="17"/>
      <c r="P1991" s="17"/>
      <c r="Q1991" s="22"/>
      <c r="R1991" s="23"/>
    </row>
    <row r="1992" spans="1:18" ht="12.75">
      <c r="A1992" s="22"/>
      <c r="D1992" s="19"/>
      <c r="H1992" s="18"/>
      <c r="J1992" s="18"/>
      <c r="N1992" s="16"/>
      <c r="O1992" s="17"/>
      <c r="P1992" s="17"/>
      <c r="Q1992" s="22"/>
      <c r="R1992" s="23"/>
    </row>
    <row r="1993" spans="1:18" ht="12.75">
      <c r="A1993" s="22"/>
      <c r="D1993" s="19"/>
      <c r="H1993" s="18"/>
      <c r="J1993" s="18"/>
      <c r="N1993" s="16"/>
      <c r="O1993" s="17"/>
      <c r="P1993" s="17"/>
      <c r="Q1993" s="22"/>
      <c r="R1993" s="23"/>
    </row>
    <row r="1994" spans="1:18" ht="12.75">
      <c r="A1994" s="22"/>
      <c r="D1994" s="19"/>
      <c r="H1994" s="18"/>
      <c r="J1994" s="18"/>
      <c r="N1994" s="16"/>
      <c r="O1994" s="17"/>
      <c r="P1994" s="17"/>
      <c r="Q1994" s="22"/>
      <c r="R1994" s="23"/>
    </row>
    <row r="1995" spans="1:18" ht="12.75">
      <c r="A1995" s="22"/>
      <c r="D1995" s="19"/>
      <c r="H1995" s="18"/>
      <c r="J1995" s="18"/>
      <c r="N1995" s="16"/>
      <c r="O1995" s="17"/>
      <c r="P1995" s="17"/>
      <c r="Q1995" s="22"/>
      <c r="R1995" s="23"/>
    </row>
    <row r="1996" spans="1:18" ht="12.75">
      <c r="A1996" s="22"/>
      <c r="D1996" s="19"/>
      <c r="H1996" s="18"/>
      <c r="J1996" s="18"/>
      <c r="N1996" s="16"/>
      <c r="O1996" s="17"/>
      <c r="P1996" s="17"/>
      <c r="Q1996" s="22"/>
      <c r="R1996" s="23"/>
    </row>
    <row r="1997" spans="1:18" ht="12.75">
      <c r="A1997" s="22"/>
      <c r="D1997" s="19"/>
      <c r="H1997" s="18"/>
      <c r="J1997" s="18"/>
      <c r="N1997" s="16"/>
      <c r="O1997" s="17"/>
      <c r="P1997" s="17"/>
      <c r="Q1997" s="22"/>
      <c r="R1997" s="23"/>
    </row>
    <row r="1998" spans="1:18" ht="12.75">
      <c r="A1998" s="22"/>
      <c r="D1998" s="19"/>
      <c r="H1998" s="18"/>
      <c r="J1998" s="18"/>
      <c r="N1998" s="16"/>
      <c r="O1998" s="17"/>
      <c r="P1998" s="17"/>
      <c r="Q1998" s="22"/>
      <c r="R1998" s="23"/>
    </row>
    <row r="1999" spans="1:18" ht="12.75">
      <c r="A1999" s="22"/>
      <c r="D1999" s="19"/>
      <c r="H1999" s="18"/>
      <c r="J1999" s="18"/>
      <c r="N1999" s="16"/>
      <c r="O1999" s="17"/>
      <c r="P1999" s="17"/>
      <c r="Q1999" s="22"/>
      <c r="R1999" s="23"/>
    </row>
    <row r="2000" spans="1:18" ht="12.75">
      <c r="A2000" s="22"/>
      <c r="D2000" s="19"/>
      <c r="H2000" s="18"/>
      <c r="J2000" s="18"/>
      <c r="N2000" s="16"/>
      <c r="O2000" s="17"/>
      <c r="P2000" s="17"/>
      <c r="Q2000" s="22"/>
      <c r="R2000" s="23"/>
    </row>
    <row r="2001" spans="1:18" ht="12.75">
      <c r="A2001" s="22"/>
      <c r="D2001" s="19"/>
      <c r="H2001" s="18"/>
      <c r="J2001" s="18"/>
      <c r="N2001" s="16"/>
      <c r="O2001" s="17"/>
      <c r="P2001" s="17"/>
      <c r="Q2001" s="22"/>
      <c r="R2001" s="23"/>
    </row>
    <row r="2002" spans="1:18" ht="12.75">
      <c r="A2002" s="22"/>
      <c r="D2002" s="19"/>
      <c r="H2002" s="18"/>
      <c r="J2002" s="18"/>
      <c r="N2002" s="16"/>
      <c r="O2002" s="17"/>
      <c r="P2002" s="17"/>
      <c r="Q2002" s="22"/>
      <c r="R2002" s="23"/>
    </row>
    <row r="2003" spans="1:18" ht="12.75">
      <c r="A2003" s="22"/>
      <c r="D2003" s="19"/>
      <c r="H2003" s="18"/>
      <c r="J2003" s="18"/>
      <c r="N2003" s="16"/>
      <c r="O2003" s="17"/>
      <c r="P2003" s="17"/>
      <c r="Q2003" s="22"/>
      <c r="R2003" s="23"/>
    </row>
    <row r="2004" spans="1:18" ht="12.75">
      <c r="A2004" s="22"/>
      <c r="D2004" s="19"/>
      <c r="H2004" s="18"/>
      <c r="J2004" s="18"/>
      <c r="N2004" s="16"/>
      <c r="O2004" s="17"/>
      <c r="P2004" s="17"/>
      <c r="Q2004" s="22"/>
      <c r="R2004" s="23"/>
    </row>
    <row r="2005" spans="1:18" ht="12.75">
      <c r="A2005" s="22"/>
      <c r="D2005" s="19"/>
      <c r="H2005" s="18"/>
      <c r="J2005" s="18"/>
      <c r="N2005" s="16"/>
      <c r="O2005" s="17"/>
      <c r="P2005" s="17"/>
      <c r="Q2005" s="22"/>
      <c r="R2005" s="23"/>
    </row>
    <row r="2006" spans="1:18" ht="12.75">
      <c r="A2006" s="22"/>
      <c r="D2006" s="19"/>
      <c r="H2006" s="18"/>
      <c r="J2006" s="18"/>
      <c r="N2006" s="16"/>
      <c r="O2006" s="17"/>
      <c r="P2006" s="17"/>
      <c r="Q2006" s="22"/>
      <c r="R2006" s="23"/>
    </row>
    <row r="2007" spans="1:18" ht="12.75">
      <c r="A2007" s="22"/>
      <c r="D2007" s="19"/>
      <c r="H2007" s="18"/>
      <c r="J2007" s="18"/>
      <c r="N2007" s="16"/>
      <c r="O2007" s="17"/>
      <c r="P2007" s="17"/>
      <c r="Q2007" s="22"/>
      <c r="R2007" s="23"/>
    </row>
    <row r="2008" spans="1:18" ht="12.75">
      <c r="A2008" s="22"/>
      <c r="D2008" s="19"/>
      <c r="H2008" s="18"/>
      <c r="J2008" s="18"/>
      <c r="N2008" s="16"/>
      <c r="O2008" s="17"/>
      <c r="P2008" s="17"/>
      <c r="Q2008" s="22"/>
      <c r="R2008" s="23"/>
    </row>
    <row r="2009" spans="1:18" ht="12.75">
      <c r="A2009" s="22"/>
      <c r="D2009" s="19"/>
      <c r="H2009" s="18"/>
      <c r="J2009" s="18"/>
      <c r="N2009" s="16"/>
      <c r="O2009" s="17"/>
      <c r="P2009" s="17"/>
      <c r="Q2009" s="22"/>
      <c r="R2009" s="23"/>
    </row>
    <row r="2010" spans="1:18" ht="12.75">
      <c r="A2010" s="22"/>
      <c r="D2010" s="19"/>
      <c r="H2010" s="18"/>
      <c r="J2010" s="18"/>
      <c r="N2010" s="16"/>
      <c r="O2010" s="17"/>
      <c r="P2010" s="17"/>
      <c r="Q2010" s="22"/>
      <c r="R2010" s="23"/>
    </row>
    <row r="2011" spans="1:18" ht="12.75">
      <c r="A2011" s="22"/>
      <c r="D2011" s="19"/>
      <c r="H2011" s="18"/>
      <c r="J2011" s="18"/>
      <c r="N2011" s="16"/>
      <c r="O2011" s="17"/>
      <c r="P2011" s="17"/>
      <c r="Q2011" s="22"/>
      <c r="R2011" s="23"/>
    </row>
    <row r="2012" spans="1:18" ht="12.75">
      <c r="A2012" s="22"/>
      <c r="D2012" s="19"/>
      <c r="H2012" s="18"/>
      <c r="J2012" s="18"/>
      <c r="N2012" s="16"/>
      <c r="O2012" s="17"/>
      <c r="P2012" s="17"/>
      <c r="Q2012" s="22"/>
      <c r="R2012" s="23"/>
    </row>
    <row r="2013" spans="1:18" ht="12.75">
      <c r="A2013" s="22"/>
      <c r="D2013" s="19"/>
      <c r="H2013" s="18"/>
      <c r="J2013" s="18"/>
      <c r="N2013" s="16"/>
      <c r="O2013" s="17"/>
      <c r="P2013" s="17"/>
      <c r="Q2013" s="22"/>
      <c r="R2013" s="23"/>
    </row>
    <row r="2014" spans="1:18" ht="12.75">
      <c r="A2014" s="22"/>
      <c r="D2014" s="19"/>
      <c r="H2014" s="18"/>
      <c r="J2014" s="18"/>
      <c r="N2014" s="16"/>
      <c r="O2014" s="17"/>
      <c r="P2014" s="17"/>
      <c r="Q2014" s="22"/>
      <c r="R2014" s="23"/>
    </row>
    <row r="2015" spans="1:18" ht="12.75">
      <c r="A2015" s="22"/>
      <c r="D2015" s="19"/>
      <c r="H2015" s="18"/>
      <c r="J2015" s="18"/>
      <c r="N2015" s="16"/>
      <c r="O2015" s="17"/>
      <c r="P2015" s="17"/>
      <c r="Q2015" s="22"/>
      <c r="R2015" s="23"/>
    </row>
    <row r="2016" spans="1:18" ht="12.75">
      <c r="A2016" s="22"/>
      <c r="D2016" s="19"/>
      <c r="H2016" s="18"/>
      <c r="J2016" s="18"/>
      <c r="N2016" s="16"/>
      <c r="O2016" s="17"/>
      <c r="P2016" s="17"/>
      <c r="Q2016" s="22"/>
      <c r="R2016" s="23"/>
    </row>
    <row r="2017" spans="1:18" ht="12.75">
      <c r="A2017" s="22"/>
      <c r="D2017" s="19"/>
      <c r="H2017" s="18"/>
      <c r="J2017" s="18"/>
      <c r="N2017" s="16"/>
      <c r="O2017" s="17"/>
      <c r="P2017" s="17"/>
      <c r="Q2017" s="22"/>
      <c r="R2017" s="23"/>
    </row>
    <row r="2018" spans="1:18" ht="12.75">
      <c r="A2018" s="22"/>
      <c r="D2018" s="19"/>
      <c r="H2018" s="18"/>
      <c r="J2018" s="18"/>
      <c r="N2018" s="16"/>
      <c r="O2018" s="17"/>
      <c r="P2018" s="17"/>
      <c r="Q2018" s="22"/>
      <c r="R2018" s="23"/>
    </row>
    <row r="2019" spans="1:18" ht="12.75">
      <c r="A2019" s="22"/>
      <c r="D2019" s="19"/>
      <c r="H2019" s="18"/>
      <c r="J2019" s="18"/>
      <c r="N2019" s="16"/>
      <c r="O2019" s="17"/>
      <c r="P2019" s="17"/>
      <c r="Q2019" s="22"/>
      <c r="R2019" s="23"/>
    </row>
    <row r="2020" spans="1:18" ht="12.75">
      <c r="A2020" s="22"/>
      <c r="D2020" s="19"/>
      <c r="H2020" s="18"/>
      <c r="J2020" s="18"/>
      <c r="N2020" s="16"/>
      <c r="O2020" s="17"/>
      <c r="P2020" s="17"/>
      <c r="Q2020" s="22"/>
      <c r="R2020" s="23"/>
    </row>
    <row r="2021" spans="1:18" ht="12.75">
      <c r="A2021" s="22"/>
      <c r="D2021" s="19"/>
      <c r="H2021" s="18"/>
      <c r="J2021" s="18"/>
      <c r="N2021" s="16"/>
      <c r="O2021" s="17"/>
      <c r="P2021" s="17"/>
      <c r="Q2021" s="22"/>
      <c r="R2021" s="23"/>
    </row>
    <row r="2022" spans="1:18" ht="12.75">
      <c r="A2022" s="22"/>
      <c r="D2022" s="19"/>
      <c r="H2022" s="18"/>
      <c r="J2022" s="18"/>
      <c r="N2022" s="16"/>
      <c r="O2022" s="17"/>
      <c r="P2022" s="17"/>
      <c r="Q2022" s="22"/>
      <c r="R2022" s="23"/>
    </row>
    <row r="2023" spans="1:18" ht="12.75">
      <c r="A2023" s="22"/>
      <c r="D2023" s="19"/>
      <c r="H2023" s="18"/>
      <c r="J2023" s="18"/>
      <c r="N2023" s="16"/>
      <c r="O2023" s="17"/>
      <c r="P2023" s="17"/>
      <c r="Q2023" s="22"/>
      <c r="R2023" s="23"/>
    </row>
    <row r="2024" spans="1:18" ht="12.75">
      <c r="A2024" s="22"/>
      <c r="D2024" s="19"/>
      <c r="H2024" s="18"/>
      <c r="J2024" s="18"/>
      <c r="N2024" s="16"/>
      <c r="O2024" s="17"/>
      <c r="P2024" s="17"/>
      <c r="Q2024" s="22"/>
      <c r="R2024" s="23"/>
    </row>
    <row r="2025" spans="1:18" ht="12.75">
      <c r="A2025" s="22"/>
      <c r="D2025" s="19"/>
      <c r="H2025" s="18"/>
      <c r="J2025" s="18"/>
      <c r="N2025" s="16"/>
      <c r="O2025" s="17"/>
      <c r="P2025" s="17"/>
      <c r="Q2025" s="22"/>
      <c r="R2025" s="23"/>
    </row>
    <row r="2026" spans="1:18" ht="12.75">
      <c r="A2026" s="22"/>
      <c r="D2026" s="19"/>
      <c r="H2026" s="18"/>
      <c r="J2026" s="18"/>
      <c r="N2026" s="16"/>
      <c r="O2026" s="17"/>
      <c r="P2026" s="17"/>
      <c r="Q2026" s="22"/>
      <c r="R2026" s="23"/>
    </row>
    <row r="2027" spans="1:18" ht="12.75">
      <c r="A2027" s="22"/>
      <c r="D2027" s="19"/>
      <c r="H2027" s="18"/>
      <c r="J2027" s="18"/>
      <c r="N2027" s="16"/>
      <c r="O2027" s="17"/>
      <c r="P2027" s="17"/>
      <c r="Q2027" s="22"/>
      <c r="R2027" s="23"/>
    </row>
    <row r="2028" spans="1:18" ht="12.75">
      <c r="A2028" s="22"/>
      <c r="D2028" s="19"/>
      <c r="H2028" s="18"/>
      <c r="J2028" s="18"/>
      <c r="N2028" s="16"/>
      <c r="O2028" s="17"/>
      <c r="P2028" s="17"/>
      <c r="Q2028" s="22"/>
      <c r="R2028" s="23"/>
    </row>
    <row r="2029" spans="1:18" ht="12.75">
      <c r="A2029" s="22"/>
      <c r="D2029" s="19"/>
      <c r="H2029" s="18"/>
      <c r="J2029" s="18"/>
      <c r="N2029" s="16"/>
      <c r="O2029" s="17"/>
      <c r="P2029" s="17"/>
      <c r="Q2029" s="22"/>
      <c r="R2029" s="23"/>
    </row>
    <row r="2030" spans="1:18" ht="12.75">
      <c r="A2030" s="22"/>
      <c r="D2030" s="19"/>
      <c r="H2030" s="18"/>
      <c r="J2030" s="18"/>
      <c r="N2030" s="16"/>
      <c r="O2030" s="17"/>
      <c r="P2030" s="17"/>
      <c r="Q2030" s="22"/>
      <c r="R2030" s="23"/>
    </row>
    <row r="2031" spans="1:18" ht="12.75">
      <c r="A2031" s="22"/>
      <c r="D2031" s="19"/>
      <c r="H2031" s="18"/>
      <c r="J2031" s="18"/>
      <c r="N2031" s="16"/>
      <c r="O2031" s="17"/>
      <c r="P2031" s="17"/>
      <c r="Q2031" s="22"/>
      <c r="R2031" s="23"/>
    </row>
    <row r="2032" spans="1:18" ht="12.75">
      <c r="A2032" s="22"/>
      <c r="D2032" s="19"/>
      <c r="H2032" s="18"/>
      <c r="J2032" s="18"/>
      <c r="N2032" s="16"/>
      <c r="O2032" s="17"/>
      <c r="P2032" s="17"/>
      <c r="Q2032" s="22"/>
      <c r="R2032" s="23"/>
    </row>
    <row r="2033" spans="1:18" ht="12.75">
      <c r="A2033" s="22"/>
      <c r="D2033" s="19"/>
      <c r="H2033" s="18"/>
      <c r="J2033" s="18"/>
      <c r="N2033" s="16"/>
      <c r="O2033" s="17"/>
      <c r="P2033" s="17"/>
      <c r="Q2033" s="22"/>
      <c r="R2033" s="23"/>
    </row>
    <row r="2034" spans="1:18" ht="12.75">
      <c r="A2034" s="22"/>
      <c r="D2034" s="19"/>
      <c r="H2034" s="18"/>
      <c r="J2034" s="18"/>
      <c r="N2034" s="16"/>
      <c r="O2034" s="17"/>
      <c r="P2034" s="17"/>
      <c r="Q2034" s="22"/>
      <c r="R2034" s="23"/>
    </row>
    <row r="2035" spans="1:18" ht="12.75">
      <c r="A2035" s="22"/>
      <c r="D2035" s="19"/>
      <c r="H2035" s="18"/>
      <c r="J2035" s="18"/>
      <c r="N2035" s="16"/>
      <c r="O2035" s="17"/>
      <c r="P2035" s="17"/>
      <c r="Q2035" s="22"/>
      <c r="R2035" s="23"/>
    </row>
    <row r="2036" spans="1:18" ht="12.75">
      <c r="A2036" s="22"/>
      <c r="D2036" s="19"/>
      <c r="H2036" s="18"/>
      <c r="J2036" s="18"/>
      <c r="N2036" s="16"/>
      <c r="O2036" s="17"/>
      <c r="P2036" s="17"/>
      <c r="Q2036" s="22"/>
      <c r="R2036" s="23"/>
    </row>
    <row r="2037" spans="1:18" ht="12.75">
      <c r="A2037" s="22"/>
      <c r="D2037" s="19"/>
      <c r="H2037" s="18"/>
      <c r="J2037" s="18"/>
      <c r="N2037" s="16"/>
      <c r="O2037" s="17"/>
      <c r="P2037" s="17"/>
      <c r="Q2037" s="22"/>
      <c r="R2037" s="23"/>
    </row>
    <row r="2038" spans="1:18" ht="12.75">
      <c r="A2038" s="22"/>
      <c r="D2038" s="19"/>
      <c r="H2038" s="18"/>
      <c r="J2038" s="18"/>
      <c r="N2038" s="16"/>
      <c r="O2038" s="17"/>
      <c r="P2038" s="17"/>
      <c r="Q2038" s="22"/>
      <c r="R2038" s="23"/>
    </row>
    <row r="2039" spans="1:18" ht="12.75">
      <c r="A2039" s="22"/>
      <c r="D2039" s="19"/>
      <c r="H2039" s="18"/>
      <c r="J2039" s="18"/>
      <c r="N2039" s="16"/>
      <c r="O2039" s="17"/>
      <c r="P2039" s="17"/>
      <c r="Q2039" s="22"/>
      <c r="R2039" s="23"/>
    </row>
    <row r="2040" spans="1:18" ht="12.75">
      <c r="A2040" s="22"/>
      <c r="D2040" s="19"/>
      <c r="H2040" s="18"/>
      <c r="J2040" s="18"/>
      <c r="N2040" s="16"/>
      <c r="O2040" s="17"/>
      <c r="P2040" s="17"/>
      <c r="Q2040" s="22"/>
      <c r="R2040" s="23"/>
    </row>
    <row r="2041" spans="1:18" ht="12.75">
      <c r="A2041" s="22"/>
      <c r="D2041" s="19"/>
      <c r="H2041" s="18"/>
      <c r="J2041" s="18"/>
      <c r="N2041" s="16"/>
      <c r="O2041" s="17"/>
      <c r="P2041" s="17"/>
      <c r="Q2041" s="22"/>
      <c r="R2041" s="23"/>
    </row>
    <row r="2042" spans="1:18" ht="12.75">
      <c r="A2042" s="22"/>
      <c r="D2042" s="19"/>
      <c r="H2042" s="18"/>
      <c r="J2042" s="18"/>
      <c r="N2042" s="16"/>
      <c r="O2042" s="17"/>
      <c r="P2042" s="17"/>
      <c r="Q2042" s="22"/>
      <c r="R2042" s="23"/>
    </row>
    <row r="2043" spans="1:18" ht="12.75">
      <c r="A2043" s="22"/>
      <c r="D2043" s="19"/>
      <c r="H2043" s="18"/>
      <c r="J2043" s="18"/>
      <c r="N2043" s="16"/>
      <c r="O2043" s="17"/>
      <c r="P2043" s="17"/>
      <c r="Q2043" s="22"/>
      <c r="R2043" s="23"/>
    </row>
    <row r="2044" spans="1:18" ht="12.75">
      <c r="A2044" s="22"/>
      <c r="D2044" s="19"/>
      <c r="H2044" s="18"/>
      <c r="J2044" s="18"/>
      <c r="N2044" s="16"/>
      <c r="O2044" s="17"/>
      <c r="P2044" s="17"/>
      <c r="Q2044" s="22"/>
      <c r="R2044" s="23"/>
    </row>
    <row r="2045" spans="1:18" ht="12.75">
      <c r="A2045" s="22"/>
      <c r="D2045" s="19"/>
      <c r="H2045" s="18"/>
      <c r="J2045" s="18"/>
      <c r="N2045" s="16"/>
      <c r="O2045" s="17"/>
      <c r="P2045" s="17"/>
      <c r="Q2045" s="22"/>
      <c r="R2045" s="23"/>
    </row>
    <row r="2046" spans="1:18" ht="12.75">
      <c r="A2046" s="22"/>
      <c r="D2046" s="19"/>
      <c r="H2046" s="18"/>
      <c r="J2046" s="18"/>
      <c r="N2046" s="16"/>
      <c r="O2046" s="17"/>
      <c r="P2046" s="17"/>
      <c r="Q2046" s="22"/>
      <c r="R2046" s="23"/>
    </row>
    <row r="2047" spans="1:18" ht="12.75">
      <c r="A2047" s="22"/>
      <c r="D2047" s="19"/>
      <c r="H2047" s="18"/>
      <c r="J2047" s="18"/>
      <c r="N2047" s="16"/>
      <c r="O2047" s="17"/>
      <c r="P2047" s="17"/>
      <c r="Q2047" s="22"/>
      <c r="R2047" s="23"/>
    </row>
    <row r="2048" spans="1:18" ht="12.75">
      <c r="A2048" s="22"/>
      <c r="D2048" s="19"/>
      <c r="H2048" s="18"/>
      <c r="J2048" s="18"/>
      <c r="N2048" s="16"/>
      <c r="O2048" s="17"/>
      <c r="P2048" s="17"/>
      <c r="Q2048" s="22"/>
      <c r="R2048" s="23"/>
    </row>
    <row r="2049" spans="1:18" ht="12.75">
      <c r="A2049" s="22"/>
      <c r="D2049" s="19"/>
      <c r="H2049" s="18"/>
      <c r="J2049" s="18"/>
      <c r="N2049" s="16"/>
      <c r="O2049" s="17"/>
      <c r="P2049" s="17"/>
      <c r="Q2049" s="22"/>
      <c r="R2049" s="23"/>
    </row>
    <row r="2050" spans="1:18" ht="12.75">
      <c r="A2050" s="22"/>
      <c r="D2050" s="19"/>
      <c r="H2050" s="18"/>
      <c r="J2050" s="18"/>
      <c r="N2050" s="16"/>
      <c r="O2050" s="17"/>
      <c r="P2050" s="17"/>
      <c r="Q2050" s="22"/>
      <c r="R2050" s="23"/>
    </row>
    <row r="2051" spans="1:18" ht="12.75">
      <c r="A2051" s="22"/>
      <c r="D2051" s="19"/>
      <c r="H2051" s="18"/>
      <c r="J2051" s="18"/>
      <c r="N2051" s="16"/>
      <c r="O2051" s="17"/>
      <c r="P2051" s="17"/>
      <c r="Q2051" s="22"/>
      <c r="R2051" s="23"/>
    </row>
    <row r="2052" spans="1:18" ht="12.75">
      <c r="A2052" s="22"/>
      <c r="D2052" s="19"/>
      <c r="H2052" s="18"/>
      <c r="J2052" s="18"/>
      <c r="N2052" s="16"/>
      <c r="O2052" s="17"/>
      <c r="P2052" s="17"/>
      <c r="Q2052" s="22"/>
      <c r="R2052" s="23"/>
    </row>
    <row r="2053" spans="1:18" ht="12.75">
      <c r="A2053" s="22"/>
      <c r="D2053" s="19"/>
      <c r="H2053" s="18"/>
      <c r="J2053" s="18"/>
      <c r="N2053" s="16"/>
      <c r="O2053" s="17"/>
      <c r="P2053" s="17"/>
      <c r="Q2053" s="22"/>
      <c r="R2053" s="23"/>
    </row>
    <row r="2054" spans="1:18" ht="12.75">
      <c r="A2054" s="22"/>
      <c r="D2054" s="19"/>
      <c r="H2054" s="18"/>
      <c r="J2054" s="18"/>
      <c r="N2054" s="16"/>
      <c r="O2054" s="17"/>
      <c r="P2054" s="17"/>
      <c r="Q2054" s="22"/>
      <c r="R2054" s="23"/>
    </row>
    <row r="2055" spans="1:18" ht="12.75">
      <c r="A2055" s="22"/>
      <c r="D2055" s="19"/>
      <c r="H2055" s="18"/>
      <c r="J2055" s="18"/>
      <c r="N2055" s="16"/>
      <c r="O2055" s="17"/>
      <c r="P2055" s="17"/>
      <c r="Q2055" s="22"/>
      <c r="R2055" s="23"/>
    </row>
    <row r="2056" spans="1:18" ht="12.75">
      <c r="A2056" s="22"/>
      <c r="D2056" s="19"/>
      <c r="H2056" s="18"/>
      <c r="J2056" s="18"/>
      <c r="N2056" s="16"/>
      <c r="O2056" s="17"/>
      <c r="P2056" s="17"/>
      <c r="Q2056" s="22"/>
      <c r="R2056" s="23"/>
    </row>
    <row r="2057" spans="1:18" ht="12.75">
      <c r="A2057" s="22"/>
      <c r="D2057" s="19"/>
      <c r="H2057" s="18"/>
      <c r="J2057" s="18"/>
      <c r="N2057" s="16"/>
      <c r="O2057" s="17"/>
      <c r="P2057" s="17"/>
      <c r="Q2057" s="22"/>
      <c r="R2057" s="23"/>
    </row>
    <row r="2058" spans="1:18" ht="12.75">
      <c r="A2058" s="22"/>
      <c r="D2058" s="19"/>
      <c r="H2058" s="18"/>
      <c r="J2058" s="18"/>
      <c r="N2058" s="16"/>
      <c r="O2058" s="17"/>
      <c r="P2058" s="17"/>
      <c r="Q2058" s="22"/>
      <c r="R2058" s="23"/>
    </row>
    <row r="2059" spans="1:18" ht="12.75">
      <c r="A2059" s="22"/>
      <c r="D2059" s="19"/>
      <c r="H2059" s="18"/>
      <c r="J2059" s="18"/>
      <c r="N2059" s="16"/>
      <c r="O2059" s="17"/>
      <c r="P2059" s="17"/>
      <c r="Q2059" s="22"/>
      <c r="R2059" s="23"/>
    </row>
    <row r="2060" spans="1:18" ht="12.75">
      <c r="A2060" s="22"/>
      <c r="D2060" s="19"/>
      <c r="H2060" s="18"/>
      <c r="J2060" s="18"/>
      <c r="N2060" s="16"/>
      <c r="O2060" s="17"/>
      <c r="P2060" s="17"/>
      <c r="Q2060" s="22"/>
      <c r="R2060" s="23"/>
    </row>
    <row r="2061" spans="1:18" ht="12.75">
      <c r="A2061" s="22"/>
      <c r="D2061" s="19"/>
      <c r="H2061" s="18"/>
      <c r="J2061" s="18"/>
      <c r="N2061" s="16"/>
      <c r="O2061" s="17"/>
      <c r="P2061" s="17"/>
      <c r="Q2061" s="22"/>
      <c r="R2061" s="23"/>
    </row>
    <row r="2062" spans="1:18" ht="12.75">
      <c r="A2062" s="22"/>
      <c r="D2062" s="19"/>
      <c r="H2062" s="18"/>
      <c r="J2062" s="18"/>
      <c r="N2062" s="16"/>
      <c r="O2062" s="17"/>
      <c r="P2062" s="17"/>
      <c r="Q2062" s="22"/>
      <c r="R2062" s="23"/>
    </row>
    <row r="2063" spans="1:18" ht="12.75">
      <c r="A2063" s="22"/>
      <c r="D2063" s="19"/>
      <c r="H2063" s="18"/>
      <c r="J2063" s="18"/>
      <c r="N2063" s="16"/>
      <c r="O2063" s="17"/>
      <c r="P2063" s="17"/>
      <c r="Q2063" s="22"/>
      <c r="R2063" s="23"/>
    </row>
    <row r="2064" spans="1:18" ht="12.75">
      <c r="A2064" s="22"/>
      <c r="D2064" s="19"/>
      <c r="H2064" s="18"/>
      <c r="J2064" s="18"/>
      <c r="N2064" s="16"/>
      <c r="O2064" s="17"/>
      <c r="P2064" s="17"/>
      <c r="Q2064" s="22"/>
      <c r="R2064" s="23"/>
    </row>
    <row r="2065" spans="1:18" ht="12.75">
      <c r="A2065" s="22"/>
      <c r="D2065" s="19"/>
      <c r="H2065" s="18"/>
      <c r="J2065" s="18"/>
      <c r="N2065" s="16"/>
      <c r="O2065" s="17"/>
      <c r="P2065" s="17"/>
      <c r="Q2065" s="22"/>
      <c r="R2065" s="23"/>
    </row>
    <row r="2066" spans="1:18" ht="12.75">
      <c r="A2066" s="22"/>
      <c r="D2066" s="19"/>
      <c r="H2066" s="18"/>
      <c r="J2066" s="18"/>
      <c r="N2066" s="16"/>
      <c r="O2066" s="17"/>
      <c r="P2066" s="17"/>
      <c r="Q2066" s="22"/>
      <c r="R2066" s="23"/>
    </row>
    <row r="2067" spans="1:18" ht="12.75">
      <c r="A2067" s="22"/>
      <c r="D2067" s="19"/>
      <c r="H2067" s="18"/>
      <c r="J2067" s="18"/>
      <c r="N2067" s="16"/>
      <c r="O2067" s="17"/>
      <c r="P2067" s="17"/>
      <c r="Q2067" s="22"/>
      <c r="R2067" s="23"/>
    </row>
    <row r="2068" spans="1:18" ht="12.75">
      <c r="A2068" s="22"/>
      <c r="D2068" s="19"/>
      <c r="H2068" s="18"/>
      <c r="J2068" s="18"/>
      <c r="N2068" s="16"/>
      <c r="O2068" s="17"/>
      <c r="P2068" s="17"/>
      <c r="Q2068" s="22"/>
      <c r="R2068" s="23"/>
    </row>
    <row r="2069" spans="1:18" ht="12.75">
      <c r="A2069" s="22"/>
      <c r="D2069" s="19"/>
      <c r="H2069" s="18"/>
      <c r="J2069" s="18"/>
      <c r="N2069" s="16"/>
      <c r="O2069" s="17"/>
      <c r="P2069" s="17"/>
      <c r="Q2069" s="22"/>
      <c r="R2069" s="23"/>
    </row>
    <row r="2070" spans="1:18" ht="12.75">
      <c r="A2070" s="22"/>
      <c r="D2070" s="19"/>
      <c r="H2070" s="18"/>
      <c r="J2070" s="18"/>
      <c r="N2070" s="16"/>
      <c r="O2070" s="17"/>
      <c r="P2070" s="17"/>
      <c r="Q2070" s="22"/>
      <c r="R2070" s="23"/>
    </row>
    <row r="2071" spans="1:18" ht="12.75">
      <c r="A2071" s="22"/>
      <c r="D2071" s="19"/>
      <c r="H2071" s="18"/>
      <c r="J2071" s="18"/>
      <c r="N2071" s="16"/>
      <c r="O2071" s="17"/>
      <c r="P2071" s="17"/>
      <c r="Q2071" s="22"/>
      <c r="R2071" s="23"/>
    </row>
    <row r="2072" spans="1:18" ht="12.75">
      <c r="A2072" s="22"/>
      <c r="D2072" s="19"/>
      <c r="H2072" s="18"/>
      <c r="J2072" s="18"/>
      <c r="N2072" s="16"/>
      <c r="O2072" s="17"/>
      <c r="P2072" s="17"/>
      <c r="Q2072" s="22"/>
      <c r="R2072" s="23"/>
    </row>
    <row r="2073" spans="1:18" ht="12.75">
      <c r="A2073" s="22"/>
      <c r="D2073" s="19"/>
      <c r="H2073" s="18"/>
      <c r="J2073" s="18"/>
      <c r="N2073" s="16"/>
      <c r="O2073" s="17"/>
      <c r="P2073" s="17"/>
      <c r="Q2073" s="22"/>
      <c r="R2073" s="23"/>
    </row>
    <row r="2074" spans="1:18" ht="12.75">
      <c r="A2074" s="22"/>
      <c r="D2074" s="19"/>
      <c r="H2074" s="18"/>
      <c r="J2074" s="18"/>
      <c r="N2074" s="16"/>
      <c r="O2074" s="17"/>
      <c r="P2074" s="17"/>
      <c r="Q2074" s="22"/>
      <c r="R2074" s="23"/>
    </row>
    <row r="2075" spans="1:18" ht="12.75">
      <c r="A2075" s="22"/>
      <c r="D2075" s="19"/>
      <c r="H2075" s="18"/>
      <c r="J2075" s="18"/>
      <c r="N2075" s="16"/>
      <c r="O2075" s="17"/>
      <c r="P2075" s="17"/>
      <c r="Q2075" s="22"/>
      <c r="R2075" s="23"/>
    </row>
    <row r="2076" spans="1:18" ht="12.75">
      <c r="A2076" s="22"/>
      <c r="D2076" s="19"/>
      <c r="H2076" s="18"/>
      <c r="J2076" s="18"/>
      <c r="N2076" s="16"/>
      <c r="O2076" s="17"/>
      <c r="P2076" s="17"/>
      <c r="Q2076" s="22"/>
      <c r="R2076" s="23"/>
    </row>
    <row r="2077" spans="1:18" ht="12.75">
      <c r="A2077" s="22"/>
      <c r="D2077" s="19"/>
      <c r="H2077" s="18"/>
      <c r="J2077" s="18"/>
      <c r="N2077" s="16"/>
      <c r="O2077" s="17"/>
      <c r="P2077" s="17"/>
      <c r="Q2077" s="22"/>
      <c r="R2077" s="23"/>
    </row>
    <row r="2078" spans="1:18" ht="12.75">
      <c r="A2078" s="22"/>
      <c r="D2078" s="19"/>
      <c r="H2078" s="18"/>
      <c r="J2078" s="18"/>
      <c r="N2078" s="16"/>
      <c r="O2078" s="17"/>
      <c r="P2078" s="17"/>
      <c r="Q2078" s="22"/>
      <c r="R2078" s="23"/>
    </row>
    <row r="2079" spans="1:18" ht="12.75">
      <c r="A2079" s="22"/>
      <c r="D2079" s="19"/>
      <c r="H2079" s="18"/>
      <c r="J2079" s="18"/>
      <c r="N2079" s="16"/>
      <c r="O2079" s="17"/>
      <c r="P2079" s="17"/>
      <c r="Q2079" s="22"/>
      <c r="R2079" s="23"/>
    </row>
    <row r="2080" spans="1:18" ht="12.75">
      <c r="A2080" s="22"/>
      <c r="D2080" s="19"/>
      <c r="H2080" s="18"/>
      <c r="J2080" s="18"/>
      <c r="N2080" s="16"/>
      <c r="O2080" s="17"/>
      <c r="P2080" s="17"/>
      <c r="Q2080" s="22"/>
      <c r="R2080" s="23"/>
    </row>
    <row r="2081" spans="1:18" ht="12.75">
      <c r="A2081" s="22"/>
      <c r="D2081" s="19"/>
      <c r="H2081" s="18"/>
      <c r="J2081" s="18"/>
      <c r="N2081" s="16"/>
      <c r="O2081" s="17"/>
      <c r="P2081" s="17"/>
      <c r="Q2081" s="22"/>
      <c r="R2081" s="23"/>
    </row>
    <row r="2082" spans="1:18" ht="12.75">
      <c r="A2082" s="22"/>
      <c r="D2082" s="19"/>
      <c r="H2082" s="18"/>
      <c r="J2082" s="18"/>
      <c r="N2082" s="16"/>
      <c r="O2082" s="17"/>
      <c r="P2082" s="17"/>
      <c r="Q2082" s="22"/>
      <c r="R2082" s="23"/>
    </row>
    <row r="2083" spans="1:18" ht="12.75">
      <c r="A2083" s="22"/>
      <c r="D2083" s="19"/>
      <c r="H2083" s="18"/>
      <c r="J2083" s="18"/>
      <c r="N2083" s="16"/>
      <c r="O2083" s="17"/>
      <c r="P2083" s="17"/>
      <c r="Q2083" s="22"/>
      <c r="R2083" s="23"/>
    </row>
    <row r="2084" spans="1:18" ht="12.75">
      <c r="A2084" s="22"/>
      <c r="D2084" s="19"/>
      <c r="H2084" s="18"/>
      <c r="J2084" s="18"/>
      <c r="N2084" s="16"/>
      <c r="O2084" s="17"/>
      <c r="P2084" s="17"/>
      <c r="Q2084" s="22"/>
      <c r="R2084" s="23"/>
    </row>
    <row r="2085" spans="1:18" ht="12.75">
      <c r="A2085" s="22"/>
      <c r="D2085" s="19"/>
      <c r="H2085" s="18"/>
      <c r="J2085" s="18"/>
      <c r="N2085" s="16"/>
      <c r="O2085" s="17"/>
      <c r="P2085" s="17"/>
      <c r="Q2085" s="22"/>
      <c r="R2085" s="23"/>
    </row>
    <row r="2086" spans="1:18" ht="12.75">
      <c r="A2086" s="22"/>
      <c r="D2086" s="19"/>
      <c r="H2086" s="18"/>
      <c r="J2086" s="18"/>
      <c r="N2086" s="16"/>
      <c r="O2086" s="17"/>
      <c r="P2086" s="17"/>
      <c r="Q2086" s="22"/>
      <c r="R2086" s="23"/>
    </row>
    <row r="2087" spans="1:18" ht="12.75">
      <c r="A2087" s="22"/>
      <c r="D2087" s="19"/>
      <c r="H2087" s="18"/>
      <c r="J2087" s="18"/>
      <c r="N2087" s="16"/>
      <c r="O2087" s="17"/>
      <c r="P2087" s="17"/>
      <c r="Q2087" s="22"/>
      <c r="R2087" s="23"/>
    </row>
    <row r="2088" spans="1:18" ht="12.75">
      <c r="A2088" s="22"/>
      <c r="D2088" s="19"/>
      <c r="H2088" s="18"/>
      <c r="J2088" s="18"/>
      <c r="N2088" s="16"/>
      <c r="O2088" s="17"/>
      <c r="P2088" s="17"/>
      <c r="Q2088" s="22"/>
      <c r="R2088" s="23"/>
    </row>
    <row r="2089" spans="1:18" ht="12.75">
      <c r="A2089" s="22"/>
      <c r="D2089" s="19"/>
      <c r="H2089" s="18"/>
      <c r="J2089" s="18"/>
      <c r="N2089" s="16"/>
      <c r="O2089" s="17"/>
      <c r="P2089" s="17"/>
      <c r="Q2089" s="22"/>
      <c r="R2089" s="23"/>
    </row>
    <row r="2090" spans="1:18" ht="12.75">
      <c r="A2090" s="22"/>
      <c r="D2090" s="19"/>
      <c r="H2090" s="18"/>
      <c r="J2090" s="18"/>
      <c r="N2090" s="16"/>
      <c r="O2090" s="17"/>
      <c r="P2090" s="17"/>
      <c r="Q2090" s="22"/>
      <c r="R2090" s="23"/>
    </row>
    <row r="2091" spans="1:18" ht="12.75">
      <c r="A2091" s="22"/>
      <c r="D2091" s="19"/>
      <c r="H2091" s="18"/>
      <c r="J2091" s="18"/>
      <c r="N2091" s="16"/>
      <c r="O2091" s="17"/>
      <c r="P2091" s="17"/>
      <c r="Q2091" s="22"/>
      <c r="R2091" s="23"/>
    </row>
    <row r="2092" spans="1:18" ht="12.75">
      <c r="A2092" s="22"/>
      <c r="D2092" s="19"/>
      <c r="H2092" s="18"/>
      <c r="J2092" s="18"/>
      <c r="N2092" s="16"/>
      <c r="O2092" s="17"/>
      <c r="P2092" s="17"/>
      <c r="Q2092" s="22"/>
      <c r="R2092" s="23"/>
    </row>
    <row r="2093" spans="1:18" ht="12.75">
      <c r="A2093" s="22"/>
      <c r="D2093" s="19"/>
      <c r="H2093" s="18"/>
      <c r="J2093" s="18"/>
      <c r="N2093" s="16"/>
      <c r="O2093" s="17"/>
      <c r="P2093" s="17"/>
      <c r="Q2093" s="22"/>
      <c r="R2093" s="23"/>
    </row>
    <row r="2094" spans="1:18" ht="12.75">
      <c r="A2094" s="22"/>
      <c r="D2094" s="19"/>
      <c r="H2094" s="18"/>
      <c r="J2094" s="18"/>
      <c r="N2094" s="16"/>
      <c r="O2094" s="17"/>
      <c r="P2094" s="17"/>
      <c r="Q2094" s="22"/>
      <c r="R2094" s="23"/>
    </row>
    <row r="2095" spans="1:18" ht="12.75">
      <c r="A2095" s="22"/>
      <c r="D2095" s="19"/>
      <c r="H2095" s="18"/>
      <c r="J2095" s="18"/>
      <c r="N2095" s="16"/>
      <c r="O2095" s="17"/>
      <c r="P2095" s="17"/>
      <c r="Q2095" s="22"/>
      <c r="R2095" s="23"/>
    </row>
    <row r="2096" spans="1:18" ht="12.75">
      <c r="A2096" s="22"/>
      <c r="D2096" s="19"/>
      <c r="H2096" s="18"/>
      <c r="J2096" s="18"/>
      <c r="N2096" s="16"/>
      <c r="O2096" s="17"/>
      <c r="P2096" s="17"/>
      <c r="Q2096" s="22"/>
      <c r="R2096" s="23"/>
    </row>
    <row r="2097" spans="1:18" ht="12.75">
      <c r="A2097" s="22"/>
      <c r="D2097" s="19"/>
      <c r="H2097" s="18"/>
      <c r="J2097" s="18"/>
      <c r="N2097" s="16"/>
      <c r="O2097" s="17"/>
      <c r="P2097" s="17"/>
      <c r="Q2097" s="22"/>
      <c r="R2097" s="23"/>
    </row>
    <row r="2098" spans="1:18" ht="12.75">
      <c r="A2098" s="22"/>
      <c r="D2098" s="19"/>
      <c r="H2098" s="18"/>
      <c r="J2098" s="18"/>
      <c r="N2098" s="16"/>
      <c r="O2098" s="17"/>
      <c r="P2098" s="17"/>
      <c r="Q2098" s="22"/>
      <c r="R2098" s="23"/>
    </row>
    <row r="2099" spans="1:18" ht="12.75">
      <c r="A2099" s="22"/>
      <c r="D2099" s="19"/>
      <c r="H2099" s="18"/>
      <c r="J2099" s="18"/>
      <c r="N2099" s="16"/>
      <c r="O2099" s="17"/>
      <c r="P2099" s="17"/>
      <c r="Q2099" s="22"/>
      <c r="R2099" s="23"/>
    </row>
    <row r="2100" spans="1:18" ht="12.75">
      <c r="A2100" s="22"/>
      <c r="D2100" s="19"/>
      <c r="H2100" s="18"/>
      <c r="J2100" s="18"/>
      <c r="N2100" s="16"/>
      <c r="O2100" s="17"/>
      <c r="P2100" s="17"/>
      <c r="Q2100" s="22"/>
      <c r="R2100" s="23"/>
    </row>
    <row r="2101" spans="1:18" ht="12.75">
      <c r="A2101" s="22"/>
      <c r="D2101" s="19"/>
      <c r="H2101" s="18"/>
      <c r="J2101" s="18"/>
      <c r="N2101" s="16"/>
      <c r="O2101" s="17"/>
      <c r="P2101" s="17"/>
      <c r="Q2101" s="22"/>
      <c r="R2101" s="23"/>
    </row>
    <row r="2102" spans="1:18" ht="12.75">
      <c r="A2102" s="22"/>
      <c r="D2102" s="19"/>
      <c r="H2102" s="18"/>
      <c r="J2102" s="18"/>
      <c r="N2102" s="16"/>
      <c r="O2102" s="17"/>
      <c r="P2102" s="17"/>
      <c r="Q2102" s="22"/>
      <c r="R2102" s="23"/>
    </row>
    <row r="2103" spans="1:18" ht="12.75">
      <c r="A2103" s="22"/>
      <c r="D2103" s="19"/>
      <c r="H2103" s="18"/>
      <c r="J2103" s="18"/>
      <c r="N2103" s="16"/>
      <c r="O2103" s="17"/>
      <c r="P2103" s="17"/>
      <c r="Q2103" s="22"/>
      <c r="R2103" s="23"/>
    </row>
    <row r="2104" spans="1:18" ht="12.75">
      <c r="A2104" s="22"/>
      <c r="D2104" s="19"/>
      <c r="H2104" s="18"/>
      <c r="J2104" s="18"/>
      <c r="N2104" s="16"/>
      <c r="O2104" s="17"/>
      <c r="P2104" s="17"/>
      <c r="Q2104" s="22"/>
      <c r="R2104" s="23"/>
    </row>
    <row r="2105" spans="1:18" ht="12.75">
      <c r="A2105" s="22"/>
      <c r="D2105" s="19"/>
      <c r="H2105" s="18"/>
      <c r="J2105" s="18"/>
      <c r="N2105" s="16"/>
      <c r="O2105" s="17"/>
      <c r="P2105" s="17"/>
      <c r="Q2105" s="22"/>
      <c r="R2105" s="23"/>
    </row>
    <row r="2106" spans="1:18" ht="12.75">
      <c r="A2106" s="22"/>
      <c r="D2106" s="19"/>
      <c r="H2106" s="18"/>
      <c r="J2106" s="18"/>
      <c r="N2106" s="16"/>
      <c r="O2106" s="17"/>
      <c r="P2106" s="17"/>
      <c r="Q2106" s="22"/>
      <c r="R2106" s="23"/>
    </row>
    <row r="2107" spans="1:18" ht="12.75">
      <c r="A2107" s="22"/>
      <c r="D2107" s="19"/>
      <c r="H2107" s="18"/>
      <c r="J2107" s="18"/>
      <c r="N2107" s="16"/>
      <c r="O2107" s="17"/>
      <c r="P2107" s="17"/>
      <c r="Q2107" s="22"/>
      <c r="R2107" s="23"/>
    </row>
    <row r="2108" spans="1:18" ht="12.75">
      <c r="A2108" s="22"/>
      <c r="D2108" s="19"/>
      <c r="H2108" s="18"/>
      <c r="J2108" s="18"/>
      <c r="N2108" s="16"/>
      <c r="O2108" s="17"/>
      <c r="P2108" s="17"/>
      <c r="Q2108" s="22"/>
      <c r="R2108" s="23"/>
    </row>
    <row r="2109" spans="1:18" ht="12.75">
      <c r="A2109" s="22"/>
      <c r="D2109" s="19"/>
      <c r="H2109" s="18"/>
      <c r="J2109" s="18"/>
      <c r="N2109" s="16"/>
      <c r="O2109" s="17"/>
      <c r="P2109" s="17"/>
      <c r="Q2109" s="22"/>
      <c r="R2109" s="23"/>
    </row>
    <row r="2110" spans="1:18" ht="12.75">
      <c r="A2110" s="22"/>
      <c r="D2110" s="19"/>
      <c r="H2110" s="18"/>
      <c r="J2110" s="18"/>
      <c r="N2110" s="16"/>
      <c r="O2110" s="17"/>
      <c r="P2110" s="17"/>
      <c r="Q2110" s="22"/>
      <c r="R2110" s="23"/>
    </row>
    <row r="2111" spans="1:18" ht="12.75">
      <c r="A2111" s="22"/>
      <c r="D2111" s="19"/>
      <c r="H2111" s="18"/>
      <c r="J2111" s="18"/>
      <c r="N2111" s="16"/>
      <c r="O2111" s="17"/>
      <c r="P2111" s="17"/>
      <c r="Q2111" s="22"/>
      <c r="R2111" s="23"/>
    </row>
    <row r="2112" spans="1:18" ht="12.75">
      <c r="A2112" s="22"/>
      <c r="D2112" s="19"/>
      <c r="H2112" s="18"/>
      <c r="J2112" s="18"/>
      <c r="N2112" s="16"/>
      <c r="O2112" s="17"/>
      <c r="P2112" s="17"/>
      <c r="Q2112" s="22"/>
      <c r="R2112" s="23"/>
    </row>
    <row r="2113" spans="1:18" ht="12.75">
      <c r="A2113" s="22"/>
      <c r="D2113" s="19"/>
      <c r="H2113" s="18"/>
      <c r="J2113" s="18"/>
      <c r="N2113" s="16"/>
      <c r="O2113" s="17"/>
      <c r="P2113" s="17"/>
      <c r="Q2113" s="22"/>
      <c r="R2113" s="23"/>
    </row>
    <row r="2114" spans="1:18" ht="12.75">
      <c r="A2114" s="22"/>
      <c r="D2114" s="19"/>
      <c r="H2114" s="18"/>
      <c r="J2114" s="18"/>
      <c r="N2114" s="16"/>
      <c r="O2114" s="17"/>
      <c r="P2114" s="17"/>
      <c r="Q2114" s="22"/>
      <c r="R2114" s="23"/>
    </row>
    <row r="2115" spans="1:18" ht="12.75">
      <c r="A2115" s="22"/>
      <c r="D2115" s="19"/>
      <c r="H2115" s="18"/>
      <c r="J2115" s="18"/>
      <c r="N2115" s="16"/>
      <c r="O2115" s="17"/>
      <c r="P2115" s="17"/>
      <c r="Q2115" s="22"/>
      <c r="R2115" s="23"/>
    </row>
    <row r="2116" spans="1:18" ht="12.75">
      <c r="A2116" s="22"/>
      <c r="D2116" s="19"/>
      <c r="H2116" s="18"/>
      <c r="J2116" s="18"/>
      <c r="N2116" s="16"/>
      <c r="O2116" s="17"/>
      <c r="P2116" s="17"/>
      <c r="Q2116" s="22"/>
      <c r="R2116" s="23"/>
    </row>
    <row r="2117" spans="1:18" ht="12.75">
      <c r="A2117" s="22"/>
      <c r="D2117" s="19"/>
      <c r="H2117" s="18"/>
      <c r="J2117" s="18"/>
      <c r="N2117" s="16"/>
      <c r="O2117" s="17"/>
      <c r="P2117" s="17"/>
      <c r="Q2117" s="22"/>
      <c r="R2117" s="23"/>
    </row>
    <row r="2118" spans="1:18" ht="12.75">
      <c r="A2118" s="22"/>
      <c r="D2118" s="19"/>
      <c r="H2118" s="18"/>
      <c r="J2118" s="18"/>
      <c r="N2118" s="16"/>
      <c r="O2118" s="17"/>
      <c r="P2118" s="17"/>
      <c r="Q2118" s="22"/>
      <c r="R2118" s="23"/>
    </row>
    <row r="2119" spans="1:18" ht="12.75">
      <c r="A2119" s="22"/>
      <c r="D2119" s="19"/>
      <c r="H2119" s="18"/>
      <c r="J2119" s="18"/>
      <c r="N2119" s="16"/>
      <c r="O2119" s="17"/>
      <c r="P2119" s="17"/>
      <c r="Q2119" s="22"/>
      <c r="R2119" s="23"/>
    </row>
    <row r="2120" spans="1:18" ht="12.75">
      <c r="A2120" s="22"/>
      <c r="D2120" s="19"/>
      <c r="H2120" s="18"/>
      <c r="J2120" s="18"/>
      <c r="N2120" s="16"/>
      <c r="O2120" s="17"/>
      <c r="P2120" s="17"/>
      <c r="Q2120" s="22"/>
      <c r="R2120" s="23"/>
    </row>
    <row r="2121" spans="1:18" ht="12.75">
      <c r="A2121" s="22"/>
      <c r="D2121" s="19"/>
      <c r="H2121" s="18"/>
      <c r="J2121" s="18"/>
      <c r="N2121" s="16"/>
      <c r="O2121" s="17"/>
      <c r="P2121" s="17"/>
      <c r="Q2121" s="22"/>
      <c r="R2121" s="23"/>
    </row>
    <row r="2122" spans="1:18" ht="12.75">
      <c r="A2122" s="22"/>
      <c r="D2122" s="19"/>
      <c r="H2122" s="18"/>
      <c r="J2122" s="18"/>
      <c r="N2122" s="16"/>
      <c r="O2122" s="17"/>
      <c r="P2122" s="17"/>
      <c r="Q2122" s="22"/>
      <c r="R2122" s="23"/>
    </row>
    <row r="2123" spans="1:18" ht="12.75">
      <c r="A2123" s="22"/>
      <c r="D2123" s="19"/>
      <c r="H2123" s="18"/>
      <c r="J2123" s="18"/>
      <c r="N2123" s="16"/>
      <c r="O2123" s="17"/>
      <c r="P2123" s="17"/>
      <c r="Q2123" s="22"/>
      <c r="R2123" s="23"/>
    </row>
    <row r="2124" spans="1:18" ht="12.75">
      <c r="A2124" s="22"/>
      <c r="D2124" s="19"/>
      <c r="H2124" s="18"/>
      <c r="J2124" s="18"/>
      <c r="N2124" s="16"/>
      <c r="O2124" s="17"/>
      <c r="P2124" s="17"/>
      <c r="Q2124" s="22"/>
      <c r="R2124" s="23"/>
    </row>
    <row r="2125" spans="1:18" ht="12.75">
      <c r="A2125" s="22"/>
      <c r="D2125" s="19"/>
      <c r="H2125" s="18"/>
      <c r="J2125" s="18"/>
      <c r="N2125" s="16"/>
      <c r="O2125" s="17"/>
      <c r="P2125" s="17"/>
      <c r="Q2125" s="22"/>
      <c r="R2125" s="23"/>
    </row>
    <row r="2126" spans="1:18" ht="12.75">
      <c r="A2126" s="22"/>
      <c r="D2126" s="19"/>
      <c r="H2126" s="18"/>
      <c r="J2126" s="18"/>
      <c r="N2126" s="16"/>
      <c r="O2126" s="17"/>
      <c r="P2126" s="17"/>
      <c r="Q2126" s="22"/>
      <c r="R2126" s="23"/>
    </row>
    <row r="2127" spans="1:18" ht="12.75">
      <c r="A2127" s="22"/>
      <c r="D2127" s="19"/>
      <c r="H2127" s="18"/>
      <c r="J2127" s="18"/>
      <c r="N2127" s="16"/>
      <c r="O2127" s="17"/>
      <c r="P2127" s="17"/>
      <c r="Q2127" s="22"/>
      <c r="R2127" s="23"/>
    </row>
    <row r="2128" spans="1:18" ht="12.75">
      <c r="A2128" s="22"/>
      <c r="D2128" s="19"/>
      <c r="H2128" s="18"/>
      <c r="J2128" s="18"/>
      <c r="N2128" s="16"/>
      <c r="O2128" s="17"/>
      <c r="P2128" s="17"/>
      <c r="Q2128" s="22"/>
      <c r="R2128" s="23"/>
    </row>
    <row r="2129" spans="1:18" ht="12.75">
      <c r="A2129" s="22"/>
      <c r="D2129" s="19"/>
      <c r="H2129" s="18"/>
      <c r="J2129" s="18"/>
      <c r="N2129" s="16"/>
      <c r="O2129" s="17"/>
      <c r="P2129" s="17"/>
      <c r="Q2129" s="22"/>
      <c r="R2129" s="23"/>
    </row>
    <row r="2130" spans="1:18" ht="12.75">
      <c r="A2130" s="22"/>
      <c r="D2130" s="19"/>
      <c r="H2130" s="18"/>
      <c r="J2130" s="18"/>
      <c r="N2130" s="16"/>
      <c r="O2130" s="17"/>
      <c r="P2130" s="17"/>
      <c r="Q2130" s="22"/>
      <c r="R2130" s="23"/>
    </row>
    <row r="2131" spans="1:18" ht="12.75">
      <c r="A2131" s="22"/>
      <c r="D2131" s="19"/>
      <c r="H2131" s="18"/>
      <c r="J2131" s="18"/>
      <c r="N2131" s="16"/>
      <c r="O2131" s="17"/>
      <c r="P2131" s="17"/>
      <c r="Q2131" s="22"/>
      <c r="R2131" s="23"/>
    </row>
    <row r="2132" spans="1:18" ht="12.75">
      <c r="A2132" s="22"/>
      <c r="D2132" s="19"/>
      <c r="H2132" s="18"/>
      <c r="J2132" s="18"/>
      <c r="N2132" s="16"/>
      <c r="O2132" s="17"/>
      <c r="P2132" s="17"/>
      <c r="Q2132" s="22"/>
      <c r="R2132" s="23"/>
    </row>
    <row r="2133" spans="1:18" ht="12.75">
      <c r="A2133" s="22"/>
      <c r="D2133" s="19"/>
      <c r="H2133" s="18"/>
      <c r="J2133" s="18"/>
      <c r="N2133" s="16"/>
      <c r="O2133" s="17"/>
      <c r="P2133" s="17"/>
      <c r="Q2133" s="22"/>
      <c r="R2133" s="23"/>
    </row>
    <row r="2134" spans="1:18" ht="12.75">
      <c r="A2134" s="22"/>
      <c r="D2134" s="19"/>
      <c r="H2134" s="18"/>
      <c r="J2134" s="18"/>
      <c r="N2134" s="16"/>
      <c r="O2134" s="17"/>
      <c r="P2134" s="17"/>
      <c r="Q2134" s="22"/>
      <c r="R2134" s="23"/>
    </row>
    <row r="2135" spans="1:18" ht="12.75">
      <c r="A2135" s="22"/>
      <c r="D2135" s="19"/>
      <c r="H2135" s="18"/>
      <c r="J2135" s="18"/>
      <c r="N2135" s="16"/>
      <c r="O2135" s="17"/>
      <c r="P2135" s="17"/>
      <c r="Q2135" s="22"/>
      <c r="R2135" s="23"/>
    </row>
    <row r="2136" spans="1:18" ht="12.75">
      <c r="A2136" s="22"/>
      <c r="D2136" s="19"/>
      <c r="H2136" s="18"/>
      <c r="J2136" s="18"/>
      <c r="N2136" s="16"/>
      <c r="O2136" s="17"/>
      <c r="P2136" s="17"/>
      <c r="Q2136" s="22"/>
      <c r="R2136" s="23"/>
    </row>
    <row r="2137" spans="1:18" ht="12.75">
      <c r="A2137" s="22"/>
      <c r="D2137" s="19"/>
      <c r="H2137" s="18"/>
      <c r="J2137" s="18"/>
      <c r="N2137" s="16"/>
      <c r="O2137" s="17"/>
      <c r="P2137" s="17"/>
      <c r="Q2137" s="22"/>
      <c r="R2137" s="23"/>
    </row>
    <row r="2138" spans="1:18" ht="12.75">
      <c r="A2138" s="22"/>
      <c r="D2138" s="19"/>
      <c r="H2138" s="18"/>
      <c r="J2138" s="18"/>
      <c r="N2138" s="16"/>
      <c r="O2138" s="17"/>
      <c r="P2138" s="17"/>
      <c r="Q2138" s="22"/>
      <c r="R2138" s="23"/>
    </row>
    <row r="2139" spans="1:18" ht="12.75">
      <c r="A2139" s="22"/>
      <c r="D2139" s="19"/>
      <c r="H2139" s="18"/>
      <c r="J2139" s="18"/>
      <c r="N2139" s="16"/>
      <c r="O2139" s="17"/>
      <c r="P2139" s="17"/>
      <c r="Q2139" s="22"/>
      <c r="R2139" s="23"/>
    </row>
    <row r="2140" spans="1:18" ht="12.75">
      <c r="A2140" s="22"/>
      <c r="D2140" s="19"/>
      <c r="H2140" s="18"/>
      <c r="J2140" s="18"/>
      <c r="N2140" s="16"/>
      <c r="O2140" s="17"/>
      <c r="P2140" s="17"/>
      <c r="Q2140" s="22"/>
      <c r="R2140" s="23"/>
    </row>
    <row r="2141" spans="1:18" ht="12.75">
      <c r="A2141" s="22"/>
      <c r="D2141" s="19"/>
      <c r="H2141" s="18"/>
      <c r="J2141" s="18"/>
      <c r="N2141" s="16"/>
      <c r="O2141" s="17"/>
      <c r="P2141" s="17"/>
      <c r="Q2141" s="22"/>
      <c r="R2141" s="23"/>
    </row>
    <row r="2142" spans="1:18" ht="12.75">
      <c r="A2142" s="22"/>
      <c r="D2142" s="19"/>
      <c r="H2142" s="18"/>
      <c r="J2142" s="18"/>
      <c r="N2142" s="16"/>
      <c r="O2142" s="17"/>
      <c r="P2142" s="17"/>
      <c r="Q2142" s="22"/>
      <c r="R2142" s="23"/>
    </row>
    <row r="2143" spans="1:18" ht="12.75">
      <c r="A2143" s="22"/>
      <c r="D2143" s="19"/>
      <c r="H2143" s="18"/>
      <c r="J2143" s="18"/>
      <c r="N2143" s="16"/>
      <c r="O2143" s="17"/>
      <c r="P2143" s="17"/>
      <c r="Q2143" s="22"/>
      <c r="R2143" s="23"/>
    </row>
    <row r="2144" spans="1:18" ht="12.75">
      <c r="A2144" s="22"/>
      <c r="D2144" s="19"/>
      <c r="H2144" s="18"/>
      <c r="J2144" s="18"/>
      <c r="N2144" s="16"/>
      <c r="O2144" s="17"/>
      <c r="P2144" s="17"/>
      <c r="Q2144" s="22"/>
      <c r="R2144" s="23"/>
    </row>
    <row r="2145" spans="1:18" ht="12.75">
      <c r="A2145" s="22"/>
      <c r="D2145" s="19"/>
      <c r="H2145" s="18"/>
      <c r="J2145" s="18"/>
      <c r="N2145" s="16"/>
      <c r="O2145" s="17"/>
      <c r="P2145" s="17"/>
      <c r="Q2145" s="22"/>
      <c r="R2145" s="23"/>
    </row>
    <row r="2146" spans="1:18" ht="12.75">
      <c r="A2146" s="22"/>
      <c r="D2146" s="19"/>
      <c r="H2146" s="18"/>
      <c r="J2146" s="18"/>
      <c r="N2146" s="16"/>
      <c r="O2146" s="17"/>
      <c r="P2146" s="17"/>
      <c r="Q2146" s="22"/>
      <c r="R2146" s="23"/>
    </row>
    <row r="2147" spans="1:18" ht="12.75">
      <c r="A2147" s="22"/>
      <c r="D2147" s="19"/>
      <c r="H2147" s="18"/>
      <c r="J2147" s="18"/>
      <c r="N2147" s="16"/>
      <c r="O2147" s="17"/>
      <c r="P2147" s="17"/>
      <c r="Q2147" s="22"/>
      <c r="R2147" s="23"/>
    </row>
    <row r="2148" spans="1:18" ht="12.75">
      <c r="A2148" s="22"/>
      <c r="D2148" s="19"/>
      <c r="H2148" s="18"/>
      <c r="J2148" s="18"/>
      <c r="N2148" s="16"/>
      <c r="O2148" s="17"/>
      <c r="P2148" s="17"/>
      <c r="Q2148" s="22"/>
      <c r="R2148" s="23"/>
    </row>
    <row r="2149" spans="1:18" ht="12.75">
      <c r="A2149" s="22"/>
      <c r="D2149" s="19"/>
      <c r="H2149" s="18"/>
      <c r="J2149" s="18"/>
      <c r="N2149" s="16"/>
      <c r="O2149" s="17"/>
      <c r="P2149" s="17"/>
      <c r="Q2149" s="22"/>
      <c r="R2149" s="23"/>
    </row>
    <row r="2150" spans="1:18" ht="12.75">
      <c r="A2150" s="22"/>
      <c r="D2150" s="19"/>
      <c r="H2150" s="18"/>
      <c r="J2150" s="18"/>
      <c r="N2150" s="16"/>
      <c r="O2150" s="17"/>
      <c r="P2150" s="17"/>
      <c r="Q2150" s="22"/>
      <c r="R2150" s="23"/>
    </row>
    <row r="2151" spans="1:18" ht="12.75">
      <c r="A2151" s="22"/>
      <c r="D2151" s="19"/>
      <c r="H2151" s="18"/>
      <c r="J2151" s="18"/>
      <c r="N2151" s="16"/>
      <c r="O2151" s="17"/>
      <c r="P2151" s="17"/>
      <c r="Q2151" s="22"/>
      <c r="R2151" s="23"/>
    </row>
    <row r="2152" spans="1:18" ht="12.75">
      <c r="A2152" s="22"/>
      <c r="D2152" s="19"/>
      <c r="H2152" s="18"/>
      <c r="J2152" s="18"/>
      <c r="N2152" s="16"/>
      <c r="O2152" s="17"/>
      <c r="P2152" s="17"/>
      <c r="Q2152" s="22"/>
      <c r="R2152" s="23"/>
    </row>
    <row r="2153" spans="1:18" ht="12.75">
      <c r="A2153" s="22"/>
      <c r="D2153" s="19"/>
      <c r="H2153" s="18"/>
      <c r="J2153" s="18"/>
      <c r="N2153" s="16"/>
      <c r="O2153" s="17"/>
      <c r="P2153" s="17"/>
      <c r="Q2153" s="22"/>
      <c r="R2153" s="23"/>
    </row>
    <row r="2154" spans="1:18" ht="12.75">
      <c r="A2154" s="22"/>
      <c r="D2154" s="19"/>
      <c r="H2154" s="18"/>
      <c r="J2154" s="18"/>
      <c r="N2154" s="16"/>
      <c r="O2154" s="17"/>
      <c r="P2154" s="17"/>
      <c r="Q2154" s="22"/>
      <c r="R2154" s="23"/>
    </row>
    <row r="2155" spans="1:18" ht="12.75">
      <c r="A2155" s="22"/>
      <c r="D2155" s="19"/>
      <c r="H2155" s="18"/>
      <c r="J2155" s="18"/>
      <c r="N2155" s="16"/>
      <c r="O2155" s="17"/>
      <c r="P2155" s="17"/>
      <c r="Q2155" s="22"/>
      <c r="R2155" s="23"/>
    </row>
    <row r="2156" spans="1:18" ht="12.75">
      <c r="A2156" s="22"/>
      <c r="D2156" s="19"/>
      <c r="H2156" s="18"/>
      <c r="J2156" s="18"/>
      <c r="N2156" s="16"/>
      <c r="O2156" s="17"/>
      <c r="P2156" s="17"/>
      <c r="Q2156" s="22"/>
      <c r="R2156" s="23"/>
    </row>
    <row r="2157" spans="1:18" ht="12.75">
      <c r="A2157" s="22"/>
      <c r="D2157" s="19"/>
      <c r="H2157" s="18"/>
      <c r="J2157" s="18"/>
      <c r="N2157" s="16"/>
      <c r="O2157" s="17"/>
      <c r="P2157" s="17"/>
      <c r="Q2157" s="22"/>
      <c r="R2157" s="23"/>
    </row>
    <row r="2158" spans="1:18" ht="12.75">
      <c r="A2158" s="22"/>
      <c r="D2158" s="19"/>
      <c r="H2158" s="18"/>
      <c r="J2158" s="18"/>
      <c r="N2158" s="16"/>
      <c r="O2158" s="17"/>
      <c r="P2158" s="17"/>
      <c r="Q2158" s="22"/>
      <c r="R2158" s="23"/>
    </row>
    <row r="2159" spans="1:18" ht="12.75">
      <c r="A2159" s="22"/>
      <c r="D2159" s="19"/>
      <c r="H2159" s="18"/>
      <c r="J2159" s="18"/>
      <c r="N2159" s="16"/>
      <c r="O2159" s="17"/>
      <c r="P2159" s="17"/>
      <c r="Q2159" s="22"/>
      <c r="R2159" s="23"/>
    </row>
    <row r="2160" spans="1:18" ht="12.75">
      <c r="A2160" s="22"/>
      <c r="D2160" s="19"/>
      <c r="H2160" s="18"/>
      <c r="J2160" s="18"/>
      <c r="N2160" s="16"/>
      <c r="O2160" s="17"/>
      <c r="P2160" s="17"/>
      <c r="Q2160" s="22"/>
      <c r="R2160" s="23"/>
    </row>
    <row r="2161" spans="1:18" ht="12.75">
      <c r="A2161" s="22"/>
      <c r="D2161" s="19"/>
      <c r="H2161" s="18"/>
      <c r="J2161" s="18"/>
      <c r="N2161" s="16"/>
      <c r="O2161" s="17"/>
      <c r="P2161" s="17"/>
      <c r="Q2161" s="22"/>
      <c r="R2161" s="23"/>
    </row>
    <row r="2162" spans="1:18" ht="12.75">
      <c r="A2162" s="22"/>
      <c r="D2162" s="19"/>
      <c r="H2162" s="18"/>
      <c r="J2162" s="18"/>
      <c r="N2162" s="16"/>
      <c r="O2162" s="17"/>
      <c r="P2162" s="17"/>
      <c r="Q2162" s="22"/>
      <c r="R2162" s="23"/>
    </row>
    <row r="2163" spans="1:18" ht="12.75">
      <c r="A2163" s="22"/>
      <c r="D2163" s="19"/>
      <c r="H2163" s="18"/>
      <c r="J2163" s="18"/>
      <c r="N2163" s="16"/>
      <c r="O2163" s="17"/>
      <c r="P2163" s="17"/>
      <c r="Q2163" s="22"/>
      <c r="R2163" s="23"/>
    </row>
    <row r="2164" spans="1:18" ht="12.75">
      <c r="A2164" s="22"/>
      <c r="D2164" s="19"/>
      <c r="H2164" s="18"/>
      <c r="J2164" s="18"/>
      <c r="N2164" s="16"/>
      <c r="O2164" s="17"/>
      <c r="P2164" s="17"/>
      <c r="Q2164" s="22"/>
      <c r="R2164" s="23"/>
    </row>
    <row r="2165" spans="1:18" ht="12.75">
      <c r="A2165" s="22"/>
      <c r="D2165" s="19"/>
      <c r="H2165" s="18"/>
      <c r="J2165" s="18"/>
      <c r="N2165" s="16"/>
      <c r="O2165" s="17"/>
      <c r="P2165" s="17"/>
      <c r="Q2165" s="22"/>
      <c r="R2165" s="23"/>
    </row>
    <row r="2166" spans="1:18" ht="12.75">
      <c r="A2166" s="22"/>
      <c r="D2166" s="19"/>
      <c r="H2166" s="18"/>
      <c r="J2166" s="18"/>
      <c r="N2166" s="16"/>
      <c r="O2166" s="17"/>
      <c r="P2166" s="17"/>
      <c r="Q2166" s="22"/>
      <c r="R2166" s="23"/>
    </row>
    <row r="2167" spans="1:18" ht="12.75">
      <c r="A2167" s="22"/>
      <c r="D2167" s="19"/>
      <c r="H2167" s="18"/>
      <c r="J2167" s="18"/>
      <c r="N2167" s="16"/>
      <c r="O2167" s="17"/>
      <c r="P2167" s="17"/>
      <c r="Q2167" s="22"/>
      <c r="R2167" s="23"/>
    </row>
    <row r="2168" spans="1:18" ht="12.75">
      <c r="A2168" s="22"/>
      <c r="D2168" s="19"/>
      <c r="H2168" s="18"/>
      <c r="J2168" s="18"/>
      <c r="N2168" s="16"/>
      <c r="O2168" s="17"/>
      <c r="P2168" s="17"/>
      <c r="Q2168" s="22"/>
      <c r="R2168" s="23"/>
    </row>
    <row r="2169" spans="1:18" ht="12.75">
      <c r="A2169" s="22"/>
      <c r="D2169" s="19"/>
      <c r="H2169" s="18"/>
      <c r="J2169" s="18"/>
      <c r="N2169" s="16"/>
      <c r="O2169" s="17"/>
      <c r="P2169" s="17"/>
      <c r="Q2169" s="22"/>
      <c r="R2169" s="23"/>
    </row>
    <row r="2170" spans="1:18" ht="12.75">
      <c r="A2170" s="22"/>
      <c r="D2170" s="19"/>
      <c r="H2170" s="18"/>
      <c r="J2170" s="18"/>
      <c r="N2170" s="16"/>
      <c r="O2170" s="17"/>
      <c r="P2170" s="17"/>
      <c r="Q2170" s="22"/>
      <c r="R2170" s="23"/>
    </row>
    <row r="2171" spans="1:18" ht="12.75">
      <c r="A2171" s="22"/>
      <c r="D2171" s="19"/>
      <c r="H2171" s="18"/>
      <c r="J2171" s="18"/>
      <c r="N2171" s="16"/>
      <c r="O2171" s="17"/>
      <c r="P2171" s="17"/>
      <c r="Q2171" s="22"/>
      <c r="R2171" s="23"/>
    </row>
    <row r="2172" spans="1:18" ht="12.75">
      <c r="A2172" s="22"/>
      <c r="D2172" s="19"/>
      <c r="H2172" s="18"/>
      <c r="J2172" s="18"/>
      <c r="N2172" s="16"/>
      <c r="O2172" s="17"/>
      <c r="P2172" s="17"/>
      <c r="Q2172" s="22"/>
      <c r="R2172" s="23"/>
    </row>
    <row r="2173" spans="1:18" ht="12.75">
      <c r="A2173" s="22"/>
      <c r="D2173" s="19"/>
      <c r="H2173" s="18"/>
      <c r="J2173" s="18"/>
      <c r="N2173" s="16"/>
      <c r="O2173" s="17"/>
      <c r="P2173" s="17"/>
      <c r="Q2173" s="22"/>
      <c r="R2173" s="23"/>
    </row>
    <row r="2174" spans="1:18" ht="12.75">
      <c r="A2174" s="22"/>
      <c r="D2174" s="19"/>
      <c r="H2174" s="18"/>
      <c r="J2174" s="18"/>
      <c r="N2174" s="16"/>
      <c r="O2174" s="17"/>
      <c r="P2174" s="17"/>
      <c r="Q2174" s="22"/>
      <c r="R2174" s="23"/>
    </row>
    <row r="2175" spans="1:18" ht="12.75">
      <c r="A2175" s="22"/>
      <c r="D2175" s="19"/>
      <c r="H2175" s="18"/>
      <c r="J2175" s="18"/>
      <c r="N2175" s="16"/>
      <c r="O2175" s="17"/>
      <c r="P2175" s="17"/>
      <c r="Q2175" s="22"/>
      <c r="R2175" s="23"/>
    </row>
    <row r="2176" spans="1:18" ht="12.75">
      <c r="A2176" s="22"/>
      <c r="D2176" s="19"/>
      <c r="H2176" s="18"/>
      <c r="J2176" s="18"/>
      <c r="N2176" s="16"/>
      <c r="O2176" s="17"/>
      <c r="P2176" s="17"/>
      <c r="Q2176" s="22"/>
      <c r="R2176" s="23"/>
    </row>
    <row r="2177" spans="1:18" ht="12.75">
      <c r="A2177" s="22"/>
      <c r="D2177" s="19"/>
      <c r="H2177" s="18"/>
      <c r="J2177" s="18"/>
      <c r="N2177" s="16"/>
      <c r="O2177" s="17"/>
      <c r="P2177" s="17"/>
      <c r="Q2177" s="22"/>
      <c r="R2177" s="23"/>
    </row>
    <row r="2178" spans="1:18" ht="12.75">
      <c r="A2178" s="22"/>
      <c r="D2178" s="19"/>
      <c r="H2178" s="18"/>
      <c r="J2178" s="18"/>
      <c r="N2178" s="16"/>
      <c r="O2178" s="17"/>
      <c r="P2178" s="17"/>
      <c r="Q2178" s="22"/>
      <c r="R2178" s="23"/>
    </row>
    <row r="2179" spans="1:18" ht="12.75">
      <c r="A2179" s="22"/>
      <c r="D2179" s="19"/>
      <c r="H2179" s="18"/>
      <c r="J2179" s="18"/>
      <c r="N2179" s="16"/>
      <c r="O2179" s="17"/>
      <c r="P2179" s="17"/>
      <c r="Q2179" s="22"/>
      <c r="R2179" s="23"/>
    </row>
    <row r="2180" spans="1:18" ht="12.75">
      <c r="A2180" s="22"/>
      <c r="D2180" s="19"/>
      <c r="H2180" s="18"/>
      <c r="J2180" s="18"/>
      <c r="N2180" s="16"/>
      <c r="O2180" s="17"/>
      <c r="P2180" s="17"/>
      <c r="Q2180" s="22"/>
      <c r="R2180" s="23"/>
    </row>
    <row r="2181" spans="1:18" ht="12.75">
      <c r="A2181" s="22"/>
      <c r="D2181" s="19"/>
      <c r="H2181" s="18"/>
      <c r="J2181" s="18"/>
      <c r="N2181" s="16"/>
      <c r="O2181" s="17"/>
      <c r="P2181" s="17"/>
      <c r="Q2181" s="22"/>
      <c r="R2181" s="23"/>
    </row>
    <row r="2182" spans="1:18" ht="12.75">
      <c r="A2182" s="22"/>
      <c r="D2182" s="19"/>
      <c r="H2182" s="18"/>
      <c r="J2182" s="18"/>
      <c r="N2182" s="16"/>
      <c r="O2182" s="17"/>
      <c r="P2182" s="17"/>
      <c r="Q2182" s="22"/>
      <c r="R2182" s="23"/>
    </row>
    <row r="2183" spans="1:18" ht="12.75">
      <c r="A2183" s="22"/>
      <c r="D2183" s="19"/>
      <c r="H2183" s="18"/>
      <c r="J2183" s="18"/>
      <c r="N2183" s="16"/>
      <c r="O2183" s="17"/>
      <c r="P2183" s="17"/>
      <c r="Q2183" s="22"/>
      <c r="R2183" s="23"/>
    </row>
    <row r="2184" spans="1:18" ht="12.75">
      <c r="A2184" s="22"/>
      <c r="D2184" s="19"/>
      <c r="H2184" s="18"/>
      <c r="J2184" s="18"/>
      <c r="N2184" s="16"/>
      <c r="O2184" s="17"/>
      <c r="P2184" s="17"/>
      <c r="Q2184" s="22"/>
      <c r="R2184" s="23"/>
    </row>
    <row r="2185" spans="1:18" ht="12.75">
      <c r="A2185" s="22"/>
      <c r="D2185" s="19"/>
      <c r="H2185" s="18"/>
      <c r="J2185" s="18"/>
      <c r="N2185" s="16"/>
      <c r="O2185" s="17"/>
      <c r="P2185" s="17"/>
      <c r="Q2185" s="22"/>
      <c r="R2185" s="23"/>
    </row>
    <row r="2186" spans="1:18" ht="12.75">
      <c r="A2186" s="22"/>
      <c r="D2186" s="19"/>
      <c r="H2186" s="18"/>
      <c r="J2186" s="18"/>
      <c r="N2186" s="16"/>
      <c r="O2186" s="17"/>
      <c r="P2186" s="17"/>
      <c r="Q2186" s="22"/>
      <c r="R2186" s="23"/>
    </row>
    <row r="2187" spans="1:18" ht="12.75">
      <c r="A2187" s="22"/>
      <c r="D2187" s="19"/>
      <c r="H2187" s="18"/>
      <c r="J2187" s="18"/>
      <c r="N2187" s="16"/>
      <c r="O2187" s="17"/>
      <c r="P2187" s="17"/>
      <c r="Q2187" s="22"/>
      <c r="R2187" s="23"/>
    </row>
    <row r="2188" spans="1:18" ht="12.75">
      <c r="A2188" s="22"/>
      <c r="D2188" s="19"/>
      <c r="H2188" s="18"/>
      <c r="J2188" s="18"/>
      <c r="N2188" s="16"/>
      <c r="O2188" s="17"/>
      <c r="P2188" s="17"/>
      <c r="Q2188" s="22"/>
      <c r="R2188" s="23"/>
    </row>
    <row r="2189" spans="1:18" ht="12.75">
      <c r="A2189" s="22"/>
      <c r="D2189" s="19"/>
      <c r="H2189" s="18"/>
      <c r="J2189" s="18"/>
      <c r="N2189" s="16"/>
      <c r="O2189" s="17"/>
      <c r="P2189" s="17"/>
      <c r="Q2189" s="22"/>
      <c r="R2189" s="23"/>
    </row>
    <row r="2190" spans="1:18" ht="12.75">
      <c r="A2190" s="22"/>
      <c r="D2190" s="19"/>
      <c r="H2190" s="18"/>
      <c r="J2190" s="18"/>
      <c r="N2190" s="16"/>
      <c r="O2190" s="17"/>
      <c r="P2190" s="17"/>
      <c r="Q2190" s="22"/>
      <c r="R2190" s="23"/>
    </row>
    <row r="2191" spans="1:18" ht="12.75">
      <c r="A2191" s="22"/>
      <c r="D2191" s="19"/>
      <c r="H2191" s="18"/>
      <c r="J2191" s="18"/>
      <c r="N2191" s="16"/>
      <c r="O2191" s="17"/>
      <c r="P2191" s="17"/>
      <c r="Q2191" s="22"/>
      <c r="R2191" s="23"/>
    </row>
    <row r="2192" spans="1:18" ht="12.75">
      <c r="A2192" s="22"/>
      <c r="D2192" s="19"/>
      <c r="H2192" s="18"/>
      <c r="J2192" s="18"/>
      <c r="N2192" s="16"/>
      <c r="O2192" s="17"/>
      <c r="P2192" s="17"/>
      <c r="Q2192" s="22"/>
      <c r="R2192" s="23"/>
    </row>
    <row r="2193" spans="1:18" ht="12.75">
      <c r="A2193" s="22"/>
      <c r="D2193" s="19"/>
      <c r="H2193" s="18"/>
      <c r="J2193" s="18"/>
      <c r="N2193" s="16"/>
      <c r="O2193" s="17"/>
      <c r="P2193" s="17"/>
      <c r="Q2193" s="22"/>
      <c r="R2193" s="23"/>
    </row>
    <row r="2194" spans="1:18" ht="12.75">
      <c r="A2194" s="22"/>
      <c r="D2194" s="19"/>
      <c r="H2194" s="18"/>
      <c r="J2194" s="18"/>
      <c r="N2194" s="16"/>
      <c r="O2194" s="17"/>
      <c r="P2194" s="17"/>
      <c r="Q2194" s="22"/>
      <c r="R2194" s="23"/>
    </row>
    <row r="2195" spans="1:18" ht="12.75">
      <c r="A2195" s="22"/>
      <c r="D2195" s="19"/>
      <c r="H2195" s="18"/>
      <c r="J2195" s="18"/>
      <c r="N2195" s="16"/>
      <c r="O2195" s="17"/>
      <c r="P2195" s="17"/>
      <c r="Q2195" s="22"/>
      <c r="R2195" s="23"/>
    </row>
    <row r="2196" spans="1:18" ht="12.75">
      <c r="A2196" s="22"/>
      <c r="D2196" s="19"/>
      <c r="H2196" s="18"/>
      <c r="J2196" s="18"/>
      <c r="N2196" s="16"/>
      <c r="O2196" s="17"/>
      <c r="P2196" s="17"/>
      <c r="Q2196" s="22"/>
      <c r="R2196" s="23"/>
    </row>
    <row r="2197" spans="1:18" ht="12.75">
      <c r="A2197" s="22"/>
      <c r="D2197" s="19"/>
      <c r="H2197" s="18"/>
      <c r="J2197" s="18"/>
      <c r="N2197" s="16"/>
      <c r="O2197" s="17"/>
      <c r="P2197" s="17"/>
      <c r="Q2197" s="22"/>
      <c r="R2197" s="23"/>
    </row>
    <row r="2198" spans="1:18" ht="12.75">
      <c r="A2198" s="22"/>
      <c r="D2198" s="19"/>
      <c r="H2198" s="18"/>
      <c r="J2198" s="18"/>
      <c r="N2198" s="16"/>
      <c r="O2198" s="17"/>
      <c r="P2198" s="17"/>
      <c r="Q2198" s="22"/>
      <c r="R2198" s="23"/>
    </row>
    <row r="2199" spans="1:18" ht="12.75">
      <c r="A2199" s="22"/>
      <c r="D2199" s="19"/>
      <c r="H2199" s="18"/>
      <c r="J2199" s="18"/>
      <c r="N2199" s="16"/>
      <c r="O2199" s="17"/>
      <c r="P2199" s="17"/>
      <c r="Q2199" s="22"/>
      <c r="R2199" s="23"/>
    </row>
    <row r="2200" spans="1:18" ht="12.75">
      <c r="A2200" s="22"/>
      <c r="D2200" s="19"/>
      <c r="H2200" s="18"/>
      <c r="J2200" s="18"/>
      <c r="N2200" s="16"/>
      <c r="O2200" s="17"/>
      <c r="P2200" s="17"/>
      <c r="Q2200" s="22"/>
      <c r="R2200" s="23"/>
    </row>
    <row r="2201" spans="1:18" ht="12.75">
      <c r="A2201" s="22"/>
      <c r="D2201" s="19"/>
      <c r="H2201" s="18"/>
      <c r="J2201" s="18"/>
      <c r="N2201" s="16"/>
      <c r="O2201" s="17"/>
      <c r="P2201" s="17"/>
      <c r="Q2201" s="22"/>
      <c r="R2201" s="23"/>
    </row>
    <row r="2202" spans="1:18" ht="12.75">
      <c r="A2202" s="22"/>
      <c r="D2202" s="19"/>
      <c r="H2202" s="18"/>
      <c r="J2202" s="18"/>
      <c r="N2202" s="16"/>
      <c r="O2202" s="17"/>
      <c r="P2202" s="17"/>
      <c r="Q2202" s="22"/>
      <c r="R2202" s="23"/>
    </row>
    <row r="2203" spans="1:18" ht="12.75">
      <c r="A2203" s="22"/>
      <c r="D2203" s="19"/>
      <c r="H2203" s="18"/>
      <c r="J2203" s="18"/>
      <c r="N2203" s="16"/>
      <c r="O2203" s="17"/>
      <c r="P2203" s="17"/>
      <c r="Q2203" s="22"/>
      <c r="R2203" s="23"/>
    </row>
    <row r="2204" spans="1:18" ht="12.75">
      <c r="A2204" s="22"/>
      <c r="D2204" s="19"/>
      <c r="H2204" s="18"/>
      <c r="J2204" s="18"/>
      <c r="N2204" s="16"/>
      <c r="O2204" s="17"/>
      <c r="P2204" s="17"/>
      <c r="Q2204" s="22"/>
      <c r="R2204" s="23"/>
    </row>
    <row r="2205" spans="1:18" ht="12.75">
      <c r="A2205" s="22"/>
      <c r="D2205" s="19"/>
      <c r="H2205" s="18"/>
      <c r="J2205" s="18"/>
      <c r="N2205" s="16"/>
      <c r="O2205" s="17"/>
      <c r="P2205" s="17"/>
      <c r="Q2205" s="22"/>
      <c r="R2205" s="23"/>
    </row>
    <row r="2206" spans="1:18" ht="12.75">
      <c r="A2206" s="22"/>
      <c r="D2206" s="19"/>
      <c r="H2206" s="18"/>
      <c r="J2206" s="18"/>
      <c r="N2206" s="16"/>
      <c r="O2206" s="17"/>
      <c r="P2206" s="17"/>
      <c r="Q2206" s="22"/>
      <c r="R2206" s="23"/>
    </row>
    <row r="2207" spans="1:18" ht="12.75">
      <c r="A2207" s="22"/>
      <c r="D2207" s="19"/>
      <c r="H2207" s="18"/>
      <c r="J2207" s="18"/>
      <c r="N2207" s="16"/>
      <c r="O2207" s="17"/>
      <c r="P2207" s="17"/>
      <c r="Q2207" s="22"/>
      <c r="R2207" s="23"/>
    </row>
    <row r="2208" spans="1:18" ht="12.75">
      <c r="A2208" s="22"/>
      <c r="D2208" s="19"/>
      <c r="H2208" s="18"/>
      <c r="J2208" s="18"/>
      <c r="N2208" s="16"/>
      <c r="O2208" s="17"/>
      <c r="P2208" s="17"/>
      <c r="Q2208" s="22"/>
      <c r="R2208" s="23"/>
    </row>
    <row r="2209" spans="1:18" ht="12.75">
      <c r="A2209" s="22"/>
      <c r="D2209" s="19"/>
      <c r="H2209" s="18"/>
      <c r="J2209" s="18"/>
      <c r="N2209" s="16"/>
      <c r="O2209" s="17"/>
      <c r="P2209" s="17"/>
      <c r="Q2209" s="22"/>
      <c r="R2209" s="23"/>
    </row>
    <row r="2210" spans="1:18" ht="12.75">
      <c r="A2210" s="22"/>
      <c r="D2210" s="19"/>
      <c r="H2210" s="18"/>
      <c r="J2210" s="18"/>
      <c r="N2210" s="16"/>
      <c r="O2210" s="17"/>
      <c r="P2210" s="17"/>
      <c r="Q2210" s="22"/>
      <c r="R2210" s="23"/>
    </row>
    <row r="2211" spans="1:18" ht="12.75">
      <c r="A2211" s="22"/>
      <c r="D2211" s="19"/>
      <c r="H2211" s="18"/>
      <c r="J2211" s="18"/>
      <c r="N2211" s="16"/>
      <c r="O2211" s="17"/>
      <c r="P2211" s="17"/>
      <c r="Q2211" s="22"/>
      <c r="R2211" s="23"/>
    </row>
    <row r="2212" spans="1:18" ht="12.75">
      <c r="A2212" s="22"/>
      <c r="D2212" s="19"/>
      <c r="H2212" s="18"/>
      <c r="J2212" s="18"/>
      <c r="N2212" s="16"/>
      <c r="O2212" s="17"/>
      <c r="P2212" s="17"/>
      <c r="Q2212" s="22"/>
      <c r="R2212" s="23"/>
    </row>
    <row r="2213" spans="1:18" ht="12.75">
      <c r="A2213" s="22"/>
      <c r="D2213" s="19"/>
      <c r="H2213" s="18"/>
      <c r="J2213" s="18"/>
      <c r="N2213" s="16"/>
      <c r="O2213" s="17"/>
      <c r="P2213" s="17"/>
      <c r="Q2213" s="22"/>
      <c r="R2213" s="23"/>
    </row>
    <row r="2214" spans="1:18" ht="12.75">
      <c r="A2214" s="22"/>
      <c r="D2214" s="19"/>
      <c r="H2214" s="18"/>
      <c r="J2214" s="18"/>
      <c r="N2214" s="16"/>
      <c r="O2214" s="17"/>
      <c r="P2214" s="17"/>
      <c r="Q2214" s="22"/>
      <c r="R2214" s="23"/>
    </row>
    <row r="2215" spans="1:18" ht="12.75">
      <c r="A2215" s="22"/>
      <c r="D2215" s="19"/>
      <c r="H2215" s="18"/>
      <c r="J2215" s="18"/>
      <c r="N2215" s="16"/>
      <c r="O2215" s="17"/>
      <c r="P2215" s="17"/>
      <c r="Q2215" s="22"/>
      <c r="R2215" s="23"/>
    </row>
    <row r="2216" spans="1:18" ht="12.75">
      <c r="A2216" s="22"/>
      <c r="D2216" s="19"/>
      <c r="H2216" s="18"/>
      <c r="J2216" s="18"/>
      <c r="N2216" s="16"/>
      <c r="O2216" s="17"/>
      <c r="P2216" s="17"/>
      <c r="Q2216" s="22"/>
      <c r="R2216" s="23"/>
    </row>
    <row r="2217" spans="1:18" ht="12.75">
      <c r="A2217" s="22"/>
      <c r="D2217" s="19"/>
      <c r="H2217" s="18"/>
      <c r="J2217" s="18"/>
      <c r="N2217" s="16"/>
      <c r="O2217" s="17"/>
      <c r="P2217" s="17"/>
      <c r="Q2217" s="22"/>
      <c r="R2217" s="23"/>
    </row>
    <row r="2218" spans="1:18" ht="12.75">
      <c r="A2218" s="22"/>
      <c r="D2218" s="19"/>
      <c r="H2218" s="18"/>
      <c r="J2218" s="18"/>
      <c r="N2218" s="16"/>
      <c r="O2218" s="17"/>
      <c r="P2218" s="17"/>
      <c r="Q2218" s="22"/>
      <c r="R2218" s="23"/>
    </row>
    <row r="2219" spans="1:18" ht="12.75">
      <c r="A2219" s="22"/>
      <c r="D2219" s="19"/>
      <c r="H2219" s="18"/>
      <c r="J2219" s="18"/>
      <c r="N2219" s="16"/>
      <c r="O2219" s="17"/>
      <c r="P2219" s="17"/>
      <c r="Q2219" s="22"/>
      <c r="R2219" s="23"/>
    </row>
    <row r="2220" spans="1:18" ht="12.75">
      <c r="A2220" s="22"/>
      <c r="D2220" s="19"/>
      <c r="H2220" s="18"/>
      <c r="J2220" s="18"/>
      <c r="N2220" s="16"/>
      <c r="O2220" s="17"/>
      <c r="P2220" s="17"/>
      <c r="Q2220" s="22"/>
      <c r="R2220" s="23"/>
    </row>
    <row r="2221" spans="1:18" ht="12.75">
      <c r="A2221" s="22"/>
      <c r="D2221" s="19"/>
      <c r="H2221" s="18"/>
      <c r="J2221" s="18"/>
      <c r="N2221" s="16"/>
      <c r="O2221" s="17"/>
      <c r="P2221" s="17"/>
      <c r="Q2221" s="22"/>
      <c r="R2221" s="23"/>
    </row>
    <row r="2222" spans="1:18" ht="12.75">
      <c r="A2222" s="22"/>
      <c r="D2222" s="19"/>
      <c r="H2222" s="18"/>
      <c r="J2222" s="18"/>
      <c r="N2222" s="16"/>
      <c r="O2222" s="17"/>
      <c r="P2222" s="17"/>
      <c r="Q2222" s="22"/>
      <c r="R2222" s="23"/>
    </row>
    <row r="2223" spans="1:18" ht="12.75">
      <c r="A2223" s="22"/>
      <c r="D2223" s="19"/>
      <c r="H2223" s="18"/>
      <c r="J2223" s="18"/>
      <c r="N2223" s="16"/>
      <c r="O2223" s="17"/>
      <c r="P2223" s="17"/>
      <c r="Q2223" s="22"/>
      <c r="R2223" s="23"/>
    </row>
    <row r="2224" spans="1:18" ht="12.75">
      <c r="A2224" s="22"/>
      <c r="D2224" s="19"/>
      <c r="H2224" s="18"/>
      <c r="J2224" s="18"/>
      <c r="N2224" s="16"/>
      <c r="O2224" s="17"/>
      <c r="P2224" s="17"/>
      <c r="Q2224" s="22"/>
      <c r="R2224" s="23"/>
    </row>
    <row r="2225" spans="1:18" ht="12.75">
      <c r="A2225" s="22"/>
      <c r="D2225" s="19"/>
      <c r="H2225" s="18"/>
      <c r="J2225" s="18"/>
      <c r="N2225" s="16"/>
      <c r="O2225" s="17"/>
      <c r="P2225" s="17"/>
      <c r="Q2225" s="22"/>
      <c r="R2225" s="23"/>
    </row>
    <row r="2226" spans="1:18" ht="12.75">
      <c r="A2226" s="22"/>
      <c r="D2226" s="19"/>
      <c r="H2226" s="18"/>
      <c r="J2226" s="18"/>
      <c r="N2226" s="16"/>
      <c r="O2226" s="17"/>
      <c r="P2226" s="17"/>
      <c r="Q2226" s="22"/>
      <c r="R2226" s="23"/>
    </row>
    <row r="2227" spans="1:18" ht="12.75">
      <c r="A2227" s="22"/>
      <c r="D2227" s="19"/>
      <c r="H2227" s="18"/>
      <c r="J2227" s="18"/>
      <c r="N2227" s="16"/>
      <c r="O2227" s="17"/>
      <c r="P2227" s="17"/>
      <c r="Q2227" s="22"/>
      <c r="R2227" s="23"/>
    </row>
    <row r="2228" spans="1:18" ht="12.75">
      <c r="A2228" s="22"/>
      <c r="D2228" s="19"/>
      <c r="H2228" s="18"/>
      <c r="J2228" s="18"/>
      <c r="N2228" s="16"/>
      <c r="O2228" s="17"/>
      <c r="P2228" s="17"/>
      <c r="Q2228" s="22"/>
      <c r="R2228" s="23"/>
    </row>
    <row r="2229" spans="1:18" ht="12.75">
      <c r="A2229" s="22"/>
      <c r="D2229" s="19"/>
      <c r="H2229" s="18"/>
      <c r="J2229" s="18"/>
      <c r="N2229" s="16"/>
      <c r="O2229" s="17"/>
      <c r="P2229" s="17"/>
      <c r="Q2229" s="22"/>
      <c r="R2229" s="23"/>
    </row>
    <row r="2230" spans="1:18" ht="12.75">
      <c r="A2230" s="22"/>
      <c r="D2230" s="19"/>
      <c r="H2230" s="18"/>
      <c r="J2230" s="18"/>
      <c r="N2230" s="16"/>
      <c r="O2230" s="17"/>
      <c r="P2230" s="17"/>
      <c r="Q2230" s="22"/>
      <c r="R2230" s="23"/>
    </row>
    <row r="2231" spans="1:18" ht="12.75">
      <c r="A2231" s="22"/>
      <c r="D2231" s="19"/>
      <c r="H2231" s="18"/>
      <c r="J2231" s="18"/>
      <c r="N2231" s="16"/>
      <c r="O2231" s="17"/>
      <c r="P2231" s="17"/>
      <c r="Q2231" s="22"/>
      <c r="R2231" s="23"/>
    </row>
    <row r="2232" spans="1:18" ht="12.75">
      <c r="A2232" s="22"/>
      <c r="D2232" s="19"/>
      <c r="H2232" s="18"/>
      <c r="J2232" s="18"/>
      <c r="N2232" s="16"/>
      <c r="O2232" s="17"/>
      <c r="P2232" s="17"/>
      <c r="Q2232" s="22"/>
      <c r="R2232" s="23"/>
    </row>
    <row r="2233" spans="1:18" ht="12.75">
      <c r="A2233" s="22"/>
      <c r="D2233" s="19"/>
      <c r="H2233" s="18"/>
      <c r="J2233" s="18"/>
      <c r="N2233" s="16"/>
      <c r="O2233" s="17"/>
      <c r="P2233" s="17"/>
      <c r="Q2233" s="22"/>
      <c r="R2233" s="23"/>
    </row>
    <row r="2234" spans="1:18" ht="12.75">
      <c r="A2234" s="22"/>
      <c r="D2234" s="19"/>
      <c r="H2234" s="18"/>
      <c r="J2234" s="18"/>
      <c r="N2234" s="16"/>
      <c r="O2234" s="17"/>
      <c r="P2234" s="17"/>
      <c r="Q2234" s="22"/>
      <c r="R2234" s="23"/>
    </row>
    <row r="2235" spans="1:18" ht="12.75">
      <c r="A2235" s="22"/>
      <c r="D2235" s="19"/>
      <c r="H2235" s="18"/>
      <c r="J2235" s="18"/>
      <c r="N2235" s="16"/>
      <c r="O2235" s="17"/>
      <c r="P2235" s="17"/>
      <c r="Q2235" s="22"/>
      <c r="R2235" s="23"/>
    </row>
    <row r="2236" spans="1:18" ht="12.75">
      <c r="A2236" s="22"/>
      <c r="D2236" s="19"/>
      <c r="H2236" s="18"/>
      <c r="J2236" s="18"/>
      <c r="N2236" s="16"/>
      <c r="O2236" s="17"/>
      <c r="P2236" s="17"/>
      <c r="Q2236" s="22"/>
      <c r="R2236" s="23"/>
    </row>
    <row r="2237" spans="1:18" ht="12.75">
      <c r="A2237" s="22"/>
      <c r="D2237" s="19"/>
      <c r="H2237" s="18"/>
      <c r="J2237" s="18"/>
      <c r="N2237" s="16"/>
      <c r="O2237" s="17"/>
      <c r="P2237" s="17"/>
      <c r="Q2237" s="22"/>
      <c r="R2237" s="23"/>
    </row>
    <row r="2238" spans="1:18" ht="12.75">
      <c r="A2238" s="22"/>
      <c r="D2238" s="19"/>
      <c r="H2238" s="18"/>
      <c r="J2238" s="18"/>
      <c r="N2238" s="16"/>
      <c r="O2238" s="17"/>
      <c r="P2238" s="17"/>
      <c r="Q2238" s="22"/>
      <c r="R2238" s="23"/>
    </row>
    <row r="2239" spans="1:18" ht="12.75">
      <c r="A2239" s="22"/>
      <c r="D2239" s="19"/>
      <c r="H2239" s="18"/>
      <c r="J2239" s="18"/>
      <c r="N2239" s="16"/>
      <c r="O2239" s="17"/>
      <c r="P2239" s="17"/>
      <c r="Q2239" s="22"/>
      <c r="R2239" s="23"/>
    </row>
    <row r="2240" spans="1:18" ht="12.75">
      <c r="A2240" s="22"/>
      <c r="D2240" s="19"/>
      <c r="H2240" s="18"/>
      <c r="J2240" s="18"/>
      <c r="N2240" s="16"/>
      <c r="O2240" s="17"/>
      <c r="P2240" s="17"/>
      <c r="Q2240" s="22"/>
      <c r="R2240" s="23"/>
    </row>
    <row r="2241" spans="1:18" ht="12.75">
      <c r="A2241" s="22"/>
      <c r="D2241" s="19"/>
      <c r="H2241" s="18"/>
      <c r="J2241" s="18"/>
      <c r="N2241" s="16"/>
      <c r="O2241" s="17"/>
      <c r="P2241" s="17"/>
      <c r="Q2241" s="22"/>
      <c r="R2241" s="23"/>
    </row>
    <row r="2242" spans="1:18" ht="12.75">
      <c r="A2242" s="22"/>
      <c r="D2242" s="19"/>
      <c r="H2242" s="18"/>
      <c r="J2242" s="18"/>
      <c r="N2242" s="16"/>
      <c r="O2242" s="17"/>
      <c r="P2242" s="17"/>
      <c r="Q2242" s="22"/>
      <c r="R2242" s="23"/>
    </row>
    <row r="2243" spans="1:18" ht="12.75">
      <c r="A2243" s="22"/>
      <c r="D2243" s="19"/>
      <c r="H2243" s="18"/>
      <c r="J2243" s="18"/>
      <c r="N2243" s="16"/>
      <c r="O2243" s="17"/>
      <c r="P2243" s="17"/>
      <c r="Q2243" s="22"/>
      <c r="R2243" s="23"/>
    </row>
    <row r="2244" spans="1:18" ht="12.75">
      <c r="A2244" s="22"/>
      <c r="D2244" s="19"/>
      <c r="H2244" s="18"/>
      <c r="J2244" s="18"/>
      <c r="N2244" s="16"/>
      <c r="O2244" s="17"/>
      <c r="P2244" s="17"/>
      <c r="Q2244" s="22"/>
      <c r="R2244" s="23"/>
    </row>
    <row r="2245" spans="1:18" ht="12.75">
      <c r="A2245" s="22"/>
      <c r="D2245" s="19"/>
      <c r="H2245" s="18"/>
      <c r="J2245" s="18"/>
      <c r="N2245" s="16"/>
      <c r="O2245" s="17"/>
      <c r="P2245" s="17"/>
      <c r="Q2245" s="22"/>
      <c r="R2245" s="23"/>
    </row>
    <row r="2246" spans="1:18" ht="12.75">
      <c r="A2246" s="22"/>
      <c r="D2246" s="19"/>
      <c r="H2246" s="18"/>
      <c r="J2246" s="18"/>
      <c r="N2246" s="16"/>
      <c r="O2246" s="17"/>
      <c r="P2246" s="17"/>
      <c r="Q2246" s="22"/>
      <c r="R2246" s="23"/>
    </row>
    <row r="2247" spans="1:18" ht="12.75">
      <c r="A2247" s="22"/>
      <c r="D2247" s="19"/>
      <c r="H2247" s="18"/>
      <c r="J2247" s="18"/>
      <c r="N2247" s="16"/>
      <c r="O2247" s="17"/>
      <c r="P2247" s="17"/>
      <c r="Q2247" s="22"/>
      <c r="R2247" s="23"/>
    </row>
    <row r="2248" spans="1:18" ht="12.75">
      <c r="A2248" s="22"/>
      <c r="D2248" s="19"/>
      <c r="H2248" s="18"/>
      <c r="J2248" s="18"/>
      <c r="N2248" s="16"/>
      <c r="O2248" s="17"/>
      <c r="P2248" s="17"/>
      <c r="Q2248" s="22"/>
      <c r="R2248" s="23"/>
    </row>
    <row r="2249" spans="1:18" ht="12.75">
      <c r="A2249" s="22"/>
      <c r="D2249" s="19"/>
      <c r="H2249" s="18"/>
      <c r="J2249" s="18"/>
      <c r="N2249" s="16"/>
      <c r="O2249" s="17"/>
      <c r="P2249" s="17"/>
      <c r="Q2249" s="22"/>
      <c r="R2249" s="23"/>
    </row>
    <row r="2250" spans="1:18" ht="12.75">
      <c r="A2250" s="22"/>
      <c r="D2250" s="19"/>
      <c r="H2250" s="18"/>
      <c r="J2250" s="18"/>
      <c r="N2250" s="16"/>
      <c r="O2250" s="17"/>
      <c r="P2250" s="17"/>
      <c r="Q2250" s="22"/>
      <c r="R2250" s="23"/>
    </row>
    <row r="2251" spans="1:18" ht="12.75">
      <c r="A2251" s="22"/>
      <c r="D2251" s="19"/>
      <c r="H2251" s="18"/>
      <c r="J2251" s="18"/>
      <c r="N2251" s="16"/>
      <c r="O2251" s="17"/>
      <c r="P2251" s="17"/>
      <c r="Q2251" s="22"/>
      <c r="R2251" s="23"/>
    </row>
    <row r="2252" spans="1:18" ht="12.75">
      <c r="A2252" s="22"/>
      <c r="D2252" s="19"/>
      <c r="H2252" s="18"/>
      <c r="J2252" s="18"/>
      <c r="N2252" s="16"/>
      <c r="O2252" s="17"/>
      <c r="P2252" s="17"/>
      <c r="Q2252" s="22"/>
      <c r="R2252" s="23"/>
    </row>
    <row r="2253" spans="1:18" ht="12.75">
      <c r="A2253" s="22"/>
      <c r="D2253" s="19"/>
      <c r="H2253" s="18"/>
      <c r="J2253" s="18"/>
      <c r="N2253" s="16"/>
      <c r="O2253" s="17"/>
      <c r="P2253" s="17"/>
      <c r="Q2253" s="22"/>
      <c r="R2253" s="23"/>
    </row>
    <row r="2254" spans="1:18" ht="12.75">
      <c r="A2254" s="22"/>
      <c r="D2254" s="19"/>
      <c r="H2254" s="18"/>
      <c r="J2254" s="18"/>
      <c r="N2254" s="16"/>
      <c r="O2254" s="17"/>
      <c r="P2254" s="17"/>
      <c r="Q2254" s="22"/>
      <c r="R2254" s="23"/>
    </row>
    <row r="2255" spans="1:18" ht="12.75">
      <c r="A2255" s="22"/>
      <c r="D2255" s="19"/>
      <c r="H2255" s="18"/>
      <c r="J2255" s="18"/>
      <c r="N2255" s="16"/>
      <c r="O2255" s="17"/>
      <c r="P2255" s="17"/>
      <c r="Q2255" s="22"/>
      <c r="R2255" s="23"/>
    </row>
    <row r="2256" spans="1:18" ht="12.75">
      <c r="A2256" s="22"/>
      <c r="D2256" s="19"/>
      <c r="H2256" s="18"/>
      <c r="J2256" s="18"/>
      <c r="N2256" s="16"/>
      <c r="O2256" s="17"/>
      <c r="P2256" s="17"/>
      <c r="Q2256" s="22"/>
      <c r="R2256" s="23"/>
    </row>
    <row r="2257" spans="1:18" ht="12.75">
      <c r="A2257" s="22"/>
      <c r="D2257" s="19"/>
      <c r="H2257" s="18"/>
      <c r="J2257" s="18"/>
      <c r="N2257" s="16"/>
      <c r="O2257" s="17"/>
      <c r="P2257" s="17"/>
      <c r="Q2257" s="22"/>
      <c r="R2257" s="23"/>
    </row>
    <row r="2258" spans="1:18" ht="12.75">
      <c r="A2258" s="22"/>
      <c r="D2258" s="19"/>
      <c r="H2258" s="18"/>
      <c r="J2258" s="18"/>
      <c r="N2258" s="16"/>
      <c r="O2258" s="17"/>
      <c r="P2258" s="17"/>
      <c r="Q2258" s="22"/>
      <c r="R2258" s="23"/>
    </row>
    <row r="2259" spans="1:18" ht="12.75">
      <c r="A2259" s="22"/>
      <c r="D2259" s="19"/>
      <c r="H2259" s="18"/>
      <c r="J2259" s="18"/>
      <c r="N2259" s="16"/>
      <c r="O2259" s="17"/>
      <c r="P2259" s="17"/>
      <c r="Q2259" s="22"/>
      <c r="R2259" s="23"/>
    </row>
    <row r="2260" spans="1:18" ht="12.75">
      <c r="A2260" s="22"/>
      <c r="D2260" s="19"/>
      <c r="H2260" s="18"/>
      <c r="J2260" s="18"/>
      <c r="N2260" s="16"/>
      <c r="O2260" s="17"/>
      <c r="P2260" s="17"/>
      <c r="Q2260" s="22"/>
      <c r="R2260" s="23"/>
    </row>
    <row r="2261" spans="1:18" ht="12.75">
      <c r="A2261" s="22"/>
      <c r="D2261" s="19"/>
      <c r="H2261" s="18"/>
      <c r="J2261" s="18"/>
      <c r="N2261" s="16"/>
      <c r="O2261" s="17"/>
      <c r="P2261" s="17"/>
      <c r="Q2261" s="22"/>
      <c r="R2261" s="23"/>
    </row>
    <row r="2262" spans="1:18" ht="12.75">
      <c r="A2262" s="22"/>
      <c r="D2262" s="19"/>
      <c r="H2262" s="18"/>
      <c r="J2262" s="18"/>
      <c r="N2262" s="16"/>
      <c r="O2262" s="17"/>
      <c r="P2262" s="17"/>
      <c r="Q2262" s="22"/>
      <c r="R2262" s="23"/>
    </row>
    <row r="2263" spans="1:18" ht="12.75">
      <c r="A2263" s="22"/>
      <c r="D2263" s="19"/>
      <c r="H2263" s="18"/>
      <c r="J2263" s="18"/>
      <c r="N2263" s="16"/>
      <c r="O2263" s="17"/>
      <c r="P2263" s="17"/>
      <c r="Q2263" s="22"/>
      <c r="R2263" s="23"/>
    </row>
    <row r="2264" spans="1:18" ht="12.75">
      <c r="A2264" s="22"/>
      <c r="D2264" s="19"/>
      <c r="H2264" s="18"/>
      <c r="J2264" s="18"/>
      <c r="N2264" s="16"/>
      <c r="O2264" s="17"/>
      <c r="P2264" s="17"/>
      <c r="Q2264" s="22"/>
      <c r="R2264" s="23"/>
    </row>
    <row r="2265" spans="1:18" ht="12.75">
      <c r="A2265" s="22"/>
      <c r="D2265" s="19"/>
      <c r="H2265" s="18"/>
      <c r="J2265" s="18"/>
      <c r="N2265" s="16"/>
      <c r="O2265" s="17"/>
      <c r="P2265" s="17"/>
      <c r="Q2265" s="22"/>
      <c r="R2265" s="23"/>
    </row>
    <row r="2266" spans="1:18" ht="12.75">
      <c r="A2266" s="22"/>
      <c r="D2266" s="19"/>
      <c r="H2266" s="18"/>
      <c r="J2266" s="18"/>
      <c r="N2266" s="16"/>
      <c r="O2266" s="17"/>
      <c r="P2266" s="17"/>
      <c r="Q2266" s="22"/>
      <c r="R2266" s="23"/>
    </row>
    <row r="2267" spans="1:18" ht="12.75">
      <c r="A2267" s="22"/>
      <c r="D2267" s="19"/>
      <c r="H2267" s="18"/>
      <c r="J2267" s="18"/>
      <c r="N2267" s="16"/>
      <c r="O2267" s="17"/>
      <c r="P2267" s="17"/>
      <c r="Q2267" s="22"/>
      <c r="R2267" s="23"/>
    </row>
    <row r="2268" spans="1:18" ht="12.75">
      <c r="A2268" s="22"/>
      <c r="D2268" s="19"/>
      <c r="H2268" s="18"/>
      <c r="J2268" s="18"/>
      <c r="N2268" s="16"/>
      <c r="O2268" s="17"/>
      <c r="P2268" s="17"/>
      <c r="Q2268" s="22"/>
      <c r="R2268" s="23"/>
    </row>
    <row r="2269" spans="1:18" ht="12.75">
      <c r="A2269" s="22"/>
      <c r="D2269" s="19"/>
      <c r="H2269" s="18"/>
      <c r="J2269" s="18"/>
      <c r="N2269" s="16"/>
      <c r="O2269" s="17"/>
      <c r="P2269" s="17"/>
      <c r="Q2269" s="22"/>
      <c r="R2269" s="23"/>
    </row>
    <row r="2270" spans="1:18" ht="12.75">
      <c r="A2270" s="22"/>
      <c r="D2270" s="19"/>
      <c r="H2270" s="18"/>
      <c r="J2270" s="18"/>
      <c r="N2270" s="16"/>
      <c r="O2270" s="17"/>
      <c r="P2270" s="17"/>
      <c r="Q2270" s="22"/>
      <c r="R2270" s="23"/>
    </row>
    <row r="2271" spans="1:18" ht="12.75">
      <c r="A2271" s="22"/>
      <c r="D2271" s="19"/>
      <c r="H2271" s="18"/>
      <c r="J2271" s="18"/>
      <c r="N2271" s="16"/>
      <c r="O2271" s="17"/>
      <c r="P2271" s="17"/>
      <c r="Q2271" s="22"/>
      <c r="R2271" s="23"/>
    </row>
    <row r="2272" spans="1:18" ht="12.75">
      <c r="A2272" s="22"/>
      <c r="D2272" s="19"/>
      <c r="H2272" s="18"/>
      <c r="J2272" s="18"/>
      <c r="N2272" s="16"/>
      <c r="O2272" s="17"/>
      <c r="P2272" s="17"/>
      <c r="Q2272" s="22"/>
      <c r="R2272" s="23"/>
    </row>
    <row r="2273" spans="1:18" ht="12.75">
      <c r="A2273" s="22"/>
      <c r="D2273" s="19"/>
      <c r="H2273" s="18"/>
      <c r="J2273" s="18"/>
      <c r="N2273" s="16"/>
      <c r="O2273" s="17"/>
      <c r="P2273" s="17"/>
      <c r="Q2273" s="22"/>
      <c r="R2273" s="23"/>
    </row>
    <row r="2274" spans="1:18" ht="12.75">
      <c r="A2274" s="22"/>
      <c r="D2274" s="19"/>
      <c r="H2274" s="18"/>
      <c r="J2274" s="18"/>
      <c r="N2274" s="16"/>
      <c r="O2274" s="17"/>
      <c r="P2274" s="17"/>
      <c r="Q2274" s="22"/>
      <c r="R2274" s="23"/>
    </row>
    <row r="2275" spans="1:18" ht="12.75">
      <c r="A2275" s="22"/>
      <c r="D2275" s="19"/>
      <c r="H2275" s="18"/>
      <c r="J2275" s="18"/>
      <c r="N2275" s="16"/>
      <c r="O2275" s="17"/>
      <c r="P2275" s="17"/>
      <c r="Q2275" s="22"/>
      <c r="R2275" s="23"/>
    </row>
    <row r="2276" spans="1:18" ht="12.75">
      <c r="A2276" s="22"/>
      <c r="D2276" s="19"/>
      <c r="H2276" s="18"/>
      <c r="J2276" s="18"/>
      <c r="N2276" s="16"/>
      <c r="O2276" s="17"/>
      <c r="P2276" s="17"/>
      <c r="Q2276" s="22"/>
      <c r="R2276" s="23"/>
    </row>
    <row r="2277" spans="1:18" ht="12.75">
      <c r="A2277" s="22"/>
      <c r="D2277" s="19"/>
      <c r="H2277" s="18"/>
      <c r="J2277" s="18"/>
      <c r="N2277" s="16"/>
      <c r="O2277" s="17"/>
      <c r="P2277" s="17"/>
      <c r="Q2277" s="22"/>
      <c r="R2277" s="23"/>
    </row>
    <row r="2278" spans="1:18" ht="12.75">
      <c r="A2278" s="22"/>
      <c r="D2278" s="19"/>
      <c r="H2278" s="18"/>
      <c r="J2278" s="18"/>
      <c r="N2278" s="16"/>
      <c r="O2278" s="17"/>
      <c r="P2278" s="17"/>
      <c r="Q2278" s="22"/>
      <c r="R2278" s="23"/>
    </row>
    <row r="2279" spans="1:18" ht="12.75">
      <c r="A2279" s="22"/>
      <c r="D2279" s="19"/>
      <c r="H2279" s="18"/>
      <c r="J2279" s="18"/>
      <c r="N2279" s="16"/>
      <c r="O2279" s="17"/>
      <c r="P2279" s="17"/>
      <c r="Q2279" s="22"/>
      <c r="R2279" s="23"/>
    </row>
    <row r="2280" spans="1:18" ht="12.75">
      <c r="A2280" s="22"/>
      <c r="D2280" s="19"/>
      <c r="H2280" s="18"/>
      <c r="J2280" s="18"/>
      <c r="N2280" s="16"/>
      <c r="O2280" s="17"/>
      <c r="P2280" s="17"/>
      <c r="Q2280" s="22"/>
      <c r="R2280" s="23"/>
    </row>
    <row r="2281" spans="1:18" ht="12.75">
      <c r="A2281" s="22"/>
      <c r="D2281" s="19"/>
      <c r="H2281" s="18"/>
      <c r="J2281" s="18"/>
      <c r="N2281" s="16"/>
      <c r="O2281" s="17"/>
      <c r="P2281" s="17"/>
      <c r="Q2281" s="22"/>
      <c r="R2281" s="23"/>
    </row>
    <row r="2282" spans="1:18" ht="12.75">
      <c r="A2282" s="22"/>
      <c r="D2282" s="19"/>
      <c r="H2282" s="18"/>
      <c r="J2282" s="18"/>
      <c r="N2282" s="16"/>
      <c r="O2282" s="17"/>
      <c r="P2282" s="17"/>
      <c r="Q2282" s="22"/>
      <c r="R2282" s="23"/>
    </row>
    <row r="2283" spans="1:18" ht="12.75">
      <c r="A2283" s="22"/>
      <c r="D2283" s="19"/>
      <c r="H2283" s="18"/>
      <c r="J2283" s="18"/>
      <c r="N2283" s="16"/>
      <c r="O2283" s="17"/>
      <c r="P2283" s="17"/>
      <c r="Q2283" s="22"/>
      <c r="R2283" s="23"/>
    </row>
    <row r="2284" spans="1:18" ht="12.75">
      <c r="A2284" s="22"/>
      <c r="D2284" s="19"/>
      <c r="H2284" s="18"/>
      <c r="J2284" s="18"/>
      <c r="N2284" s="16"/>
      <c r="O2284" s="17"/>
      <c r="P2284" s="17"/>
      <c r="Q2284" s="22"/>
      <c r="R2284" s="23"/>
    </row>
    <row r="2285" spans="1:18" ht="12.75">
      <c r="A2285" s="22"/>
      <c r="D2285" s="19"/>
      <c r="H2285" s="18"/>
      <c r="J2285" s="18"/>
      <c r="N2285" s="16"/>
      <c r="O2285" s="17"/>
      <c r="P2285" s="17"/>
      <c r="Q2285" s="22"/>
      <c r="R2285" s="23"/>
    </row>
    <row r="2286" spans="1:18" ht="12.75">
      <c r="A2286" s="22"/>
      <c r="D2286" s="19"/>
      <c r="H2286" s="18"/>
      <c r="J2286" s="18"/>
      <c r="N2286" s="16"/>
      <c r="O2286" s="17"/>
      <c r="P2286" s="17"/>
      <c r="Q2286" s="22"/>
      <c r="R2286" s="23"/>
    </row>
    <row r="2287" spans="1:18" ht="12.75">
      <c r="A2287" s="22"/>
      <c r="D2287" s="19"/>
      <c r="H2287" s="18"/>
      <c r="J2287" s="18"/>
      <c r="N2287" s="16"/>
      <c r="O2287" s="17"/>
      <c r="P2287" s="17"/>
      <c r="Q2287" s="22"/>
      <c r="R2287" s="23"/>
    </row>
    <row r="2288" spans="1:18" ht="12.75">
      <c r="A2288" s="22"/>
      <c r="D2288" s="19"/>
      <c r="H2288" s="18"/>
      <c r="J2288" s="18"/>
      <c r="N2288" s="16"/>
      <c r="O2288" s="17"/>
      <c r="P2288" s="17"/>
      <c r="Q2288" s="22"/>
      <c r="R2288" s="23"/>
    </row>
    <row r="2289" spans="1:18" ht="12.75">
      <c r="A2289" s="22"/>
      <c r="D2289" s="19"/>
      <c r="H2289" s="18"/>
      <c r="J2289" s="18"/>
      <c r="N2289" s="16"/>
      <c r="O2289" s="17"/>
      <c r="P2289" s="17"/>
      <c r="Q2289" s="22"/>
      <c r="R2289" s="23"/>
    </row>
    <row r="2290" spans="1:18" ht="12.75">
      <c r="A2290" s="22"/>
      <c r="D2290" s="19"/>
      <c r="H2290" s="18"/>
      <c r="J2290" s="18"/>
      <c r="N2290" s="16"/>
      <c r="O2290" s="17"/>
      <c r="P2290" s="17"/>
      <c r="Q2290" s="22"/>
      <c r="R2290" s="23"/>
    </row>
    <row r="2291" spans="1:18" ht="12.75">
      <c r="A2291" s="22"/>
      <c r="D2291" s="19"/>
      <c r="H2291" s="18"/>
      <c r="J2291" s="18"/>
      <c r="N2291" s="16"/>
      <c r="O2291" s="17"/>
      <c r="P2291" s="17"/>
      <c r="Q2291" s="22"/>
      <c r="R2291" s="23"/>
    </row>
    <row r="2292" spans="1:18" ht="12.75">
      <c r="A2292" s="22"/>
      <c r="D2292" s="19"/>
      <c r="H2292" s="18"/>
      <c r="J2292" s="18"/>
      <c r="N2292" s="16"/>
      <c r="O2292" s="17"/>
      <c r="P2292" s="17"/>
      <c r="Q2292" s="22"/>
      <c r="R2292" s="23"/>
    </row>
    <row r="2293" spans="1:18" ht="12.75">
      <c r="A2293" s="22"/>
      <c r="D2293" s="19"/>
      <c r="H2293" s="18"/>
      <c r="J2293" s="18"/>
      <c r="N2293" s="16"/>
      <c r="O2293" s="17"/>
      <c r="P2293" s="17"/>
      <c r="Q2293" s="22"/>
      <c r="R2293" s="23"/>
    </row>
    <row r="2294" spans="1:18" ht="12.75">
      <c r="A2294" s="22"/>
      <c r="D2294" s="19"/>
      <c r="H2294" s="18"/>
      <c r="J2294" s="18"/>
      <c r="N2294" s="16"/>
      <c r="O2294" s="17"/>
      <c r="P2294" s="17"/>
      <c r="Q2294" s="22"/>
      <c r="R2294" s="23"/>
    </row>
    <row r="2295" spans="1:18" ht="12.75">
      <c r="A2295" s="22"/>
      <c r="D2295" s="19"/>
      <c r="H2295" s="18"/>
      <c r="J2295" s="18"/>
      <c r="N2295" s="16"/>
      <c r="O2295" s="17"/>
      <c r="P2295" s="17"/>
      <c r="Q2295" s="22"/>
      <c r="R2295" s="23"/>
    </row>
    <row r="2296" spans="1:18" ht="12.75">
      <c r="A2296" s="22"/>
      <c r="D2296" s="19"/>
      <c r="H2296" s="18"/>
      <c r="J2296" s="18"/>
      <c r="N2296" s="16"/>
      <c r="O2296" s="17"/>
      <c r="P2296" s="17"/>
      <c r="Q2296" s="22"/>
      <c r="R2296" s="23"/>
    </row>
    <row r="2297" spans="1:18" ht="12.75">
      <c r="A2297" s="22"/>
      <c r="D2297" s="19"/>
      <c r="H2297" s="18"/>
      <c r="J2297" s="18"/>
      <c r="N2297" s="16"/>
      <c r="O2297" s="17"/>
      <c r="P2297" s="17"/>
      <c r="Q2297" s="22"/>
      <c r="R2297" s="23"/>
    </row>
    <row r="2298" spans="1:18" ht="12.75">
      <c r="A2298" s="22"/>
      <c r="D2298" s="19"/>
      <c r="H2298" s="18"/>
      <c r="J2298" s="18"/>
      <c r="N2298" s="16"/>
      <c r="O2298" s="17"/>
      <c r="P2298" s="17"/>
      <c r="Q2298" s="22"/>
      <c r="R2298" s="23"/>
    </row>
    <row r="2299" spans="1:18" ht="12.75">
      <c r="A2299" s="22"/>
      <c r="D2299" s="19"/>
      <c r="H2299" s="18"/>
      <c r="J2299" s="18"/>
      <c r="N2299" s="16"/>
      <c r="O2299" s="17"/>
      <c r="P2299" s="17"/>
      <c r="Q2299" s="22"/>
      <c r="R2299" s="23"/>
    </row>
    <row r="2300" spans="1:18" ht="12.75">
      <c r="A2300" s="22"/>
      <c r="D2300" s="19"/>
      <c r="H2300" s="18"/>
      <c r="J2300" s="18"/>
      <c r="N2300" s="16"/>
      <c r="O2300" s="17"/>
      <c r="P2300" s="17"/>
      <c r="Q2300" s="22"/>
      <c r="R2300" s="23"/>
    </row>
    <row r="2301" spans="1:18" ht="12.75">
      <c r="A2301" s="22"/>
      <c r="D2301" s="19"/>
      <c r="H2301" s="18"/>
      <c r="J2301" s="18"/>
      <c r="N2301" s="16"/>
      <c r="O2301" s="17"/>
      <c r="P2301" s="17"/>
      <c r="Q2301" s="22"/>
      <c r="R2301" s="23"/>
    </row>
    <row r="2302" spans="1:18" ht="12.75">
      <c r="A2302" s="22"/>
      <c r="D2302" s="19"/>
      <c r="H2302" s="18"/>
      <c r="J2302" s="18"/>
      <c r="N2302" s="16"/>
      <c r="O2302" s="17"/>
      <c r="P2302" s="17"/>
      <c r="Q2302" s="22"/>
      <c r="R2302" s="23"/>
    </row>
    <row r="2303" spans="1:18" ht="12.75">
      <c r="A2303" s="22"/>
      <c r="D2303" s="19"/>
      <c r="H2303" s="18"/>
      <c r="J2303" s="18"/>
      <c r="N2303" s="16"/>
      <c r="O2303" s="17"/>
      <c r="P2303" s="17"/>
      <c r="Q2303" s="22"/>
      <c r="R2303" s="23"/>
    </row>
    <row r="2304" spans="1:18" ht="12.75">
      <c r="A2304" s="22"/>
      <c r="D2304" s="19"/>
      <c r="H2304" s="18"/>
      <c r="J2304" s="18"/>
      <c r="N2304" s="16"/>
      <c r="O2304" s="17"/>
      <c r="P2304" s="17"/>
      <c r="Q2304" s="22"/>
      <c r="R2304" s="23"/>
    </row>
    <row r="2305" spans="1:18" ht="12.75">
      <c r="A2305" s="22"/>
      <c r="D2305" s="19"/>
      <c r="H2305" s="18"/>
      <c r="J2305" s="18"/>
      <c r="N2305" s="16"/>
      <c r="O2305" s="17"/>
      <c r="P2305" s="17"/>
      <c r="Q2305" s="22"/>
      <c r="R2305" s="23"/>
    </row>
    <row r="2306" spans="1:18" ht="12.75">
      <c r="A2306" s="22"/>
      <c r="D2306" s="19"/>
      <c r="H2306" s="18"/>
      <c r="J2306" s="18"/>
      <c r="N2306" s="16"/>
      <c r="O2306" s="17"/>
      <c r="P2306" s="17"/>
      <c r="Q2306" s="22"/>
      <c r="R2306" s="23"/>
    </row>
    <row r="2307" spans="1:18" ht="12.75">
      <c r="A2307" s="22"/>
      <c r="D2307" s="19"/>
      <c r="H2307" s="18"/>
      <c r="J2307" s="18"/>
      <c r="N2307" s="16"/>
      <c r="O2307" s="17"/>
      <c r="P2307" s="17"/>
      <c r="Q2307" s="22"/>
      <c r="R2307" s="23"/>
    </row>
    <row r="2308" spans="1:18" ht="12.75">
      <c r="A2308" s="22"/>
      <c r="D2308" s="19"/>
      <c r="H2308" s="18"/>
      <c r="J2308" s="18"/>
      <c r="N2308" s="16"/>
      <c r="O2308" s="17"/>
      <c r="P2308" s="17"/>
      <c r="Q2308" s="22"/>
      <c r="R2308" s="23"/>
    </row>
    <row r="2309" spans="1:18" ht="12.75">
      <c r="A2309" s="22"/>
      <c r="D2309" s="19"/>
      <c r="H2309" s="18"/>
      <c r="J2309" s="18"/>
      <c r="N2309" s="16"/>
      <c r="O2309" s="17"/>
      <c r="P2309" s="17"/>
      <c r="Q2309" s="22"/>
      <c r="R2309" s="23"/>
    </row>
    <row r="2310" spans="1:18" ht="12.75">
      <c r="A2310" s="22"/>
      <c r="D2310" s="19"/>
      <c r="H2310" s="18"/>
      <c r="J2310" s="18"/>
      <c r="N2310" s="16"/>
      <c r="O2310" s="17"/>
      <c r="P2310" s="17"/>
      <c r="Q2310" s="22"/>
      <c r="R2310" s="23"/>
    </row>
    <row r="2311" spans="1:18" ht="12.75">
      <c r="A2311" s="22"/>
      <c r="D2311" s="19"/>
      <c r="H2311" s="18"/>
      <c r="J2311" s="18"/>
      <c r="N2311" s="16"/>
      <c r="O2311" s="17"/>
      <c r="P2311" s="17"/>
      <c r="Q2311" s="22"/>
      <c r="R2311" s="23"/>
    </row>
    <row r="2312" spans="1:18" ht="12.75">
      <c r="A2312" s="22"/>
      <c r="D2312" s="19"/>
      <c r="H2312" s="18"/>
      <c r="J2312" s="18"/>
      <c r="N2312" s="16"/>
      <c r="O2312" s="17"/>
      <c r="P2312" s="17"/>
      <c r="Q2312" s="22"/>
      <c r="R2312" s="23"/>
    </row>
    <row r="2313" spans="1:18" ht="12.75">
      <c r="A2313" s="22"/>
      <c r="D2313" s="19"/>
      <c r="H2313" s="18"/>
      <c r="J2313" s="18"/>
      <c r="N2313" s="16"/>
      <c r="O2313" s="17"/>
      <c r="P2313" s="17"/>
      <c r="Q2313" s="22"/>
      <c r="R2313" s="23"/>
    </row>
    <row r="2314" spans="1:18" ht="12.75">
      <c r="A2314" s="22"/>
      <c r="D2314" s="19"/>
      <c r="H2314" s="18"/>
      <c r="J2314" s="18"/>
      <c r="N2314" s="16"/>
      <c r="O2314" s="17"/>
      <c r="P2314" s="17"/>
      <c r="Q2314" s="22"/>
      <c r="R2314" s="23"/>
    </row>
    <row r="2315" spans="1:18" ht="12.75">
      <c r="A2315" s="22"/>
      <c r="D2315" s="19"/>
      <c r="H2315" s="18"/>
      <c r="J2315" s="18"/>
      <c r="N2315" s="16"/>
      <c r="O2315" s="17"/>
      <c r="P2315" s="17"/>
      <c r="Q2315" s="22"/>
      <c r="R2315" s="23"/>
    </row>
    <row r="2316" spans="1:18" ht="12.75">
      <c r="A2316" s="22"/>
      <c r="D2316" s="19"/>
      <c r="H2316" s="18"/>
      <c r="J2316" s="18"/>
      <c r="N2316" s="16"/>
      <c r="O2316" s="17"/>
      <c r="P2316" s="17"/>
      <c r="Q2316" s="22"/>
      <c r="R2316" s="23"/>
    </row>
    <row r="2317" spans="1:18" ht="12.75">
      <c r="A2317" s="22"/>
      <c r="D2317" s="19"/>
      <c r="H2317" s="18"/>
      <c r="J2317" s="18"/>
      <c r="N2317" s="16"/>
      <c r="O2317" s="17"/>
      <c r="P2317" s="17"/>
      <c r="Q2317" s="22"/>
      <c r="R2317" s="23"/>
    </row>
    <row r="2318" spans="1:18" ht="12.75">
      <c r="A2318" s="22"/>
      <c r="D2318" s="19"/>
      <c r="H2318" s="18"/>
      <c r="J2318" s="18"/>
      <c r="N2318" s="16"/>
      <c r="O2318" s="17"/>
      <c r="P2318" s="17"/>
      <c r="Q2318" s="22"/>
      <c r="R2318" s="23"/>
    </row>
    <row r="2319" spans="1:18" ht="12.75">
      <c r="A2319" s="22"/>
      <c r="D2319" s="19"/>
      <c r="H2319" s="18"/>
      <c r="J2319" s="18"/>
      <c r="N2319" s="16"/>
      <c r="O2319" s="17"/>
      <c r="P2319" s="17"/>
      <c r="Q2319" s="22"/>
      <c r="R2319" s="23"/>
    </row>
    <row r="2320" spans="1:18" ht="12.75">
      <c r="A2320" s="22"/>
      <c r="D2320" s="19"/>
      <c r="H2320" s="18"/>
      <c r="J2320" s="18"/>
      <c r="N2320" s="16"/>
      <c r="O2320" s="17"/>
      <c r="P2320" s="17"/>
      <c r="Q2320" s="22"/>
      <c r="R2320" s="23"/>
    </row>
    <row r="2321" spans="1:18" ht="12.75">
      <c r="A2321" s="22"/>
      <c r="D2321" s="19"/>
      <c r="H2321" s="18"/>
      <c r="J2321" s="18"/>
      <c r="N2321" s="16"/>
      <c r="O2321" s="17"/>
      <c r="P2321" s="17"/>
      <c r="Q2321" s="22"/>
      <c r="R2321" s="23"/>
    </row>
    <row r="2322" spans="1:18" ht="12.75">
      <c r="A2322" s="22"/>
      <c r="D2322" s="19"/>
      <c r="H2322" s="18"/>
      <c r="J2322" s="18"/>
      <c r="N2322" s="16"/>
      <c r="O2322" s="17"/>
      <c r="P2322" s="17"/>
      <c r="Q2322" s="22"/>
      <c r="R2322" s="23"/>
    </row>
    <row r="2323" spans="1:18" ht="12.75">
      <c r="A2323" s="22"/>
      <c r="D2323" s="19"/>
      <c r="H2323" s="18"/>
      <c r="J2323" s="18"/>
      <c r="N2323" s="16"/>
      <c r="O2323" s="17"/>
      <c r="P2323" s="17"/>
      <c r="Q2323" s="22"/>
      <c r="R2323" s="23"/>
    </row>
    <row r="2324" spans="1:18" ht="12.75">
      <c r="A2324" s="22"/>
      <c r="D2324" s="19"/>
      <c r="H2324" s="18"/>
      <c r="J2324" s="18"/>
      <c r="N2324" s="16"/>
      <c r="O2324" s="17"/>
      <c r="P2324" s="17"/>
      <c r="Q2324" s="22"/>
      <c r="R2324" s="23"/>
    </row>
    <row r="2325" spans="1:18" ht="12.75">
      <c r="A2325" s="22"/>
      <c r="D2325" s="19"/>
      <c r="H2325" s="18"/>
      <c r="J2325" s="18"/>
      <c r="N2325" s="16"/>
      <c r="O2325" s="17"/>
      <c r="P2325" s="17"/>
      <c r="Q2325" s="22"/>
      <c r="R2325" s="23"/>
    </row>
    <row r="2326" spans="1:18" ht="12.75">
      <c r="A2326" s="22"/>
      <c r="D2326" s="19"/>
      <c r="H2326" s="18"/>
      <c r="J2326" s="18"/>
      <c r="N2326" s="16"/>
      <c r="O2326" s="17"/>
      <c r="P2326" s="17"/>
      <c r="Q2326" s="22"/>
      <c r="R2326" s="23"/>
    </row>
    <row r="2327" spans="1:18" ht="12.75">
      <c r="A2327" s="22"/>
      <c r="D2327" s="19"/>
      <c r="H2327" s="18"/>
      <c r="J2327" s="18"/>
      <c r="N2327" s="16"/>
      <c r="O2327" s="17"/>
      <c r="P2327" s="17"/>
      <c r="Q2327" s="22"/>
      <c r="R2327" s="23"/>
    </row>
    <row r="2328" spans="1:18" ht="12.75">
      <c r="A2328" s="22"/>
      <c r="D2328" s="19"/>
      <c r="H2328" s="18"/>
      <c r="J2328" s="18"/>
      <c r="N2328" s="16"/>
      <c r="O2328" s="17"/>
      <c r="P2328" s="17"/>
      <c r="Q2328" s="22"/>
      <c r="R2328" s="23"/>
    </row>
    <row r="2329" spans="1:18" ht="12.75">
      <c r="A2329" s="22"/>
      <c r="D2329" s="19"/>
      <c r="H2329" s="18"/>
      <c r="J2329" s="18"/>
      <c r="N2329" s="16"/>
      <c r="O2329" s="17"/>
      <c r="P2329" s="17"/>
      <c r="Q2329" s="22"/>
      <c r="R2329" s="23"/>
    </row>
    <row r="2330" spans="1:18" ht="12.75">
      <c r="A2330" s="22"/>
      <c r="D2330" s="19"/>
      <c r="H2330" s="18"/>
      <c r="J2330" s="18"/>
      <c r="N2330" s="16"/>
      <c r="O2330" s="17"/>
      <c r="P2330" s="17"/>
      <c r="Q2330" s="22"/>
      <c r="R2330" s="23"/>
    </row>
    <row r="2331" spans="1:18" ht="12.75">
      <c r="A2331" s="22"/>
      <c r="D2331" s="19"/>
      <c r="H2331" s="18"/>
      <c r="J2331" s="18"/>
      <c r="N2331" s="16"/>
      <c r="O2331" s="17"/>
      <c r="P2331" s="17"/>
      <c r="Q2331" s="22"/>
      <c r="R2331" s="23"/>
    </row>
    <row r="2332" spans="1:18" ht="12.75">
      <c r="A2332" s="22"/>
      <c r="D2332" s="19"/>
      <c r="H2332" s="18"/>
      <c r="J2332" s="18"/>
      <c r="N2332" s="16"/>
      <c r="O2332" s="17"/>
      <c r="P2332" s="17"/>
      <c r="Q2332" s="22"/>
      <c r="R2332" s="23"/>
    </row>
    <row r="2333" spans="1:18" ht="12.75">
      <c r="A2333" s="22"/>
      <c r="D2333" s="19"/>
      <c r="H2333" s="18"/>
      <c r="J2333" s="18"/>
      <c r="N2333" s="16"/>
      <c r="O2333" s="17"/>
      <c r="P2333" s="17"/>
      <c r="Q2333" s="22"/>
      <c r="R2333" s="23"/>
    </row>
    <row r="2334" spans="1:18" ht="12.75">
      <c r="A2334" s="22"/>
      <c r="D2334" s="19"/>
      <c r="H2334" s="18"/>
      <c r="J2334" s="18"/>
      <c r="N2334" s="16"/>
      <c r="O2334" s="17"/>
      <c r="P2334" s="17"/>
      <c r="Q2334" s="22"/>
      <c r="R2334" s="23"/>
    </row>
    <row r="2335" spans="1:18" ht="12.75">
      <c r="A2335" s="22"/>
      <c r="D2335" s="19"/>
      <c r="H2335" s="18"/>
      <c r="J2335" s="18"/>
      <c r="N2335" s="16"/>
      <c r="O2335" s="17"/>
      <c r="P2335" s="17"/>
      <c r="Q2335" s="22"/>
      <c r="R2335" s="23"/>
    </row>
    <row r="2336" spans="1:18" ht="12.75">
      <c r="A2336" s="22"/>
      <c r="D2336" s="19"/>
      <c r="H2336" s="18"/>
      <c r="J2336" s="18"/>
      <c r="N2336" s="16"/>
      <c r="O2336" s="17"/>
      <c r="P2336" s="17"/>
      <c r="Q2336" s="22"/>
      <c r="R2336" s="23"/>
    </row>
    <row r="2337" spans="1:18" ht="12.75">
      <c r="A2337" s="22"/>
      <c r="D2337" s="19"/>
      <c r="H2337" s="18"/>
      <c r="J2337" s="18"/>
      <c r="N2337" s="16"/>
      <c r="O2337" s="17"/>
      <c r="P2337" s="17"/>
      <c r="Q2337" s="22"/>
      <c r="R2337" s="23"/>
    </row>
    <row r="2338" spans="1:18" ht="12.75">
      <c r="A2338" s="22"/>
      <c r="D2338" s="19"/>
      <c r="H2338" s="18"/>
      <c r="J2338" s="18"/>
      <c r="N2338" s="16"/>
      <c r="O2338" s="17"/>
      <c r="P2338" s="17"/>
      <c r="Q2338" s="22"/>
      <c r="R2338" s="23"/>
    </row>
    <row r="2339" spans="1:18" ht="12.75">
      <c r="A2339" s="22"/>
      <c r="D2339" s="19"/>
      <c r="H2339" s="18"/>
      <c r="J2339" s="18"/>
      <c r="N2339" s="16"/>
      <c r="O2339" s="17"/>
      <c r="P2339" s="17"/>
      <c r="Q2339" s="22"/>
      <c r="R2339" s="23"/>
    </row>
    <row r="2340" spans="1:18" ht="12.75">
      <c r="A2340" s="22"/>
      <c r="D2340" s="19"/>
      <c r="H2340" s="18"/>
      <c r="J2340" s="18"/>
      <c r="N2340" s="16"/>
      <c r="O2340" s="17"/>
      <c r="P2340" s="17"/>
      <c r="Q2340" s="22"/>
      <c r="R2340" s="23"/>
    </row>
    <row r="2341" spans="1:18" ht="12.75">
      <c r="A2341" s="22"/>
      <c r="D2341" s="19"/>
      <c r="H2341" s="18"/>
      <c r="J2341" s="18"/>
      <c r="N2341" s="16"/>
      <c r="O2341" s="17"/>
      <c r="P2341" s="17"/>
      <c r="Q2341" s="22"/>
      <c r="R2341" s="23"/>
    </row>
    <row r="2342" spans="1:18" ht="12.75">
      <c r="A2342" s="22"/>
      <c r="D2342" s="19"/>
      <c r="H2342" s="18"/>
      <c r="J2342" s="18"/>
      <c r="N2342" s="16"/>
      <c r="O2342" s="17"/>
      <c r="P2342" s="17"/>
      <c r="Q2342" s="22"/>
      <c r="R2342" s="23"/>
    </row>
    <row r="2343" spans="1:18" ht="12.75">
      <c r="A2343" s="22"/>
      <c r="D2343" s="19"/>
      <c r="H2343" s="18"/>
      <c r="J2343" s="18"/>
      <c r="N2343" s="16"/>
      <c r="O2343" s="17"/>
      <c r="P2343" s="17"/>
      <c r="Q2343" s="22"/>
      <c r="R2343" s="23"/>
    </row>
    <row r="2344" spans="1:18" ht="12.75">
      <c r="A2344" s="22"/>
      <c r="D2344" s="19"/>
      <c r="H2344" s="18"/>
      <c r="J2344" s="18"/>
      <c r="N2344" s="16"/>
      <c r="O2344" s="17"/>
      <c r="P2344" s="17"/>
      <c r="Q2344" s="22"/>
      <c r="R2344" s="23"/>
    </row>
    <row r="2345" spans="1:18" ht="12.75">
      <c r="A2345" s="22"/>
      <c r="D2345" s="19"/>
      <c r="H2345" s="18"/>
      <c r="J2345" s="18"/>
      <c r="N2345" s="16"/>
      <c r="O2345" s="17"/>
      <c r="P2345" s="17"/>
      <c r="Q2345" s="22"/>
      <c r="R2345" s="23"/>
    </row>
    <row r="2346" spans="1:18" ht="12.75">
      <c r="A2346" s="22"/>
      <c r="D2346" s="19"/>
      <c r="H2346" s="18"/>
      <c r="J2346" s="18"/>
      <c r="N2346" s="16"/>
      <c r="O2346" s="17"/>
      <c r="P2346" s="17"/>
      <c r="Q2346" s="22"/>
      <c r="R2346" s="23"/>
    </row>
    <row r="2347" spans="1:18" ht="12.75">
      <c r="A2347" s="22"/>
      <c r="D2347" s="19"/>
      <c r="H2347" s="18"/>
      <c r="J2347" s="18"/>
      <c r="N2347" s="16"/>
      <c r="O2347" s="17"/>
      <c r="P2347" s="17"/>
      <c r="Q2347" s="22"/>
      <c r="R2347" s="23"/>
    </row>
    <row r="2348" spans="1:18" ht="12.75">
      <c r="A2348" s="22"/>
      <c r="D2348" s="19"/>
      <c r="H2348" s="18"/>
      <c r="J2348" s="18"/>
      <c r="N2348" s="16"/>
      <c r="O2348" s="17"/>
      <c r="P2348" s="17"/>
      <c r="Q2348" s="22"/>
      <c r="R2348" s="23"/>
    </row>
    <row r="2349" spans="1:18" ht="12.75">
      <c r="A2349" s="22"/>
      <c r="D2349" s="19"/>
      <c r="H2349" s="18"/>
      <c r="J2349" s="18"/>
      <c r="N2349" s="16"/>
      <c r="O2349" s="17"/>
      <c r="P2349" s="17"/>
      <c r="Q2349" s="22"/>
      <c r="R2349" s="23"/>
    </row>
    <row r="2350" spans="1:18" ht="12.75">
      <c r="A2350" s="22"/>
      <c r="D2350" s="19"/>
      <c r="H2350" s="18"/>
      <c r="J2350" s="18"/>
      <c r="N2350" s="16"/>
      <c r="O2350" s="17"/>
      <c r="P2350" s="17"/>
      <c r="Q2350" s="22"/>
      <c r="R2350" s="23"/>
    </row>
    <row r="2351" spans="1:18" ht="12.75">
      <c r="A2351" s="22"/>
      <c r="D2351" s="19"/>
      <c r="H2351" s="18"/>
      <c r="J2351" s="18"/>
      <c r="N2351" s="16"/>
      <c r="O2351" s="17"/>
      <c r="P2351" s="17"/>
      <c r="Q2351" s="22"/>
      <c r="R2351" s="23"/>
    </row>
    <row r="2352" spans="1:18" ht="12.75">
      <c r="A2352" s="22"/>
      <c r="D2352" s="19"/>
      <c r="H2352" s="18"/>
      <c r="J2352" s="18"/>
      <c r="N2352" s="16"/>
      <c r="O2352" s="17"/>
      <c r="P2352" s="17"/>
      <c r="Q2352" s="22"/>
      <c r="R2352" s="23"/>
    </row>
    <row r="2353" spans="1:18" ht="12.75">
      <c r="A2353" s="22"/>
      <c r="D2353" s="19"/>
      <c r="H2353" s="18"/>
      <c r="J2353" s="18"/>
      <c r="N2353" s="16"/>
      <c r="O2353" s="17"/>
      <c r="P2353" s="17"/>
      <c r="Q2353" s="22"/>
      <c r="R2353" s="23"/>
    </row>
    <row r="2354" spans="1:18" ht="12.75">
      <c r="A2354" s="22"/>
      <c r="D2354" s="19"/>
      <c r="H2354" s="18"/>
      <c r="J2354" s="18"/>
      <c r="N2354" s="16"/>
      <c r="O2354" s="17"/>
      <c r="P2354" s="17"/>
      <c r="Q2354" s="22"/>
      <c r="R2354" s="23"/>
    </row>
    <row r="2355" spans="1:18" ht="12.75">
      <c r="A2355" s="22"/>
      <c r="D2355" s="19"/>
      <c r="H2355" s="18"/>
      <c r="J2355" s="18"/>
      <c r="N2355" s="16"/>
      <c r="O2355" s="17"/>
      <c r="P2355" s="17"/>
      <c r="Q2355" s="22"/>
      <c r="R2355" s="23"/>
    </row>
    <row r="2356" spans="1:18" ht="12.75">
      <c r="A2356" s="22"/>
      <c r="D2356" s="19"/>
      <c r="H2356" s="18"/>
      <c r="J2356" s="18"/>
      <c r="N2356" s="16"/>
      <c r="O2356" s="17"/>
      <c r="P2356" s="17"/>
      <c r="Q2356" s="22"/>
      <c r="R2356" s="23"/>
    </row>
    <row r="2357" spans="1:18" ht="12.75">
      <c r="A2357" s="22"/>
      <c r="D2357" s="19"/>
      <c r="H2357" s="18"/>
      <c r="J2357" s="18"/>
      <c r="N2357" s="16"/>
      <c r="O2357" s="17"/>
      <c r="P2357" s="17"/>
      <c r="Q2357" s="22"/>
      <c r="R2357" s="23"/>
    </row>
    <row r="2358" spans="1:18" ht="12.75">
      <c r="A2358" s="22"/>
      <c r="D2358" s="19"/>
      <c r="H2358" s="18"/>
      <c r="J2358" s="18"/>
      <c r="N2358" s="16"/>
      <c r="O2358" s="17"/>
      <c r="P2358" s="17"/>
      <c r="Q2358" s="22"/>
      <c r="R2358" s="23"/>
    </row>
    <row r="2359" spans="1:18" ht="12.75">
      <c r="A2359" s="22"/>
      <c r="D2359" s="19"/>
      <c r="H2359" s="18"/>
      <c r="J2359" s="18"/>
      <c r="N2359" s="16"/>
      <c r="O2359" s="17"/>
      <c r="P2359" s="17"/>
      <c r="Q2359" s="22"/>
      <c r="R2359" s="23"/>
    </row>
    <row r="2360" spans="1:18" ht="12.75">
      <c r="A2360" s="22"/>
      <c r="D2360" s="19"/>
      <c r="H2360" s="18"/>
      <c r="J2360" s="18"/>
      <c r="N2360" s="16"/>
      <c r="O2360" s="17"/>
      <c r="P2360" s="17"/>
      <c r="Q2360" s="22"/>
      <c r="R2360" s="23"/>
    </row>
    <row r="2361" spans="1:18" ht="12.75">
      <c r="A2361" s="22"/>
      <c r="D2361" s="19"/>
      <c r="H2361" s="18"/>
      <c r="J2361" s="18"/>
      <c r="N2361" s="16"/>
      <c r="O2361" s="17"/>
      <c r="P2361" s="17"/>
      <c r="Q2361" s="22"/>
      <c r="R2361" s="23"/>
    </row>
    <row r="2362" spans="1:18" ht="12.75">
      <c r="A2362" s="22"/>
      <c r="D2362" s="19"/>
      <c r="H2362" s="18"/>
      <c r="J2362" s="18"/>
      <c r="N2362" s="16"/>
      <c r="O2362" s="17"/>
      <c r="P2362" s="17"/>
      <c r="Q2362" s="22"/>
      <c r="R2362" s="23"/>
    </row>
    <row r="2363" spans="1:18" ht="12.75">
      <c r="A2363" s="22"/>
      <c r="D2363" s="19"/>
      <c r="H2363" s="18"/>
      <c r="J2363" s="18"/>
      <c r="N2363" s="16"/>
      <c r="O2363" s="17"/>
      <c r="P2363" s="17"/>
      <c r="Q2363" s="22"/>
      <c r="R2363" s="23"/>
    </row>
    <row r="2364" spans="1:18" ht="12.75">
      <c r="A2364" s="22"/>
      <c r="D2364" s="19"/>
      <c r="H2364" s="18"/>
      <c r="J2364" s="18"/>
      <c r="N2364" s="16"/>
      <c r="O2364" s="17"/>
      <c r="P2364" s="17"/>
      <c r="Q2364" s="22"/>
      <c r="R2364" s="23"/>
    </row>
    <row r="2365" spans="1:18" ht="12.75">
      <c r="A2365" s="22"/>
      <c r="D2365" s="19"/>
      <c r="H2365" s="18"/>
      <c r="J2365" s="18"/>
      <c r="N2365" s="16"/>
      <c r="O2365" s="17"/>
      <c r="P2365" s="17"/>
      <c r="Q2365" s="22"/>
      <c r="R2365" s="23"/>
    </row>
    <row r="2366" spans="1:18" ht="12.75">
      <c r="A2366" s="22"/>
      <c r="D2366" s="19"/>
      <c r="H2366" s="18"/>
      <c r="J2366" s="18"/>
      <c r="N2366" s="16"/>
      <c r="O2366" s="17"/>
      <c r="P2366" s="17"/>
      <c r="Q2366" s="22"/>
      <c r="R2366" s="23"/>
    </row>
    <row r="2367" spans="1:18" ht="12.75">
      <c r="A2367" s="22"/>
      <c r="D2367" s="19"/>
      <c r="H2367" s="18"/>
      <c r="J2367" s="18"/>
      <c r="N2367" s="16"/>
      <c r="O2367" s="17"/>
      <c r="P2367" s="17"/>
      <c r="Q2367" s="22"/>
      <c r="R2367" s="23"/>
    </row>
    <row r="2368" spans="1:18" ht="12.75">
      <c r="A2368" s="22"/>
      <c r="D2368" s="19"/>
      <c r="H2368" s="18"/>
      <c r="J2368" s="18"/>
      <c r="N2368" s="16"/>
      <c r="O2368" s="17"/>
      <c r="P2368" s="17"/>
      <c r="Q2368" s="22"/>
      <c r="R2368" s="23"/>
    </row>
    <row r="2369" spans="1:18" ht="12.75">
      <c r="A2369" s="22"/>
      <c r="D2369" s="19"/>
      <c r="H2369" s="18"/>
      <c r="J2369" s="18"/>
      <c r="N2369" s="16"/>
      <c r="O2369" s="17"/>
      <c r="P2369" s="17"/>
      <c r="Q2369" s="22"/>
      <c r="R2369" s="23"/>
    </row>
    <row r="2370" spans="1:18" ht="12.75">
      <c r="A2370" s="22"/>
      <c r="D2370" s="19"/>
      <c r="H2370" s="18"/>
      <c r="J2370" s="18"/>
      <c r="N2370" s="16"/>
      <c r="O2370" s="17"/>
      <c r="P2370" s="17"/>
      <c r="Q2370" s="22"/>
      <c r="R2370" s="23"/>
    </row>
    <row r="2371" spans="1:18" ht="12.75">
      <c r="A2371" s="22"/>
      <c r="D2371" s="19"/>
      <c r="H2371" s="18"/>
      <c r="J2371" s="18"/>
      <c r="N2371" s="16"/>
      <c r="O2371" s="17"/>
      <c r="P2371" s="17"/>
      <c r="Q2371" s="22"/>
      <c r="R2371" s="23"/>
    </row>
    <row r="2372" spans="1:18" ht="12.75">
      <c r="A2372" s="22"/>
      <c r="D2372" s="19"/>
      <c r="H2372" s="18"/>
      <c r="J2372" s="18"/>
      <c r="N2372" s="16"/>
      <c r="O2372" s="17"/>
      <c r="P2372" s="17"/>
      <c r="Q2372" s="22"/>
      <c r="R2372" s="23"/>
    </row>
    <row r="2373" spans="1:18" ht="12.75">
      <c r="A2373" s="22"/>
      <c r="D2373" s="19"/>
      <c r="H2373" s="18"/>
      <c r="J2373" s="18"/>
      <c r="N2373" s="16"/>
      <c r="O2373" s="17"/>
      <c r="P2373" s="17"/>
      <c r="Q2373" s="22"/>
      <c r="R2373" s="23"/>
    </row>
    <row r="2374" spans="1:18" ht="12.75">
      <c r="A2374" s="22"/>
      <c r="D2374" s="19"/>
      <c r="H2374" s="18"/>
      <c r="J2374" s="18"/>
      <c r="N2374" s="16"/>
      <c r="O2374" s="17"/>
      <c r="P2374" s="17"/>
      <c r="Q2374" s="22"/>
      <c r="R2374" s="23"/>
    </row>
    <row r="2375" spans="1:18" ht="12.75">
      <c r="A2375" s="22"/>
      <c r="D2375" s="19"/>
      <c r="H2375" s="18"/>
      <c r="J2375" s="18"/>
      <c r="N2375" s="16"/>
      <c r="O2375" s="17"/>
      <c r="P2375" s="17"/>
      <c r="Q2375" s="22"/>
      <c r="R2375" s="23"/>
    </row>
    <row r="2376" spans="1:18" ht="12.75">
      <c r="A2376" s="22"/>
      <c r="D2376" s="19"/>
      <c r="H2376" s="18"/>
      <c r="J2376" s="18"/>
      <c r="N2376" s="16"/>
      <c r="O2376" s="17"/>
      <c r="P2376" s="17"/>
      <c r="Q2376" s="22"/>
      <c r="R2376" s="23"/>
    </row>
    <row r="2377" spans="1:18" ht="12.75">
      <c r="A2377" s="22"/>
      <c r="D2377" s="19"/>
      <c r="H2377" s="18"/>
      <c r="J2377" s="18"/>
      <c r="N2377" s="16"/>
      <c r="O2377" s="17"/>
      <c r="P2377" s="17"/>
      <c r="Q2377" s="22"/>
      <c r="R2377" s="23"/>
    </row>
    <row r="2378" spans="1:18" ht="12.75">
      <c r="A2378" s="22"/>
      <c r="D2378" s="19"/>
      <c r="H2378" s="18"/>
      <c r="J2378" s="18"/>
      <c r="N2378" s="16"/>
      <c r="O2378" s="17"/>
      <c r="P2378" s="17"/>
      <c r="Q2378" s="22"/>
      <c r="R2378" s="23"/>
    </row>
    <row r="2379" spans="1:18" ht="12.75">
      <c r="A2379" s="22"/>
      <c r="D2379" s="19"/>
      <c r="H2379" s="18"/>
      <c r="J2379" s="18"/>
      <c r="N2379" s="16"/>
      <c r="O2379" s="17"/>
      <c r="P2379" s="17"/>
      <c r="Q2379" s="22"/>
      <c r="R2379" s="23"/>
    </row>
    <row r="2380" spans="1:18" ht="12.75">
      <c r="A2380" s="22"/>
      <c r="D2380" s="19"/>
      <c r="H2380" s="18"/>
      <c r="J2380" s="18"/>
      <c r="N2380" s="16"/>
      <c r="O2380" s="17"/>
      <c r="P2380" s="17"/>
      <c r="Q2380" s="22"/>
      <c r="R2380" s="23"/>
    </row>
    <row r="2381" spans="1:18" ht="12.75">
      <c r="A2381" s="22"/>
      <c r="D2381" s="19"/>
      <c r="H2381" s="18"/>
      <c r="J2381" s="18"/>
      <c r="N2381" s="16"/>
      <c r="O2381" s="17"/>
      <c r="P2381" s="17"/>
      <c r="Q2381" s="22"/>
      <c r="R2381" s="23"/>
    </row>
    <row r="2382" spans="1:18" ht="12.75">
      <c r="A2382" s="22"/>
      <c r="D2382" s="19"/>
      <c r="H2382" s="18"/>
      <c r="J2382" s="18"/>
      <c r="N2382" s="16"/>
      <c r="O2382" s="17"/>
      <c r="P2382" s="17"/>
      <c r="Q2382" s="22"/>
      <c r="R2382" s="23"/>
    </row>
    <row r="2383" spans="1:18" ht="12.75">
      <c r="A2383" s="22"/>
      <c r="D2383" s="19"/>
      <c r="H2383" s="18"/>
      <c r="J2383" s="18"/>
      <c r="N2383" s="16"/>
      <c r="O2383" s="17"/>
      <c r="P2383" s="17"/>
      <c r="Q2383" s="22"/>
      <c r="R2383" s="23"/>
    </row>
    <row r="2384" spans="1:18" ht="12.75">
      <c r="A2384" s="22"/>
      <c r="D2384" s="19"/>
      <c r="H2384" s="18"/>
      <c r="J2384" s="18"/>
      <c r="N2384" s="16"/>
      <c r="O2384" s="17"/>
      <c r="P2384" s="17"/>
      <c r="Q2384" s="22"/>
      <c r="R2384" s="23"/>
    </row>
    <row r="2385" spans="1:18" ht="12.75">
      <c r="A2385" s="22"/>
      <c r="D2385" s="19"/>
      <c r="H2385" s="18"/>
      <c r="J2385" s="18"/>
      <c r="N2385" s="16"/>
      <c r="O2385" s="17"/>
      <c r="P2385" s="17"/>
      <c r="Q2385" s="22"/>
      <c r="R2385" s="23"/>
    </row>
    <row r="2386" spans="1:18" ht="12.75">
      <c r="A2386" s="22"/>
      <c r="D2386" s="19"/>
      <c r="H2386" s="18"/>
      <c r="J2386" s="18"/>
      <c r="N2386" s="16"/>
      <c r="O2386" s="17"/>
      <c r="P2386" s="17"/>
      <c r="Q2386" s="22"/>
      <c r="R2386" s="23"/>
    </row>
    <row r="2387" spans="1:18" ht="12.75">
      <c r="A2387" s="22"/>
      <c r="D2387" s="19"/>
      <c r="H2387" s="18"/>
      <c r="J2387" s="18"/>
      <c r="N2387" s="16"/>
      <c r="O2387" s="17"/>
      <c r="P2387" s="17"/>
      <c r="Q2387" s="22"/>
      <c r="R2387" s="23"/>
    </row>
    <row r="2388" spans="1:18" ht="12.75">
      <c r="A2388" s="22"/>
      <c r="D2388" s="19"/>
      <c r="H2388" s="18"/>
      <c r="J2388" s="18"/>
      <c r="N2388" s="16"/>
      <c r="O2388" s="17"/>
      <c r="P2388" s="17"/>
      <c r="Q2388" s="22"/>
      <c r="R2388" s="23"/>
    </row>
    <row r="2389" spans="1:18" ht="12.75">
      <c r="A2389" s="22"/>
      <c r="D2389" s="19"/>
      <c r="H2389" s="18"/>
      <c r="J2389" s="18"/>
      <c r="N2389" s="16"/>
      <c r="O2389" s="17"/>
      <c r="P2389" s="17"/>
      <c r="Q2389" s="22"/>
      <c r="R2389" s="23"/>
    </row>
    <row r="2390" spans="1:18" ht="12.75">
      <c r="A2390" s="22"/>
      <c r="D2390" s="19"/>
      <c r="H2390" s="18"/>
      <c r="J2390" s="18"/>
      <c r="N2390" s="16"/>
      <c r="O2390" s="17"/>
      <c r="P2390" s="17"/>
      <c r="Q2390" s="22"/>
      <c r="R2390" s="23"/>
    </row>
    <row r="2391" spans="1:18" ht="12.75">
      <c r="A2391" s="22"/>
      <c r="D2391" s="19"/>
      <c r="H2391" s="18"/>
      <c r="J2391" s="18"/>
      <c r="N2391" s="16"/>
      <c r="O2391" s="17"/>
      <c r="P2391" s="17"/>
      <c r="Q2391" s="22"/>
      <c r="R2391" s="23"/>
    </row>
    <row r="2392" spans="1:18" ht="12.75">
      <c r="A2392" s="22"/>
      <c r="D2392" s="19"/>
      <c r="H2392" s="18"/>
      <c r="J2392" s="18"/>
      <c r="N2392" s="16"/>
      <c r="O2392" s="17"/>
      <c r="P2392" s="17"/>
      <c r="Q2392" s="22"/>
      <c r="R2392" s="23"/>
    </row>
    <row r="2393" spans="1:18" ht="12.75">
      <c r="A2393" s="22"/>
      <c r="D2393" s="19"/>
      <c r="H2393" s="18"/>
      <c r="J2393" s="18"/>
      <c r="N2393" s="16"/>
      <c r="O2393" s="17"/>
      <c r="P2393" s="17"/>
      <c r="Q2393" s="22"/>
      <c r="R2393" s="23"/>
    </row>
    <row r="2394" spans="1:18" ht="12.75">
      <c r="A2394" s="22"/>
      <c r="D2394" s="19"/>
      <c r="H2394" s="18"/>
      <c r="J2394" s="18"/>
      <c r="N2394" s="16"/>
      <c r="O2394" s="17"/>
      <c r="P2394" s="17"/>
      <c r="Q2394" s="22"/>
      <c r="R2394" s="23"/>
    </row>
    <row r="2395" spans="1:18" ht="12.75">
      <c r="A2395" s="22"/>
      <c r="D2395" s="19"/>
      <c r="H2395" s="18"/>
      <c r="J2395" s="18"/>
      <c r="N2395" s="16"/>
      <c r="O2395" s="17"/>
      <c r="P2395" s="17"/>
      <c r="Q2395" s="22"/>
      <c r="R2395" s="23"/>
    </row>
    <row r="2396" spans="1:18" ht="12.75">
      <c r="A2396" s="22"/>
      <c r="D2396" s="19"/>
      <c r="H2396" s="18"/>
      <c r="J2396" s="18"/>
      <c r="N2396" s="16"/>
      <c r="O2396" s="17"/>
      <c r="P2396" s="17"/>
      <c r="Q2396" s="22"/>
      <c r="R2396" s="23"/>
    </row>
    <row r="2397" spans="1:18" ht="12.75">
      <c r="A2397" s="22"/>
      <c r="D2397" s="19"/>
      <c r="H2397" s="18"/>
      <c r="J2397" s="18"/>
      <c r="N2397" s="16"/>
      <c r="O2397" s="17"/>
      <c r="P2397" s="17"/>
      <c r="Q2397" s="22"/>
      <c r="R2397" s="23"/>
    </row>
    <row r="2398" spans="1:18" ht="12.75">
      <c r="A2398" s="22"/>
      <c r="D2398" s="19"/>
      <c r="H2398" s="18"/>
      <c r="J2398" s="18"/>
      <c r="N2398" s="16"/>
      <c r="O2398" s="17"/>
      <c r="P2398" s="17"/>
      <c r="Q2398" s="22"/>
      <c r="R2398" s="23"/>
    </row>
    <row r="2399" spans="1:18" ht="12.75">
      <c r="A2399" s="22"/>
      <c r="D2399" s="19"/>
      <c r="H2399" s="18"/>
      <c r="J2399" s="18"/>
      <c r="N2399" s="16"/>
      <c r="O2399" s="17"/>
      <c r="P2399" s="17"/>
      <c r="Q2399" s="22"/>
      <c r="R2399" s="23"/>
    </row>
    <row r="2400" spans="1:18" ht="12.75">
      <c r="A2400" s="22"/>
      <c r="D2400" s="19"/>
      <c r="H2400" s="18"/>
      <c r="J2400" s="18"/>
      <c r="N2400" s="16"/>
      <c r="O2400" s="17"/>
      <c r="P2400" s="17"/>
      <c r="Q2400" s="22"/>
      <c r="R2400" s="23"/>
    </row>
    <row r="2401" spans="1:18" ht="12.75">
      <c r="A2401" s="22"/>
      <c r="D2401" s="19"/>
      <c r="H2401" s="18"/>
      <c r="J2401" s="18"/>
      <c r="N2401" s="16"/>
      <c r="O2401" s="17"/>
      <c r="P2401" s="17"/>
      <c r="Q2401" s="22"/>
      <c r="R2401" s="23"/>
    </row>
    <row r="2402" spans="1:18" ht="12.75">
      <c r="A2402" s="22"/>
      <c r="D2402" s="19"/>
      <c r="H2402" s="18"/>
      <c r="J2402" s="18"/>
      <c r="N2402" s="16"/>
      <c r="O2402" s="17"/>
      <c r="P2402" s="17"/>
      <c r="Q2402" s="22"/>
      <c r="R2402" s="23"/>
    </row>
    <row r="2403" spans="1:18" ht="12.75">
      <c r="A2403" s="22"/>
      <c r="D2403" s="19"/>
      <c r="H2403" s="18"/>
      <c r="J2403" s="18"/>
      <c r="N2403" s="16"/>
      <c r="O2403" s="17"/>
      <c r="P2403" s="17"/>
      <c r="Q2403" s="22"/>
      <c r="R2403" s="23"/>
    </row>
    <row r="2404" spans="1:18" ht="12.75">
      <c r="A2404" s="22"/>
      <c r="D2404" s="19"/>
      <c r="H2404" s="18"/>
      <c r="J2404" s="18"/>
      <c r="N2404" s="16"/>
      <c r="O2404" s="17"/>
      <c r="P2404" s="17"/>
      <c r="Q2404" s="22"/>
      <c r="R2404" s="23"/>
    </row>
    <row r="2405" spans="1:18" ht="12.75">
      <c r="A2405" s="22"/>
      <c r="D2405" s="19"/>
      <c r="H2405" s="18"/>
      <c r="J2405" s="18"/>
      <c r="N2405" s="16"/>
      <c r="O2405" s="17"/>
      <c r="P2405" s="17"/>
      <c r="Q2405" s="22"/>
      <c r="R2405" s="23"/>
    </row>
    <row r="2406" spans="1:18" ht="12.75">
      <c r="A2406" s="22"/>
      <c r="D2406" s="19"/>
      <c r="H2406" s="18"/>
      <c r="J2406" s="18"/>
      <c r="N2406" s="16"/>
      <c r="O2406" s="17"/>
      <c r="P2406" s="17"/>
      <c r="Q2406" s="22"/>
      <c r="R2406" s="23"/>
    </row>
    <row r="2407" spans="1:18" ht="12.75">
      <c r="A2407" s="22"/>
      <c r="D2407" s="19"/>
      <c r="H2407" s="18"/>
      <c r="J2407" s="18"/>
      <c r="N2407" s="16"/>
      <c r="O2407" s="17"/>
      <c r="P2407" s="17"/>
      <c r="Q2407" s="22"/>
      <c r="R2407" s="23"/>
    </row>
    <row r="2408" spans="1:18" ht="12.75">
      <c r="A2408" s="22"/>
      <c r="D2408" s="19"/>
      <c r="H2408" s="18"/>
      <c r="J2408" s="18"/>
      <c r="N2408" s="16"/>
      <c r="O2408" s="17"/>
      <c r="P2408" s="17"/>
      <c r="Q2408" s="22"/>
      <c r="R2408" s="23"/>
    </row>
    <row r="2409" spans="1:18" ht="12.75">
      <c r="A2409" s="22"/>
      <c r="D2409" s="19"/>
      <c r="H2409" s="18"/>
      <c r="J2409" s="18"/>
      <c r="N2409" s="16"/>
      <c r="O2409" s="17"/>
      <c r="P2409" s="17"/>
      <c r="Q2409" s="22"/>
      <c r="R2409" s="23"/>
    </row>
    <row r="2410" spans="1:18" ht="12.75">
      <c r="A2410" s="22"/>
      <c r="D2410" s="19"/>
      <c r="H2410" s="18"/>
      <c r="J2410" s="18"/>
      <c r="N2410" s="16"/>
      <c r="O2410" s="17"/>
      <c r="P2410" s="17"/>
      <c r="Q2410" s="22"/>
      <c r="R2410" s="23"/>
    </row>
    <row r="2411" spans="1:18" ht="12.75">
      <c r="A2411" s="22"/>
      <c r="D2411" s="19"/>
      <c r="H2411" s="18"/>
      <c r="J2411" s="18"/>
      <c r="N2411" s="16"/>
      <c r="O2411" s="17"/>
      <c r="P2411" s="17"/>
      <c r="Q2411" s="22"/>
      <c r="R2411" s="23"/>
    </row>
    <row r="2412" spans="1:18" ht="12.75">
      <c r="A2412" s="22"/>
      <c r="D2412" s="19"/>
      <c r="H2412" s="18"/>
      <c r="J2412" s="18"/>
      <c r="N2412" s="16"/>
      <c r="O2412" s="17"/>
      <c r="P2412" s="17"/>
      <c r="Q2412" s="22"/>
      <c r="R2412" s="23"/>
    </row>
    <row r="2413" spans="1:18" ht="12.75">
      <c r="A2413" s="22"/>
      <c r="D2413" s="19"/>
      <c r="H2413" s="18"/>
      <c r="J2413" s="18"/>
      <c r="N2413" s="16"/>
      <c r="O2413" s="17"/>
      <c r="P2413" s="17"/>
      <c r="Q2413" s="22"/>
      <c r="R2413" s="23"/>
    </row>
    <row r="2414" spans="1:18" ht="12.75">
      <c r="A2414" s="22"/>
      <c r="D2414" s="19"/>
      <c r="H2414" s="18"/>
      <c r="J2414" s="18"/>
      <c r="N2414" s="16"/>
      <c r="O2414" s="17"/>
      <c r="P2414" s="17"/>
      <c r="Q2414" s="22"/>
      <c r="R2414" s="23"/>
    </row>
    <row r="2415" spans="1:18" ht="12.75">
      <c r="A2415" s="22"/>
      <c r="D2415" s="19"/>
      <c r="H2415" s="18"/>
      <c r="J2415" s="18"/>
      <c r="N2415" s="16"/>
      <c r="O2415" s="17"/>
      <c r="P2415" s="17"/>
      <c r="Q2415" s="22"/>
      <c r="R2415" s="23"/>
    </row>
    <row r="2416" spans="1:18" ht="12.75">
      <c r="A2416" s="22"/>
      <c r="D2416" s="19"/>
      <c r="H2416" s="18"/>
      <c r="J2416" s="18"/>
      <c r="N2416" s="16"/>
      <c r="O2416" s="17"/>
      <c r="P2416" s="17"/>
      <c r="Q2416" s="22"/>
      <c r="R2416" s="23"/>
    </row>
    <row r="2417" spans="1:18" ht="12.75">
      <c r="A2417" s="22"/>
      <c r="D2417" s="19"/>
      <c r="H2417" s="18"/>
      <c r="J2417" s="18"/>
      <c r="N2417" s="16"/>
      <c r="O2417" s="17"/>
      <c r="P2417" s="17"/>
      <c r="Q2417" s="22"/>
      <c r="R2417" s="23"/>
    </row>
    <row r="2418" spans="1:18" ht="12.75">
      <c r="A2418" s="22"/>
      <c r="D2418" s="19"/>
      <c r="H2418" s="18"/>
      <c r="J2418" s="18"/>
      <c r="N2418" s="16"/>
      <c r="O2418" s="17"/>
      <c r="P2418" s="17"/>
      <c r="Q2418" s="22"/>
      <c r="R2418" s="23"/>
    </row>
    <row r="2419" spans="1:18" ht="12.75">
      <c r="A2419" s="22"/>
      <c r="D2419" s="19"/>
      <c r="H2419" s="18"/>
      <c r="J2419" s="18"/>
      <c r="N2419" s="16"/>
      <c r="O2419" s="17"/>
      <c r="P2419" s="17"/>
      <c r="Q2419" s="22"/>
      <c r="R2419" s="23"/>
    </row>
    <row r="2420" spans="1:18" ht="12.75">
      <c r="A2420" s="22"/>
      <c r="D2420" s="19"/>
      <c r="H2420" s="18"/>
      <c r="J2420" s="18"/>
      <c r="N2420" s="16"/>
      <c r="O2420" s="17"/>
      <c r="P2420" s="17"/>
      <c r="Q2420" s="22"/>
      <c r="R2420" s="23"/>
    </row>
    <row r="2421" spans="1:18" ht="12.75">
      <c r="A2421" s="22"/>
      <c r="D2421" s="19"/>
      <c r="H2421" s="18"/>
      <c r="J2421" s="18"/>
      <c r="N2421" s="16"/>
      <c r="O2421" s="17"/>
      <c r="P2421" s="17"/>
      <c r="Q2421" s="22"/>
      <c r="R2421" s="23"/>
    </row>
    <row r="2422" spans="1:18" ht="12.75">
      <c r="A2422" s="22"/>
      <c r="D2422" s="19"/>
      <c r="H2422" s="18"/>
      <c r="J2422" s="18"/>
      <c r="N2422" s="16"/>
      <c r="O2422" s="17"/>
      <c r="P2422" s="17"/>
      <c r="Q2422" s="22"/>
      <c r="R2422" s="23"/>
    </row>
    <row r="2423" spans="1:18" ht="12.75">
      <c r="A2423" s="22"/>
      <c r="D2423" s="19"/>
      <c r="H2423" s="18"/>
      <c r="J2423" s="18"/>
      <c r="N2423" s="16"/>
      <c r="O2423" s="17"/>
      <c r="P2423" s="17"/>
      <c r="Q2423" s="22"/>
      <c r="R2423" s="23"/>
    </row>
    <row r="2424" spans="1:18" ht="12.75">
      <c r="A2424" s="22"/>
      <c r="D2424" s="19"/>
      <c r="H2424" s="18"/>
      <c r="J2424" s="18"/>
      <c r="N2424" s="16"/>
      <c r="O2424" s="17"/>
      <c r="P2424" s="17"/>
      <c r="Q2424" s="22"/>
      <c r="R2424" s="23"/>
    </row>
    <row r="2425" spans="1:18" ht="12.75">
      <c r="A2425" s="22"/>
      <c r="D2425" s="19"/>
      <c r="H2425" s="18"/>
      <c r="J2425" s="18"/>
      <c r="N2425" s="16"/>
      <c r="O2425" s="17"/>
      <c r="P2425" s="17"/>
      <c r="Q2425" s="22"/>
      <c r="R2425" s="23"/>
    </row>
    <row r="2426" spans="1:18" ht="12.75">
      <c r="A2426" s="22"/>
      <c r="D2426" s="19"/>
      <c r="H2426" s="18"/>
      <c r="J2426" s="18"/>
      <c r="N2426" s="16"/>
      <c r="O2426" s="17"/>
      <c r="P2426" s="17"/>
      <c r="Q2426" s="22"/>
      <c r="R2426" s="23"/>
    </row>
    <row r="2427" spans="1:18" ht="12.75">
      <c r="A2427" s="22"/>
      <c r="D2427" s="19"/>
      <c r="H2427" s="18"/>
      <c r="J2427" s="18"/>
      <c r="N2427" s="16"/>
      <c r="O2427" s="17"/>
      <c r="P2427" s="17"/>
      <c r="Q2427" s="22"/>
      <c r="R2427" s="23"/>
    </row>
    <row r="2428" spans="1:18" ht="12.75">
      <c r="A2428" s="22"/>
      <c r="D2428" s="19"/>
      <c r="H2428" s="18"/>
      <c r="J2428" s="18"/>
      <c r="N2428" s="16"/>
      <c r="O2428" s="17"/>
      <c r="P2428" s="17"/>
      <c r="Q2428" s="22"/>
      <c r="R2428" s="23"/>
    </row>
    <row r="2429" spans="1:18" ht="12.75">
      <c r="A2429" s="22"/>
      <c r="D2429" s="19"/>
      <c r="H2429" s="18"/>
      <c r="J2429" s="18"/>
      <c r="N2429" s="16"/>
      <c r="O2429" s="17"/>
      <c r="P2429" s="17"/>
      <c r="Q2429" s="22"/>
      <c r="R2429" s="23"/>
    </row>
    <row r="2430" spans="1:18" ht="12.75">
      <c r="A2430" s="22"/>
      <c r="D2430" s="19"/>
      <c r="H2430" s="18"/>
      <c r="J2430" s="18"/>
      <c r="N2430" s="16"/>
      <c r="O2430" s="17"/>
      <c r="P2430" s="17"/>
      <c r="Q2430" s="22"/>
      <c r="R2430" s="23"/>
    </row>
    <row r="2431" spans="1:18" ht="12.75">
      <c r="A2431" s="22"/>
      <c r="D2431" s="19"/>
      <c r="H2431" s="18"/>
      <c r="J2431" s="18"/>
      <c r="N2431" s="16"/>
      <c r="O2431" s="17"/>
      <c r="P2431" s="17"/>
      <c r="Q2431" s="22"/>
      <c r="R2431" s="23"/>
    </row>
    <row r="2432" spans="1:18" ht="12.75">
      <c r="A2432" s="22"/>
      <c r="D2432" s="19"/>
      <c r="H2432" s="18"/>
      <c r="J2432" s="18"/>
      <c r="N2432" s="16"/>
      <c r="O2432" s="17"/>
      <c r="P2432" s="17"/>
      <c r="Q2432" s="22"/>
      <c r="R2432" s="23"/>
    </row>
    <row r="2433" spans="1:18" ht="12.75">
      <c r="A2433" s="22"/>
      <c r="D2433" s="19"/>
      <c r="H2433" s="18"/>
      <c r="J2433" s="18"/>
      <c r="N2433" s="16"/>
      <c r="O2433" s="17"/>
      <c r="P2433" s="17"/>
      <c r="Q2433" s="22"/>
      <c r="R2433" s="23"/>
    </row>
    <row r="2434" spans="1:18" ht="12.75">
      <c r="A2434" s="22"/>
      <c r="D2434" s="19"/>
      <c r="H2434" s="18"/>
      <c r="J2434" s="18"/>
      <c r="N2434" s="16"/>
      <c r="O2434" s="17"/>
      <c r="P2434" s="17"/>
      <c r="Q2434" s="22"/>
      <c r="R2434" s="23"/>
    </row>
    <row r="2435" spans="1:18" ht="12.75">
      <c r="A2435" s="22"/>
      <c r="D2435" s="19"/>
      <c r="H2435" s="18"/>
      <c r="J2435" s="18"/>
      <c r="N2435" s="16"/>
      <c r="O2435" s="17"/>
      <c r="P2435" s="17"/>
      <c r="Q2435" s="22"/>
      <c r="R2435" s="23"/>
    </row>
    <row r="2436" spans="1:18" ht="12.75">
      <c r="A2436" s="22"/>
      <c r="D2436" s="19"/>
      <c r="H2436" s="18"/>
      <c r="J2436" s="18"/>
      <c r="N2436" s="16"/>
      <c r="O2436" s="17"/>
      <c r="P2436" s="17"/>
      <c r="Q2436" s="22"/>
      <c r="R2436" s="23"/>
    </row>
    <row r="2437" spans="1:18" ht="12.75">
      <c r="A2437" s="22"/>
      <c r="D2437" s="19"/>
      <c r="H2437" s="18"/>
      <c r="J2437" s="18"/>
      <c r="N2437" s="16"/>
      <c r="O2437" s="17"/>
      <c r="P2437" s="17"/>
      <c r="Q2437" s="22"/>
      <c r="R2437" s="23"/>
    </row>
    <row r="2438" spans="1:18" ht="12.75">
      <c r="A2438" s="22"/>
      <c r="D2438" s="19"/>
      <c r="H2438" s="18"/>
      <c r="J2438" s="18"/>
      <c r="N2438" s="16"/>
      <c r="O2438" s="17"/>
      <c r="P2438" s="17"/>
      <c r="Q2438" s="22"/>
      <c r="R2438" s="23"/>
    </row>
    <row r="2439" spans="1:18" ht="12.75">
      <c r="A2439" s="22"/>
      <c r="D2439" s="19"/>
      <c r="H2439" s="18"/>
      <c r="J2439" s="18"/>
      <c r="N2439" s="16"/>
      <c r="O2439" s="17"/>
      <c r="P2439" s="17"/>
      <c r="Q2439" s="22"/>
      <c r="R2439" s="23"/>
    </row>
    <row r="2440" spans="1:18" ht="12.75">
      <c r="A2440" s="22"/>
      <c r="D2440" s="19"/>
      <c r="H2440" s="18"/>
      <c r="J2440" s="18"/>
      <c r="N2440" s="16"/>
      <c r="O2440" s="17"/>
      <c r="P2440" s="17"/>
      <c r="Q2440" s="22"/>
      <c r="R2440" s="23"/>
    </row>
    <row r="2441" spans="1:18" ht="12.75">
      <c r="A2441" s="22"/>
      <c r="D2441" s="19"/>
      <c r="H2441" s="18"/>
      <c r="J2441" s="18"/>
      <c r="N2441" s="16"/>
      <c r="O2441" s="17"/>
      <c r="P2441" s="17"/>
      <c r="Q2441" s="22"/>
      <c r="R2441" s="23"/>
    </row>
    <row r="2442" spans="1:18" ht="12.75">
      <c r="A2442" s="22"/>
      <c r="D2442" s="19"/>
      <c r="H2442" s="18"/>
      <c r="J2442" s="18"/>
      <c r="N2442" s="16"/>
      <c r="O2442" s="17"/>
      <c r="P2442" s="17"/>
      <c r="Q2442" s="22"/>
      <c r="R2442" s="23"/>
    </row>
    <row r="2443" spans="1:18" ht="12.75">
      <c r="A2443" s="22"/>
      <c r="D2443" s="19"/>
      <c r="H2443" s="18"/>
      <c r="J2443" s="18"/>
      <c r="N2443" s="16"/>
      <c r="O2443" s="17"/>
      <c r="P2443" s="17"/>
      <c r="Q2443" s="22"/>
      <c r="R2443" s="23"/>
    </row>
    <row r="2444" spans="1:18" ht="12.75">
      <c r="A2444" s="22"/>
      <c r="D2444" s="19"/>
      <c r="H2444" s="18"/>
      <c r="J2444" s="18"/>
      <c r="N2444" s="16"/>
      <c r="O2444" s="17"/>
      <c r="P2444" s="17"/>
      <c r="Q2444" s="22"/>
      <c r="R2444" s="23"/>
    </row>
    <row r="2445" spans="1:18" ht="12.75">
      <c r="A2445" s="22"/>
      <c r="D2445" s="19"/>
      <c r="H2445" s="18"/>
      <c r="J2445" s="18"/>
      <c r="N2445" s="16"/>
      <c r="O2445" s="17"/>
      <c r="P2445" s="17"/>
      <c r="Q2445" s="22"/>
      <c r="R2445" s="23"/>
    </row>
    <row r="2446" spans="1:18" ht="12.75">
      <c r="A2446" s="22"/>
      <c r="D2446" s="19"/>
      <c r="H2446" s="18"/>
      <c r="J2446" s="18"/>
      <c r="N2446" s="16"/>
      <c r="O2446" s="17"/>
      <c r="P2446" s="17"/>
      <c r="Q2446" s="22"/>
      <c r="R2446" s="23"/>
    </row>
    <row r="2447" spans="1:18" ht="12.75">
      <c r="A2447" s="22"/>
      <c r="D2447" s="19"/>
      <c r="H2447" s="18"/>
      <c r="J2447" s="18"/>
      <c r="N2447" s="16"/>
      <c r="O2447" s="17"/>
      <c r="P2447" s="17"/>
      <c r="Q2447" s="22"/>
      <c r="R2447" s="23"/>
    </row>
    <row r="2448" spans="1:18" ht="12.75">
      <c r="A2448" s="22"/>
      <c r="D2448" s="19"/>
      <c r="H2448" s="18"/>
      <c r="J2448" s="18"/>
      <c r="N2448" s="16"/>
      <c r="O2448" s="17"/>
      <c r="P2448" s="17"/>
      <c r="Q2448" s="22"/>
      <c r="R2448" s="23"/>
    </row>
    <row r="2449" spans="1:18" ht="12.75">
      <c r="A2449" s="22"/>
      <c r="D2449" s="19"/>
      <c r="H2449" s="18"/>
      <c r="J2449" s="18"/>
      <c r="N2449" s="16"/>
      <c r="O2449" s="17"/>
      <c r="P2449" s="17"/>
      <c r="Q2449" s="22"/>
      <c r="R2449" s="23"/>
    </row>
    <row r="2450" spans="1:18" ht="12.75">
      <c r="A2450" s="22"/>
      <c r="D2450" s="19"/>
      <c r="H2450" s="18"/>
      <c r="J2450" s="18"/>
      <c r="N2450" s="16"/>
      <c r="O2450" s="17"/>
      <c r="P2450" s="17"/>
      <c r="Q2450" s="22"/>
      <c r="R2450" s="23"/>
    </row>
    <row r="2451" spans="1:18" ht="12.75">
      <c r="A2451" s="22"/>
      <c r="D2451" s="19"/>
      <c r="H2451" s="18"/>
      <c r="J2451" s="18"/>
      <c r="N2451" s="16"/>
      <c r="O2451" s="17"/>
      <c r="P2451" s="17"/>
      <c r="Q2451" s="22"/>
      <c r="R2451" s="23"/>
    </row>
    <row r="2452" spans="1:18" ht="12.75">
      <c r="A2452" s="22"/>
      <c r="D2452" s="19"/>
      <c r="H2452" s="18"/>
      <c r="J2452" s="18"/>
      <c r="N2452" s="16"/>
      <c r="O2452" s="17"/>
      <c r="P2452" s="17"/>
      <c r="Q2452" s="22"/>
      <c r="R2452" s="23"/>
    </row>
    <row r="2453" spans="1:18" ht="12.75">
      <c r="A2453" s="22"/>
      <c r="D2453" s="19"/>
      <c r="H2453" s="18"/>
      <c r="J2453" s="18"/>
      <c r="N2453" s="16"/>
      <c r="O2453" s="17"/>
      <c r="P2453" s="17"/>
      <c r="Q2453" s="22"/>
      <c r="R2453" s="23"/>
    </row>
    <row r="2454" spans="1:18" ht="12.75">
      <c r="A2454" s="22"/>
      <c r="D2454" s="19"/>
      <c r="H2454" s="18"/>
      <c r="J2454" s="18"/>
      <c r="N2454" s="16"/>
      <c r="O2454" s="17"/>
      <c r="P2454" s="17"/>
      <c r="Q2454" s="22"/>
      <c r="R2454" s="23"/>
    </row>
    <row r="2455" spans="1:18" ht="12.75">
      <c r="A2455" s="22"/>
      <c r="D2455" s="19"/>
      <c r="H2455" s="18"/>
      <c r="J2455" s="18"/>
      <c r="N2455" s="16"/>
      <c r="O2455" s="17"/>
      <c r="P2455" s="17"/>
      <c r="Q2455" s="22"/>
      <c r="R2455" s="23"/>
    </row>
    <row r="2456" spans="1:18" ht="12.75">
      <c r="A2456" s="22"/>
      <c r="D2456" s="19"/>
      <c r="H2456" s="18"/>
      <c r="J2456" s="18"/>
      <c r="N2456" s="16"/>
      <c r="O2456" s="17"/>
      <c r="P2456" s="17"/>
      <c r="Q2456" s="22"/>
      <c r="R2456" s="23"/>
    </row>
    <row r="2457" spans="1:18" ht="12.75">
      <c r="A2457" s="22"/>
      <c r="D2457" s="19"/>
      <c r="H2457" s="18"/>
      <c r="J2457" s="18"/>
      <c r="N2457" s="16"/>
      <c r="O2457" s="17"/>
      <c r="P2457" s="17"/>
      <c r="Q2457" s="22"/>
      <c r="R2457" s="23"/>
    </row>
    <row r="2458" spans="1:18" ht="12.75">
      <c r="A2458" s="22"/>
      <c r="D2458" s="19"/>
      <c r="H2458" s="18"/>
      <c r="J2458" s="18"/>
      <c r="N2458" s="16"/>
      <c r="O2458" s="17"/>
      <c r="P2458" s="17"/>
      <c r="Q2458" s="22"/>
      <c r="R2458" s="23"/>
    </row>
    <row r="2459" spans="1:18" ht="12.75">
      <c r="A2459" s="22"/>
      <c r="D2459" s="19"/>
      <c r="H2459" s="18"/>
      <c r="J2459" s="18"/>
      <c r="N2459" s="16"/>
      <c r="O2459" s="17"/>
      <c r="P2459" s="17"/>
      <c r="Q2459" s="22"/>
      <c r="R2459" s="23"/>
    </row>
    <row r="2460" spans="1:18" ht="12.75">
      <c r="A2460" s="22"/>
      <c r="D2460" s="19"/>
      <c r="H2460" s="18"/>
      <c r="J2460" s="18"/>
      <c r="N2460" s="16"/>
      <c r="O2460" s="17"/>
      <c r="P2460" s="17"/>
      <c r="Q2460" s="22"/>
      <c r="R2460" s="23"/>
    </row>
    <row r="2461" spans="1:18" ht="12.75">
      <c r="A2461" s="22"/>
      <c r="D2461" s="19"/>
      <c r="H2461" s="18"/>
      <c r="J2461" s="18"/>
      <c r="N2461" s="16"/>
      <c r="O2461" s="17"/>
      <c r="P2461" s="17"/>
      <c r="Q2461" s="22"/>
      <c r="R2461" s="23"/>
    </row>
    <row r="2462" spans="1:18" ht="12.75">
      <c r="A2462" s="22"/>
      <c r="D2462" s="19"/>
      <c r="H2462" s="18"/>
      <c r="J2462" s="18"/>
      <c r="N2462" s="16"/>
      <c r="O2462" s="17"/>
      <c r="P2462" s="17"/>
      <c r="Q2462" s="22"/>
      <c r="R2462" s="23"/>
    </row>
    <row r="2463" spans="1:18" ht="12.75">
      <c r="A2463" s="22"/>
      <c r="D2463" s="19"/>
      <c r="H2463" s="18"/>
      <c r="J2463" s="18"/>
      <c r="N2463" s="16"/>
      <c r="O2463" s="17"/>
      <c r="P2463" s="17"/>
      <c r="Q2463" s="22"/>
      <c r="R2463" s="23"/>
    </row>
    <row r="2464" spans="1:18" ht="12.75">
      <c r="A2464" s="22"/>
      <c r="D2464" s="19"/>
      <c r="H2464" s="18"/>
      <c r="J2464" s="18"/>
      <c r="N2464" s="16"/>
      <c r="O2464" s="17"/>
      <c r="P2464" s="17"/>
      <c r="Q2464" s="22"/>
      <c r="R2464" s="23"/>
    </row>
    <row r="2465" spans="1:18" ht="12.75">
      <c r="A2465" s="22"/>
      <c r="D2465" s="19"/>
      <c r="H2465" s="18"/>
      <c r="J2465" s="18"/>
      <c r="N2465" s="16"/>
      <c r="O2465" s="17"/>
      <c r="P2465" s="17"/>
      <c r="Q2465" s="22"/>
      <c r="R2465" s="23"/>
    </row>
    <row r="2466" spans="1:18" ht="12.75">
      <c r="A2466" s="22"/>
      <c r="D2466" s="19"/>
      <c r="H2466" s="18"/>
      <c r="J2466" s="18"/>
      <c r="N2466" s="16"/>
      <c r="O2466" s="17"/>
      <c r="P2466" s="17"/>
      <c r="Q2466" s="22"/>
      <c r="R2466" s="23"/>
    </row>
    <row r="2467" spans="1:18" ht="12.75">
      <c r="A2467" s="22"/>
      <c r="D2467" s="19"/>
      <c r="H2467" s="18"/>
      <c r="J2467" s="18"/>
      <c r="N2467" s="16"/>
      <c r="O2467" s="17"/>
      <c r="P2467" s="17"/>
      <c r="Q2467" s="22"/>
      <c r="R2467" s="23"/>
    </row>
    <row r="2468" spans="1:18" ht="12.75">
      <c r="A2468" s="22"/>
      <c r="D2468" s="19"/>
      <c r="H2468" s="18"/>
      <c r="J2468" s="18"/>
      <c r="N2468" s="16"/>
      <c r="O2468" s="17"/>
      <c r="P2468" s="17"/>
      <c r="Q2468" s="22"/>
      <c r="R2468" s="23"/>
    </row>
    <row r="2469" spans="1:18" ht="12.75">
      <c r="A2469" s="22"/>
      <c r="D2469" s="19"/>
      <c r="H2469" s="18"/>
      <c r="J2469" s="18"/>
      <c r="N2469" s="16"/>
      <c r="O2469" s="17"/>
      <c r="P2469" s="17"/>
      <c r="Q2469" s="22"/>
      <c r="R2469" s="23"/>
    </row>
    <row r="2470" spans="1:18" ht="12.75">
      <c r="A2470" s="22"/>
      <c r="D2470" s="19"/>
      <c r="H2470" s="18"/>
      <c r="J2470" s="18"/>
      <c r="N2470" s="16"/>
      <c r="O2470" s="17"/>
      <c r="P2470" s="17"/>
      <c r="Q2470" s="22"/>
      <c r="R2470" s="23"/>
    </row>
    <row r="2471" spans="1:18" ht="12.75">
      <c r="A2471" s="22"/>
      <c r="D2471" s="19"/>
      <c r="H2471" s="18"/>
      <c r="J2471" s="18"/>
      <c r="N2471" s="16"/>
      <c r="O2471" s="17"/>
      <c r="P2471" s="17"/>
      <c r="Q2471" s="22"/>
      <c r="R2471" s="23"/>
    </row>
    <row r="2472" spans="1:18" ht="12.75">
      <c r="A2472" s="22"/>
      <c r="D2472" s="19"/>
      <c r="H2472" s="18"/>
      <c r="J2472" s="18"/>
      <c r="N2472" s="16"/>
      <c r="O2472" s="17"/>
      <c r="P2472" s="17"/>
      <c r="Q2472" s="22"/>
      <c r="R2472" s="23"/>
    </row>
    <row r="2473" spans="1:18" ht="12.75">
      <c r="A2473" s="22"/>
      <c r="D2473" s="19"/>
      <c r="H2473" s="18"/>
      <c r="J2473" s="18"/>
      <c r="N2473" s="16"/>
      <c r="O2473" s="17"/>
      <c r="P2473" s="17"/>
      <c r="Q2473" s="22"/>
      <c r="R2473" s="23"/>
    </row>
    <row r="2474" spans="1:18" ht="12.75">
      <c r="A2474" s="22"/>
      <c r="D2474" s="19"/>
      <c r="H2474" s="18"/>
      <c r="J2474" s="18"/>
      <c r="N2474" s="16"/>
      <c r="O2474" s="17"/>
      <c r="P2474" s="17"/>
      <c r="Q2474" s="22"/>
      <c r="R2474" s="23"/>
    </row>
    <row r="2475" spans="1:18" ht="12.75">
      <c r="A2475" s="22"/>
      <c r="D2475" s="19"/>
      <c r="H2475" s="18"/>
      <c r="J2475" s="18"/>
      <c r="N2475" s="16"/>
      <c r="O2475" s="17"/>
      <c r="P2475" s="17"/>
      <c r="Q2475" s="22"/>
      <c r="R2475" s="23"/>
    </row>
    <row r="2476" spans="1:18" ht="12.75">
      <c r="A2476" s="22"/>
      <c r="D2476" s="19"/>
      <c r="H2476" s="18"/>
      <c r="J2476" s="18"/>
      <c r="N2476" s="16"/>
      <c r="O2476" s="17"/>
      <c r="P2476" s="17"/>
      <c r="Q2476" s="22"/>
      <c r="R2476" s="23"/>
    </row>
    <row r="2477" spans="1:18" ht="12.75">
      <c r="A2477" s="22"/>
      <c r="D2477" s="19"/>
      <c r="H2477" s="18"/>
      <c r="J2477" s="18"/>
      <c r="N2477" s="16"/>
      <c r="O2477" s="17"/>
      <c r="P2477" s="17"/>
      <c r="Q2477" s="22"/>
      <c r="R2477" s="23"/>
    </row>
    <row r="2478" spans="1:18" ht="12.75">
      <c r="A2478" s="22"/>
      <c r="D2478" s="19"/>
      <c r="H2478" s="18"/>
      <c r="J2478" s="18"/>
      <c r="N2478" s="16"/>
      <c r="O2478" s="17"/>
      <c r="P2478" s="17"/>
      <c r="Q2478" s="22"/>
      <c r="R2478" s="23"/>
    </row>
    <row r="2479" spans="1:18" ht="12.75">
      <c r="A2479" s="22"/>
      <c r="D2479" s="19"/>
      <c r="H2479" s="18"/>
      <c r="J2479" s="18"/>
      <c r="N2479" s="16"/>
      <c r="O2479" s="17"/>
      <c r="P2479" s="17"/>
      <c r="Q2479" s="22"/>
      <c r="R2479" s="23"/>
    </row>
    <row r="2480" spans="1:18" ht="12.75">
      <c r="A2480" s="22"/>
      <c r="D2480" s="19"/>
      <c r="H2480" s="18"/>
      <c r="J2480" s="18"/>
      <c r="N2480" s="16"/>
      <c r="O2480" s="17"/>
      <c r="P2480" s="17"/>
      <c r="Q2480" s="22"/>
      <c r="R2480" s="23"/>
    </row>
    <row r="2481" spans="1:18" ht="12.75">
      <c r="A2481" s="22"/>
      <c r="D2481" s="19"/>
      <c r="H2481" s="18"/>
      <c r="J2481" s="18"/>
      <c r="N2481" s="16"/>
      <c r="O2481" s="17"/>
      <c r="P2481" s="17"/>
      <c r="Q2481" s="22"/>
      <c r="R2481" s="23"/>
    </row>
    <row r="2482" spans="1:18" ht="12.75">
      <c r="A2482" s="22"/>
      <c r="D2482" s="19"/>
      <c r="H2482" s="18"/>
      <c r="J2482" s="18"/>
      <c r="N2482" s="16"/>
      <c r="O2482" s="17"/>
      <c r="P2482" s="17"/>
      <c r="Q2482" s="22"/>
      <c r="R2482" s="23"/>
    </row>
    <row r="2483" spans="1:18" ht="12.75">
      <c r="A2483" s="22"/>
      <c r="D2483" s="19"/>
      <c r="H2483" s="18"/>
      <c r="J2483" s="18"/>
      <c r="N2483" s="16"/>
      <c r="O2483" s="17"/>
      <c r="P2483" s="17"/>
      <c r="Q2483" s="22"/>
      <c r="R2483" s="23"/>
    </row>
    <row r="2484" spans="1:18" ht="12.75">
      <c r="A2484" s="22"/>
      <c r="D2484" s="19"/>
      <c r="H2484" s="18"/>
      <c r="J2484" s="18"/>
      <c r="N2484" s="16"/>
      <c r="O2484" s="17"/>
      <c r="P2484" s="17"/>
      <c r="Q2484" s="22"/>
      <c r="R2484" s="23"/>
    </row>
    <row r="2485" spans="1:18" ht="12.75">
      <c r="A2485" s="22"/>
      <c r="D2485" s="19"/>
      <c r="H2485" s="18"/>
      <c r="J2485" s="18"/>
      <c r="N2485" s="16"/>
      <c r="O2485" s="17"/>
      <c r="P2485" s="17"/>
      <c r="Q2485" s="22"/>
      <c r="R2485" s="23"/>
    </row>
    <row r="2486" spans="1:18" ht="12.75">
      <c r="A2486" s="22"/>
      <c r="D2486" s="19"/>
      <c r="H2486" s="18"/>
      <c r="J2486" s="18"/>
      <c r="N2486" s="16"/>
      <c r="O2486" s="17"/>
      <c r="P2486" s="17"/>
      <c r="Q2486" s="22"/>
      <c r="R2486" s="23"/>
    </row>
    <row r="2487" spans="1:18" ht="12.75">
      <c r="A2487" s="22"/>
      <c r="D2487" s="19"/>
      <c r="H2487" s="18"/>
      <c r="J2487" s="18"/>
      <c r="N2487" s="16"/>
      <c r="O2487" s="17"/>
      <c r="P2487" s="17"/>
      <c r="Q2487" s="22"/>
      <c r="R2487" s="23"/>
    </row>
    <row r="2488" spans="1:18" ht="12.75">
      <c r="A2488" s="22"/>
      <c r="D2488" s="19"/>
      <c r="H2488" s="18"/>
      <c r="J2488" s="18"/>
      <c r="N2488" s="16"/>
      <c r="O2488" s="17"/>
      <c r="P2488" s="17"/>
      <c r="Q2488" s="22"/>
      <c r="R2488" s="23"/>
    </row>
    <row r="2489" spans="1:18" ht="12.75">
      <c r="A2489" s="22"/>
      <c r="D2489" s="19"/>
      <c r="H2489" s="18"/>
      <c r="J2489" s="18"/>
      <c r="N2489" s="16"/>
      <c r="O2489" s="17"/>
      <c r="P2489" s="17"/>
      <c r="Q2489" s="22"/>
      <c r="R2489" s="23"/>
    </row>
    <row r="2490" spans="1:18" ht="12.75">
      <c r="A2490" s="22"/>
      <c r="D2490" s="19"/>
      <c r="H2490" s="18"/>
      <c r="J2490" s="18"/>
      <c r="N2490" s="16"/>
      <c r="O2490" s="17"/>
      <c r="P2490" s="17"/>
      <c r="Q2490" s="22"/>
      <c r="R2490" s="23"/>
    </row>
    <row r="2491" spans="1:18" ht="12.75">
      <c r="A2491" s="22"/>
      <c r="D2491" s="19"/>
      <c r="H2491" s="18"/>
      <c r="J2491" s="18"/>
      <c r="N2491" s="16"/>
      <c r="O2491" s="17"/>
      <c r="P2491" s="17"/>
      <c r="Q2491" s="22"/>
      <c r="R2491" s="23"/>
    </row>
    <row r="2492" spans="1:18" ht="12.75">
      <c r="A2492" s="22"/>
      <c r="D2492" s="19"/>
      <c r="H2492" s="18"/>
      <c r="J2492" s="18"/>
      <c r="N2492" s="16"/>
      <c r="O2492" s="17"/>
      <c r="P2492" s="17"/>
      <c r="Q2492" s="22"/>
      <c r="R2492" s="23"/>
    </row>
    <row r="2493" spans="1:18" ht="12.75">
      <c r="A2493" s="22"/>
      <c r="D2493" s="19"/>
      <c r="H2493" s="18"/>
      <c r="J2493" s="18"/>
      <c r="N2493" s="16"/>
      <c r="O2493" s="17"/>
      <c r="P2493" s="17"/>
      <c r="Q2493" s="22"/>
      <c r="R2493" s="23"/>
    </row>
    <row r="2494" spans="1:18" ht="12.75">
      <c r="A2494" s="22"/>
      <c r="D2494" s="19"/>
      <c r="H2494" s="18"/>
      <c r="J2494" s="18"/>
      <c r="N2494" s="16"/>
      <c r="O2494" s="17"/>
      <c r="P2494" s="17"/>
      <c r="Q2494" s="22"/>
      <c r="R2494" s="23"/>
    </row>
    <row r="2495" spans="1:18" ht="12.75">
      <c r="A2495" s="22"/>
      <c r="D2495" s="19"/>
      <c r="H2495" s="18"/>
      <c r="J2495" s="18"/>
      <c r="N2495" s="16"/>
      <c r="O2495" s="17"/>
      <c r="P2495" s="17"/>
      <c r="Q2495" s="22"/>
      <c r="R2495" s="23"/>
    </row>
    <row r="2496" spans="1:18" ht="12.75">
      <c r="A2496" s="22"/>
      <c r="D2496" s="19"/>
      <c r="H2496" s="18"/>
      <c r="J2496" s="18"/>
      <c r="N2496" s="16"/>
      <c r="O2496" s="17"/>
      <c r="P2496" s="17"/>
      <c r="Q2496" s="22"/>
      <c r="R2496" s="23"/>
    </row>
    <row r="2497" spans="1:18" ht="12.75">
      <c r="A2497" s="22"/>
      <c r="D2497" s="19"/>
      <c r="H2497" s="18"/>
      <c r="J2497" s="18"/>
      <c r="N2497" s="16"/>
      <c r="O2497" s="17"/>
      <c r="P2497" s="17"/>
      <c r="Q2497" s="22"/>
      <c r="R2497" s="23"/>
    </row>
    <row r="2498" spans="1:18" ht="12.75">
      <c r="A2498" s="22"/>
      <c r="D2498" s="19"/>
      <c r="H2498" s="18"/>
      <c r="J2498" s="18"/>
      <c r="N2498" s="16"/>
      <c r="O2498" s="17"/>
      <c r="P2498" s="17"/>
      <c r="Q2498" s="22"/>
      <c r="R2498" s="23"/>
    </row>
    <row r="2499" spans="1:18" ht="12.75">
      <c r="A2499" s="22"/>
      <c r="D2499" s="19"/>
      <c r="H2499" s="18"/>
      <c r="J2499" s="18"/>
      <c r="N2499" s="16"/>
      <c r="O2499" s="17"/>
      <c r="P2499" s="17"/>
      <c r="Q2499" s="22"/>
      <c r="R2499" s="23"/>
    </row>
    <row r="2500" spans="1:18" ht="12.75">
      <c r="A2500" s="22"/>
      <c r="D2500" s="19"/>
      <c r="H2500" s="18"/>
      <c r="J2500" s="18"/>
      <c r="N2500" s="16"/>
      <c r="O2500" s="17"/>
      <c r="P2500" s="17"/>
      <c r="Q2500" s="22"/>
      <c r="R2500" s="23"/>
    </row>
    <row r="2501" spans="1:18" ht="12.75">
      <c r="A2501" s="22"/>
      <c r="D2501" s="19"/>
      <c r="H2501" s="18"/>
      <c r="J2501" s="18"/>
      <c r="N2501" s="16"/>
      <c r="O2501" s="17"/>
      <c r="P2501" s="17"/>
      <c r="Q2501" s="22"/>
      <c r="R2501" s="23"/>
    </row>
    <row r="2502" spans="1:18" ht="12.75">
      <c r="A2502" s="22"/>
      <c r="D2502" s="19"/>
      <c r="H2502" s="18"/>
      <c r="J2502" s="18"/>
      <c r="N2502" s="16"/>
      <c r="O2502" s="17"/>
      <c r="P2502" s="17"/>
      <c r="Q2502" s="22"/>
      <c r="R2502" s="23"/>
    </row>
    <row r="2503" spans="1:18" ht="12.75">
      <c r="A2503" s="22"/>
      <c r="D2503" s="19"/>
      <c r="H2503" s="18"/>
      <c r="J2503" s="18"/>
      <c r="N2503" s="16"/>
      <c r="O2503" s="17"/>
      <c r="P2503" s="17"/>
      <c r="Q2503" s="22"/>
      <c r="R2503" s="23"/>
    </row>
    <row r="2504" spans="1:18" ht="12.75">
      <c r="A2504" s="22"/>
      <c r="D2504" s="19"/>
      <c r="H2504" s="18"/>
      <c r="J2504" s="18"/>
      <c r="N2504" s="16"/>
      <c r="O2504" s="17"/>
      <c r="P2504" s="17"/>
      <c r="Q2504" s="22"/>
      <c r="R2504" s="23"/>
    </row>
    <row r="2505" spans="1:18" ht="12.75">
      <c r="A2505" s="22"/>
      <c r="D2505" s="19"/>
      <c r="H2505" s="18"/>
      <c r="J2505" s="18"/>
      <c r="N2505" s="16"/>
      <c r="O2505" s="17"/>
      <c r="P2505" s="17"/>
      <c r="Q2505" s="22"/>
      <c r="R2505" s="23"/>
    </row>
    <row r="2506" spans="1:18" ht="12.75">
      <c r="A2506" s="22"/>
      <c r="D2506" s="19"/>
      <c r="H2506" s="18"/>
      <c r="J2506" s="18"/>
      <c r="N2506" s="16"/>
      <c r="O2506" s="17"/>
      <c r="P2506" s="17"/>
      <c r="Q2506" s="22"/>
      <c r="R2506" s="23"/>
    </row>
    <row r="2507" spans="1:18" ht="12.75">
      <c r="A2507" s="22"/>
      <c r="D2507" s="19"/>
      <c r="H2507" s="18"/>
      <c r="J2507" s="18"/>
      <c r="N2507" s="16"/>
      <c r="O2507" s="17"/>
      <c r="P2507" s="17"/>
      <c r="Q2507" s="22"/>
      <c r="R2507" s="23"/>
    </row>
    <row r="2508" spans="1:18" ht="12.75">
      <c r="A2508" s="22"/>
      <c r="D2508" s="19"/>
      <c r="H2508" s="18"/>
      <c r="J2508" s="18"/>
      <c r="N2508" s="16"/>
      <c r="O2508" s="17"/>
      <c r="P2508" s="17"/>
      <c r="Q2508" s="22"/>
      <c r="R2508" s="23"/>
    </row>
    <row r="2509" spans="1:18" ht="12.75">
      <c r="A2509" s="22"/>
      <c r="D2509" s="19"/>
      <c r="H2509" s="18"/>
      <c r="J2509" s="18"/>
      <c r="N2509" s="16"/>
      <c r="O2509" s="17"/>
      <c r="P2509" s="17"/>
      <c r="Q2509" s="22"/>
      <c r="R2509" s="23"/>
    </row>
    <row r="2510" spans="1:18" ht="12.75">
      <c r="A2510" s="22"/>
      <c r="D2510" s="19"/>
      <c r="H2510" s="18"/>
      <c r="J2510" s="18"/>
      <c r="N2510" s="16"/>
      <c r="O2510" s="17"/>
      <c r="P2510" s="17"/>
      <c r="Q2510" s="22"/>
      <c r="R2510" s="23"/>
    </row>
    <row r="2511" spans="1:18" ht="12.75">
      <c r="A2511" s="22"/>
      <c r="D2511" s="19"/>
      <c r="H2511" s="18"/>
      <c r="J2511" s="18"/>
      <c r="N2511" s="16"/>
      <c r="O2511" s="17"/>
      <c r="P2511" s="17"/>
      <c r="Q2511" s="22"/>
      <c r="R2511" s="23"/>
    </row>
    <row r="2512" spans="1:18" ht="12.75">
      <c r="A2512" s="22"/>
      <c r="D2512" s="19"/>
      <c r="H2512" s="18"/>
      <c r="J2512" s="18"/>
      <c r="N2512" s="16"/>
      <c r="O2512" s="17"/>
      <c r="P2512" s="17"/>
      <c r="Q2512" s="22"/>
      <c r="R2512" s="23"/>
    </row>
    <row r="2513" spans="1:18" ht="12.75">
      <c r="A2513" s="22"/>
      <c r="D2513" s="19"/>
      <c r="H2513" s="18"/>
      <c r="J2513" s="18"/>
      <c r="N2513" s="16"/>
      <c r="O2513" s="17"/>
      <c r="P2513" s="17"/>
      <c r="Q2513" s="22"/>
      <c r="R2513" s="23"/>
    </row>
    <row r="2514" spans="1:18" ht="12.75">
      <c r="A2514" s="22"/>
      <c r="D2514" s="19"/>
      <c r="H2514" s="18"/>
      <c r="J2514" s="18"/>
      <c r="N2514" s="16"/>
      <c r="O2514" s="17"/>
      <c r="P2514" s="17"/>
      <c r="Q2514" s="22"/>
      <c r="R2514" s="23"/>
    </row>
    <row r="2515" spans="1:18" ht="12.75">
      <c r="A2515" s="22"/>
      <c r="D2515" s="19"/>
      <c r="H2515" s="18"/>
      <c r="J2515" s="18"/>
      <c r="N2515" s="16"/>
      <c r="O2515" s="17"/>
      <c r="P2515" s="17"/>
      <c r="Q2515" s="22"/>
      <c r="R2515" s="23"/>
    </row>
    <row r="2516" spans="1:18" ht="12.75">
      <c r="A2516" s="22"/>
      <c r="D2516" s="19"/>
      <c r="H2516" s="18"/>
      <c r="J2516" s="18"/>
      <c r="N2516" s="16"/>
      <c r="O2516" s="17"/>
      <c r="P2516" s="17"/>
      <c r="Q2516" s="22"/>
      <c r="R2516" s="23"/>
    </row>
    <row r="2517" spans="1:18" ht="12.75">
      <c r="A2517" s="22"/>
      <c r="D2517" s="19"/>
      <c r="H2517" s="18"/>
      <c r="J2517" s="18"/>
      <c r="N2517" s="16"/>
      <c r="O2517" s="17"/>
      <c r="P2517" s="17"/>
      <c r="Q2517" s="22"/>
      <c r="R2517" s="23"/>
    </row>
    <row r="2518" spans="1:18" ht="12.75">
      <c r="A2518" s="22"/>
      <c r="D2518" s="19"/>
      <c r="H2518" s="18"/>
      <c r="J2518" s="18"/>
      <c r="N2518" s="16"/>
      <c r="O2518" s="17"/>
      <c r="P2518" s="17"/>
      <c r="Q2518" s="22"/>
      <c r="R2518" s="23"/>
    </row>
    <row r="2519" spans="1:18" ht="12.75">
      <c r="A2519" s="22"/>
      <c r="D2519" s="19"/>
      <c r="H2519" s="18"/>
      <c r="J2519" s="18"/>
      <c r="N2519" s="16"/>
      <c r="O2519" s="17"/>
      <c r="P2519" s="17"/>
      <c r="Q2519" s="22"/>
      <c r="R2519" s="23"/>
    </row>
    <row r="2520" spans="1:18" ht="12.75">
      <c r="A2520" s="22"/>
      <c r="D2520" s="19"/>
      <c r="H2520" s="18"/>
      <c r="J2520" s="18"/>
      <c r="N2520" s="16"/>
      <c r="O2520" s="17"/>
      <c r="P2520" s="17"/>
      <c r="Q2520" s="22"/>
      <c r="R2520" s="23"/>
    </row>
    <row r="2521" spans="1:18" ht="12.75">
      <c r="A2521" s="22"/>
      <c r="D2521" s="19"/>
      <c r="H2521" s="18"/>
      <c r="J2521" s="18"/>
      <c r="N2521" s="16"/>
      <c r="O2521" s="17"/>
      <c r="P2521" s="17"/>
      <c r="Q2521" s="22"/>
      <c r="R2521" s="23"/>
    </row>
    <row r="2522" spans="1:18" ht="12.75">
      <c r="A2522" s="22"/>
      <c r="D2522" s="19"/>
      <c r="H2522" s="18"/>
      <c r="J2522" s="18"/>
      <c r="N2522" s="16"/>
      <c r="O2522" s="17"/>
      <c r="P2522" s="17"/>
      <c r="Q2522" s="22"/>
      <c r="R2522" s="23"/>
    </row>
    <row r="2523" spans="1:18" ht="12.75">
      <c r="A2523" s="22"/>
      <c r="D2523" s="19"/>
      <c r="H2523" s="18"/>
      <c r="J2523" s="18"/>
      <c r="N2523" s="16"/>
      <c r="O2523" s="17"/>
      <c r="P2523" s="17"/>
      <c r="Q2523" s="22"/>
      <c r="R2523" s="23"/>
    </row>
    <row r="2524" spans="1:18" ht="12.75">
      <c r="A2524" s="22"/>
      <c r="D2524" s="19"/>
      <c r="H2524" s="18"/>
      <c r="J2524" s="18"/>
      <c r="N2524" s="16"/>
      <c r="O2524" s="17"/>
      <c r="P2524" s="17"/>
      <c r="Q2524" s="22"/>
      <c r="R2524" s="23"/>
    </row>
    <row r="2525" spans="1:18" ht="12.75">
      <c r="A2525" s="22"/>
      <c r="D2525" s="19"/>
      <c r="H2525" s="18"/>
      <c r="J2525" s="18"/>
      <c r="N2525" s="16"/>
      <c r="O2525" s="17"/>
      <c r="P2525" s="17"/>
      <c r="Q2525" s="22"/>
      <c r="R2525" s="23"/>
    </row>
    <row r="2526" spans="1:18" ht="12.75">
      <c r="A2526" s="22"/>
      <c r="D2526" s="19"/>
      <c r="H2526" s="18"/>
      <c r="J2526" s="18"/>
      <c r="N2526" s="16"/>
      <c r="O2526" s="17"/>
      <c r="P2526" s="17"/>
      <c r="Q2526" s="22"/>
      <c r="R2526" s="23"/>
    </row>
    <row r="2527" spans="1:18" ht="12.75">
      <c r="A2527" s="22"/>
      <c r="D2527" s="19"/>
      <c r="H2527" s="18"/>
      <c r="J2527" s="18"/>
      <c r="N2527" s="16"/>
      <c r="O2527" s="17"/>
      <c r="P2527" s="17"/>
      <c r="Q2527" s="22"/>
      <c r="R2527" s="23"/>
    </row>
    <row r="2528" spans="1:18" ht="12.75">
      <c r="A2528" s="22"/>
      <c r="D2528" s="19"/>
      <c r="H2528" s="18"/>
      <c r="J2528" s="18"/>
      <c r="N2528" s="16"/>
      <c r="O2528" s="17"/>
      <c r="P2528" s="17"/>
      <c r="Q2528" s="22"/>
      <c r="R2528" s="23"/>
    </row>
    <row r="2529" spans="1:18" ht="12.75">
      <c r="A2529" s="22"/>
      <c r="D2529" s="19"/>
      <c r="H2529" s="18"/>
      <c r="J2529" s="18"/>
      <c r="N2529" s="16"/>
      <c r="O2529" s="17"/>
      <c r="P2529" s="17"/>
      <c r="Q2529" s="22"/>
      <c r="R2529" s="23"/>
    </row>
    <row r="2530" spans="1:18" ht="12.75">
      <c r="A2530" s="22"/>
      <c r="D2530" s="19"/>
      <c r="H2530" s="18"/>
      <c r="J2530" s="18"/>
      <c r="N2530" s="16"/>
      <c r="O2530" s="17"/>
      <c r="P2530" s="17"/>
      <c r="Q2530" s="22"/>
      <c r="R2530" s="23"/>
    </row>
    <row r="2531" spans="1:18" ht="12.75">
      <c r="A2531" s="22"/>
      <c r="D2531" s="19"/>
      <c r="H2531" s="18"/>
      <c r="J2531" s="18"/>
      <c r="N2531" s="16"/>
      <c r="O2531" s="17"/>
      <c r="P2531" s="17"/>
      <c r="Q2531" s="22"/>
      <c r="R2531" s="23"/>
    </row>
    <row r="2532" spans="1:18" ht="12.75">
      <c r="A2532" s="22"/>
      <c r="D2532" s="19"/>
      <c r="H2532" s="18"/>
      <c r="J2532" s="18"/>
      <c r="N2532" s="16"/>
      <c r="O2532" s="17"/>
      <c r="P2532" s="17"/>
      <c r="Q2532" s="22"/>
      <c r="R2532" s="23"/>
    </row>
    <row r="2533" spans="1:18" ht="12.75">
      <c r="A2533" s="22"/>
      <c r="D2533" s="19"/>
      <c r="H2533" s="18"/>
      <c r="J2533" s="18"/>
      <c r="N2533" s="16"/>
      <c r="O2533" s="17"/>
      <c r="P2533" s="17"/>
      <c r="Q2533" s="22"/>
      <c r="R2533" s="23"/>
    </row>
    <row r="2534" spans="1:18" ht="12.75">
      <c r="A2534" s="22"/>
      <c r="D2534" s="19"/>
      <c r="H2534" s="18"/>
      <c r="J2534" s="18"/>
      <c r="N2534" s="16"/>
      <c r="O2534" s="17"/>
      <c r="P2534" s="17"/>
      <c r="Q2534" s="22"/>
      <c r="R2534" s="23"/>
    </row>
    <row r="2535" spans="1:18" ht="12.75">
      <c r="A2535" s="22"/>
      <c r="D2535" s="19"/>
      <c r="H2535" s="18"/>
      <c r="J2535" s="18"/>
      <c r="N2535" s="16"/>
      <c r="O2535" s="17"/>
      <c r="P2535" s="17"/>
      <c r="Q2535" s="22"/>
      <c r="R2535" s="23"/>
    </row>
    <row r="2536" spans="1:18" ht="12.75">
      <c r="A2536" s="22"/>
      <c r="D2536" s="19"/>
      <c r="H2536" s="18"/>
      <c r="J2536" s="18"/>
      <c r="N2536" s="16"/>
      <c r="O2536" s="17"/>
      <c r="P2536" s="17"/>
      <c r="Q2536" s="22"/>
      <c r="R2536" s="23"/>
    </row>
    <row r="2537" spans="1:18" ht="12.75">
      <c r="A2537" s="22"/>
      <c r="D2537" s="19"/>
      <c r="H2537" s="18"/>
      <c r="J2537" s="18"/>
      <c r="N2537" s="16"/>
      <c r="O2537" s="17"/>
      <c r="P2537" s="17"/>
      <c r="Q2537" s="22"/>
      <c r="R2537" s="23"/>
    </row>
    <row r="2538" spans="1:18" ht="12.75">
      <c r="A2538" s="22"/>
      <c r="D2538" s="19"/>
      <c r="H2538" s="18"/>
      <c r="J2538" s="18"/>
      <c r="N2538" s="16"/>
      <c r="O2538" s="17"/>
      <c r="P2538" s="17"/>
      <c r="Q2538" s="22"/>
      <c r="R2538" s="23"/>
    </row>
    <row r="2539" spans="1:18" ht="12.75">
      <c r="A2539" s="22"/>
      <c r="D2539" s="19"/>
      <c r="H2539" s="18"/>
      <c r="J2539" s="18"/>
      <c r="N2539" s="16"/>
      <c r="O2539" s="17"/>
      <c r="P2539" s="17"/>
      <c r="Q2539" s="22"/>
      <c r="R2539" s="23"/>
    </row>
    <row r="2540" spans="1:18" ht="12.75">
      <c r="A2540" s="22"/>
      <c r="D2540" s="19"/>
      <c r="H2540" s="18"/>
      <c r="J2540" s="18"/>
      <c r="N2540" s="16"/>
      <c r="O2540" s="17"/>
      <c r="P2540" s="17"/>
      <c r="Q2540" s="22"/>
      <c r="R2540" s="23"/>
    </row>
    <row r="2541" spans="1:18" ht="12.75">
      <c r="A2541" s="22"/>
      <c r="D2541" s="19"/>
      <c r="H2541" s="18"/>
      <c r="J2541" s="18"/>
      <c r="N2541" s="16"/>
      <c r="O2541" s="17"/>
      <c r="P2541" s="17"/>
      <c r="Q2541" s="22"/>
      <c r="R2541" s="23"/>
    </row>
    <row r="2542" spans="1:18" ht="12.75">
      <c r="A2542" s="22"/>
      <c r="D2542" s="19"/>
      <c r="H2542" s="18"/>
      <c r="J2542" s="18"/>
      <c r="N2542" s="16"/>
      <c r="O2542" s="17"/>
      <c r="P2542" s="17"/>
      <c r="Q2542" s="22"/>
      <c r="R2542" s="23"/>
    </row>
    <row r="2543" spans="1:18" ht="12.75">
      <c r="A2543" s="22"/>
      <c r="D2543" s="19"/>
      <c r="H2543" s="18"/>
      <c r="J2543" s="18"/>
      <c r="N2543" s="16"/>
      <c r="O2543" s="17"/>
      <c r="P2543" s="17"/>
      <c r="Q2543" s="22"/>
      <c r="R2543" s="23"/>
    </row>
    <row r="2544" spans="1:18" ht="12.75">
      <c r="A2544" s="22"/>
      <c r="D2544" s="19"/>
      <c r="H2544" s="18"/>
      <c r="J2544" s="18"/>
      <c r="N2544" s="16"/>
      <c r="O2544" s="17"/>
      <c r="P2544" s="17"/>
      <c r="Q2544" s="22"/>
      <c r="R2544" s="23"/>
    </row>
    <row r="2545" spans="1:18" ht="12.75">
      <c r="A2545" s="22"/>
      <c r="D2545" s="19"/>
      <c r="H2545" s="18"/>
      <c r="J2545" s="18"/>
      <c r="N2545" s="16"/>
      <c r="O2545" s="17"/>
      <c r="P2545" s="17"/>
      <c r="Q2545" s="22"/>
      <c r="R2545" s="23"/>
    </row>
    <row r="2546" spans="1:18" ht="12.75">
      <c r="A2546" s="22"/>
      <c r="D2546" s="19"/>
      <c r="H2546" s="18"/>
      <c r="J2546" s="18"/>
      <c r="N2546" s="16"/>
      <c r="O2546" s="17"/>
      <c r="P2546" s="17"/>
      <c r="Q2546" s="22"/>
      <c r="R2546" s="23"/>
    </row>
    <row r="2547" spans="1:18" ht="12.75">
      <c r="A2547" s="22"/>
      <c r="D2547" s="19"/>
      <c r="H2547" s="18"/>
      <c r="J2547" s="18"/>
      <c r="N2547" s="16"/>
      <c r="O2547" s="17"/>
      <c r="P2547" s="17"/>
      <c r="Q2547" s="22"/>
      <c r="R2547" s="23"/>
    </row>
    <row r="2548" spans="1:18" ht="12.75">
      <c r="A2548" s="22"/>
      <c r="D2548" s="19"/>
      <c r="H2548" s="18"/>
      <c r="J2548" s="18"/>
      <c r="N2548" s="16"/>
      <c r="O2548" s="17"/>
      <c r="P2548" s="17"/>
      <c r="Q2548" s="22"/>
      <c r="R2548" s="23"/>
    </row>
    <row r="2549" spans="1:18" ht="12.75">
      <c r="A2549" s="22"/>
      <c r="D2549" s="19"/>
      <c r="H2549" s="18"/>
      <c r="J2549" s="18"/>
      <c r="N2549" s="16"/>
      <c r="O2549" s="17"/>
      <c r="P2549" s="17"/>
      <c r="Q2549" s="22"/>
      <c r="R2549" s="23"/>
    </row>
    <row r="2550" spans="1:18" ht="12.75">
      <c r="A2550" s="22"/>
      <c r="D2550" s="19"/>
      <c r="H2550" s="18"/>
      <c r="J2550" s="18"/>
      <c r="N2550" s="16"/>
      <c r="O2550" s="17"/>
      <c r="P2550" s="17"/>
      <c r="Q2550" s="22"/>
      <c r="R2550" s="23"/>
    </row>
    <row r="2551" spans="1:18" ht="12.75">
      <c r="A2551" s="22"/>
      <c r="D2551" s="19"/>
      <c r="H2551" s="18"/>
      <c r="J2551" s="18"/>
      <c r="N2551" s="16"/>
      <c r="O2551" s="17"/>
      <c r="P2551" s="17"/>
      <c r="Q2551" s="22"/>
      <c r="R2551" s="23"/>
    </row>
    <row r="2552" spans="1:18" ht="12.75">
      <c r="A2552" s="22"/>
      <c r="D2552" s="19"/>
      <c r="H2552" s="18"/>
      <c r="J2552" s="18"/>
      <c r="N2552" s="16"/>
      <c r="O2552" s="17"/>
      <c r="P2552" s="17"/>
      <c r="Q2552" s="22"/>
      <c r="R2552" s="23"/>
    </row>
    <row r="2553" spans="1:18" ht="12.75">
      <c r="A2553" s="22"/>
      <c r="D2553" s="19"/>
      <c r="H2553" s="18"/>
      <c r="J2553" s="18"/>
      <c r="N2553" s="16"/>
      <c r="O2553" s="17"/>
      <c r="P2553" s="17"/>
      <c r="Q2553" s="22"/>
      <c r="R2553" s="23"/>
    </row>
    <row r="2554" spans="1:18" ht="12.75">
      <c r="A2554" s="22"/>
      <c r="D2554" s="19"/>
      <c r="H2554" s="18"/>
      <c r="J2554" s="18"/>
      <c r="N2554" s="16"/>
      <c r="O2554" s="17"/>
      <c r="P2554" s="17"/>
      <c r="Q2554" s="22"/>
      <c r="R2554" s="23"/>
    </row>
    <row r="2555" spans="1:18" ht="12.75">
      <c r="A2555" s="22"/>
      <c r="D2555" s="19"/>
      <c r="H2555" s="18"/>
      <c r="J2555" s="18"/>
      <c r="N2555" s="16"/>
      <c r="O2555" s="17"/>
      <c r="P2555" s="17"/>
      <c r="Q2555" s="22"/>
      <c r="R2555" s="23"/>
    </row>
    <row r="2556" spans="1:18" ht="12.75">
      <c r="A2556" s="22"/>
      <c r="D2556" s="19"/>
      <c r="H2556" s="18"/>
      <c r="J2556" s="18"/>
      <c r="N2556" s="16"/>
      <c r="O2556" s="17"/>
      <c r="P2556" s="17"/>
      <c r="Q2556" s="22"/>
      <c r="R2556" s="23"/>
    </row>
    <row r="2557" spans="1:18" ht="12.75">
      <c r="A2557" s="22"/>
      <c r="D2557" s="19"/>
      <c r="H2557" s="18"/>
      <c r="J2557" s="18"/>
      <c r="N2557" s="16"/>
      <c r="O2557" s="17"/>
      <c r="P2557" s="17"/>
      <c r="Q2557" s="22"/>
      <c r="R2557" s="23"/>
    </row>
    <row r="2558" spans="1:18" ht="12.75">
      <c r="A2558" s="22"/>
      <c r="D2558" s="19"/>
      <c r="H2558" s="18"/>
      <c r="J2558" s="18"/>
      <c r="N2558" s="16"/>
      <c r="O2558" s="17"/>
      <c r="P2558" s="17"/>
      <c r="Q2558" s="22"/>
      <c r="R2558" s="23"/>
    </row>
    <row r="2559" spans="1:18" ht="12.75">
      <c r="A2559" s="22"/>
      <c r="D2559" s="19"/>
      <c r="H2559" s="18"/>
      <c r="J2559" s="18"/>
      <c r="N2559" s="16"/>
      <c r="O2559" s="17"/>
      <c r="P2559" s="17"/>
      <c r="Q2559" s="22"/>
      <c r="R2559" s="23"/>
    </row>
    <row r="2560" spans="1:18" ht="12.75">
      <c r="A2560" s="22"/>
      <c r="D2560" s="19"/>
      <c r="H2560" s="18"/>
      <c r="J2560" s="18"/>
      <c r="N2560" s="16"/>
      <c r="O2560" s="17"/>
      <c r="P2560" s="17"/>
      <c r="Q2560" s="22"/>
      <c r="R2560" s="23"/>
    </row>
    <row r="2561" spans="1:18" ht="12.75">
      <c r="A2561" s="22"/>
      <c r="D2561" s="19"/>
      <c r="H2561" s="18"/>
      <c r="J2561" s="18"/>
      <c r="N2561" s="16"/>
      <c r="O2561" s="17"/>
      <c r="P2561" s="17"/>
      <c r="Q2561" s="22"/>
      <c r="R2561" s="23"/>
    </row>
    <row r="2562" spans="1:18" ht="12.75">
      <c r="A2562" s="22"/>
      <c r="D2562" s="19"/>
      <c r="H2562" s="18"/>
      <c r="J2562" s="18"/>
      <c r="N2562" s="16"/>
      <c r="O2562" s="17"/>
      <c r="P2562" s="17"/>
      <c r="Q2562" s="22"/>
      <c r="R2562" s="23"/>
    </row>
    <row r="2563" spans="1:18" ht="12.75">
      <c r="A2563" s="22"/>
      <c r="D2563" s="19"/>
      <c r="H2563" s="18"/>
      <c r="J2563" s="18"/>
      <c r="N2563" s="16"/>
      <c r="O2563" s="17"/>
      <c r="P2563" s="17"/>
      <c r="Q2563" s="22"/>
      <c r="R2563" s="23"/>
    </row>
    <row r="2564" spans="1:18" ht="12.75">
      <c r="A2564" s="22"/>
      <c r="D2564" s="19"/>
      <c r="H2564" s="18"/>
      <c r="J2564" s="18"/>
      <c r="N2564" s="16"/>
      <c r="O2564" s="17"/>
      <c r="P2564" s="17"/>
      <c r="Q2564" s="22"/>
      <c r="R2564" s="23"/>
    </row>
    <row r="2565" spans="1:18" ht="12.75">
      <c r="A2565" s="22"/>
      <c r="D2565" s="19"/>
      <c r="H2565" s="18"/>
      <c r="J2565" s="18"/>
      <c r="N2565" s="16"/>
      <c r="O2565" s="17"/>
      <c r="P2565" s="17"/>
      <c r="Q2565" s="22"/>
      <c r="R2565" s="23"/>
    </row>
    <row r="2566" spans="1:18" ht="12.75">
      <c r="A2566" s="22"/>
      <c r="D2566" s="19"/>
      <c r="H2566" s="18"/>
      <c r="J2566" s="18"/>
      <c r="N2566" s="16"/>
      <c r="O2566" s="17"/>
      <c r="P2566" s="17"/>
      <c r="Q2566" s="22"/>
      <c r="R2566" s="23"/>
    </row>
    <row r="2567" spans="1:18" ht="12.75">
      <c r="A2567" s="22"/>
      <c r="D2567" s="19"/>
      <c r="H2567" s="18"/>
      <c r="J2567" s="18"/>
      <c r="N2567" s="16"/>
      <c r="O2567" s="17"/>
      <c r="P2567" s="17"/>
      <c r="Q2567" s="22"/>
      <c r="R2567" s="23"/>
    </row>
    <row r="2568" spans="1:18" ht="12.75">
      <c r="A2568" s="22"/>
      <c r="D2568" s="19"/>
      <c r="H2568" s="18"/>
      <c r="J2568" s="18"/>
      <c r="N2568" s="16"/>
      <c r="O2568" s="17"/>
      <c r="P2568" s="17"/>
      <c r="Q2568" s="22"/>
      <c r="R2568" s="23"/>
    </row>
    <row r="2569" spans="1:18" ht="12.75">
      <c r="A2569" s="22"/>
      <c r="D2569" s="19"/>
      <c r="H2569" s="18"/>
      <c r="J2569" s="18"/>
      <c r="N2569" s="16"/>
      <c r="O2569" s="17"/>
      <c r="P2569" s="17"/>
      <c r="Q2569" s="22"/>
      <c r="R2569" s="23"/>
    </row>
    <row r="2570" spans="1:18" ht="12.75">
      <c r="A2570" s="22"/>
      <c r="D2570" s="19"/>
      <c r="H2570" s="18"/>
      <c r="J2570" s="18"/>
      <c r="N2570" s="16"/>
      <c r="O2570" s="17"/>
      <c r="P2570" s="17"/>
      <c r="Q2570" s="22"/>
      <c r="R2570" s="23"/>
    </row>
    <row r="2571" spans="1:18" ht="12.75">
      <c r="A2571" s="22"/>
      <c r="D2571" s="19"/>
      <c r="H2571" s="18"/>
      <c r="J2571" s="18"/>
      <c r="N2571" s="16"/>
      <c r="O2571" s="17"/>
      <c r="P2571" s="17"/>
      <c r="Q2571" s="22"/>
      <c r="R2571" s="23"/>
    </row>
    <row r="2572" spans="1:18" ht="12.75">
      <c r="A2572" s="22"/>
      <c r="D2572" s="19"/>
      <c r="H2572" s="18"/>
      <c r="J2572" s="18"/>
      <c r="N2572" s="16"/>
      <c r="O2572" s="17"/>
      <c r="P2572" s="17"/>
      <c r="Q2572" s="22"/>
      <c r="R2572" s="23"/>
    </row>
    <row r="2573" spans="1:18" ht="12.75">
      <c r="A2573" s="22"/>
      <c r="D2573" s="19"/>
      <c r="H2573" s="18"/>
      <c r="J2573" s="18"/>
      <c r="N2573" s="16"/>
      <c r="O2573" s="17"/>
      <c r="P2573" s="17"/>
      <c r="Q2573" s="22"/>
      <c r="R2573" s="23"/>
    </row>
    <row r="2574" spans="1:18" ht="12.75">
      <c r="A2574" s="22"/>
      <c r="D2574" s="19"/>
      <c r="H2574" s="18"/>
      <c r="J2574" s="18"/>
      <c r="N2574" s="16"/>
      <c r="O2574" s="17"/>
      <c r="P2574" s="17"/>
      <c r="Q2574" s="22"/>
      <c r="R2574" s="23"/>
    </row>
    <row r="2575" spans="1:18" ht="12.75">
      <c r="A2575" s="22"/>
      <c r="D2575" s="19"/>
      <c r="H2575" s="18"/>
      <c r="J2575" s="18"/>
      <c r="N2575" s="16"/>
      <c r="O2575" s="17"/>
      <c r="P2575" s="17"/>
      <c r="Q2575" s="22"/>
      <c r="R2575" s="23"/>
    </row>
    <row r="2576" spans="1:18" ht="12.75">
      <c r="A2576" s="22"/>
      <c r="D2576" s="19"/>
      <c r="H2576" s="18"/>
      <c r="J2576" s="18"/>
      <c r="N2576" s="16"/>
      <c r="O2576" s="17"/>
      <c r="P2576" s="17"/>
      <c r="Q2576" s="22"/>
      <c r="R2576" s="23"/>
    </row>
    <row r="2577" spans="1:18" ht="12.75">
      <c r="A2577" s="22"/>
      <c r="D2577" s="19"/>
      <c r="H2577" s="18"/>
      <c r="J2577" s="18"/>
      <c r="N2577" s="16"/>
      <c r="O2577" s="17"/>
      <c r="P2577" s="17"/>
      <c r="Q2577" s="22"/>
      <c r="R2577" s="23"/>
    </row>
    <row r="2578" spans="1:18" ht="12.75">
      <c r="A2578" s="22"/>
      <c r="D2578" s="19"/>
      <c r="H2578" s="18"/>
      <c r="J2578" s="18"/>
      <c r="N2578" s="16"/>
      <c r="O2578" s="17"/>
      <c r="P2578" s="17"/>
      <c r="Q2578" s="22"/>
      <c r="R2578" s="23"/>
    </row>
    <row r="2579" spans="1:18" ht="12.75">
      <c r="A2579" s="22"/>
      <c r="D2579" s="19"/>
      <c r="H2579" s="18"/>
      <c r="J2579" s="18"/>
      <c r="N2579" s="16"/>
      <c r="O2579" s="17"/>
      <c r="P2579" s="17"/>
      <c r="Q2579" s="22"/>
      <c r="R2579" s="23"/>
    </row>
    <row r="2580" spans="1:18" ht="12.75">
      <c r="A2580" s="22"/>
      <c r="D2580" s="19"/>
      <c r="H2580" s="18"/>
      <c r="J2580" s="18"/>
      <c r="N2580" s="16"/>
      <c r="O2580" s="17"/>
      <c r="P2580" s="17"/>
      <c r="Q2580" s="22"/>
      <c r="R2580" s="23"/>
    </row>
    <row r="2581" spans="1:18" ht="12.75">
      <c r="A2581" s="22"/>
      <c r="D2581" s="19"/>
      <c r="H2581" s="18"/>
      <c r="J2581" s="18"/>
      <c r="N2581" s="16"/>
      <c r="O2581" s="17"/>
      <c r="P2581" s="17"/>
      <c r="Q2581" s="22"/>
      <c r="R2581" s="23"/>
    </row>
    <row r="2582" spans="1:18" ht="12.75">
      <c r="A2582" s="22"/>
      <c r="D2582" s="19"/>
      <c r="H2582" s="18"/>
      <c r="J2582" s="18"/>
      <c r="N2582" s="16"/>
      <c r="O2582" s="17"/>
      <c r="P2582" s="17"/>
      <c r="Q2582" s="22"/>
      <c r="R2582" s="23"/>
    </row>
    <row r="2583" spans="1:18" ht="12.75">
      <c r="A2583" s="22"/>
      <c r="D2583" s="19"/>
      <c r="H2583" s="18"/>
      <c r="J2583" s="18"/>
      <c r="N2583" s="16"/>
      <c r="O2583" s="17"/>
      <c r="P2583" s="17"/>
      <c r="Q2583" s="22"/>
      <c r="R2583" s="23"/>
    </row>
    <row r="2584" spans="1:18" ht="12.75">
      <c r="A2584" s="22"/>
      <c r="D2584" s="19"/>
      <c r="H2584" s="18"/>
      <c r="J2584" s="18"/>
      <c r="N2584" s="16"/>
      <c r="O2584" s="17"/>
      <c r="P2584" s="17"/>
      <c r="Q2584" s="22"/>
      <c r="R2584" s="23"/>
    </row>
    <row r="2585" spans="1:18" ht="12.75">
      <c r="A2585" s="22"/>
      <c r="D2585" s="19"/>
      <c r="H2585" s="18"/>
      <c r="J2585" s="18"/>
      <c r="N2585" s="16"/>
      <c r="O2585" s="17"/>
      <c r="P2585" s="17"/>
      <c r="Q2585" s="22"/>
      <c r="R2585" s="23"/>
    </row>
    <row r="2586" spans="1:18" ht="12.75">
      <c r="A2586" s="22"/>
      <c r="D2586" s="19"/>
      <c r="H2586" s="18"/>
      <c r="J2586" s="18"/>
      <c r="N2586" s="16"/>
      <c r="O2586" s="17"/>
      <c r="P2586" s="17"/>
      <c r="Q2586" s="22"/>
      <c r="R2586" s="23"/>
    </row>
    <row r="2587" spans="1:18" ht="12.75">
      <c r="A2587" s="22"/>
      <c r="D2587" s="19"/>
      <c r="H2587" s="18"/>
      <c r="J2587" s="18"/>
      <c r="N2587" s="16"/>
      <c r="O2587" s="17"/>
      <c r="P2587" s="17"/>
      <c r="Q2587" s="22"/>
      <c r="R2587" s="23"/>
    </row>
    <row r="2588" spans="1:18" ht="12.75">
      <c r="A2588" s="22"/>
      <c r="D2588" s="19"/>
      <c r="H2588" s="18"/>
      <c r="J2588" s="18"/>
      <c r="N2588" s="16"/>
      <c r="O2588" s="17"/>
      <c r="P2588" s="17"/>
      <c r="Q2588" s="22"/>
      <c r="R2588" s="23"/>
    </row>
    <row r="2589" spans="1:18" ht="12.75">
      <c r="A2589" s="22"/>
      <c r="D2589" s="19"/>
      <c r="H2589" s="18"/>
      <c r="J2589" s="18"/>
      <c r="N2589" s="16"/>
      <c r="O2589" s="17"/>
      <c r="P2589" s="17"/>
      <c r="Q2589" s="22"/>
      <c r="R2589" s="23"/>
    </row>
    <row r="2590" spans="1:18" ht="12.75">
      <c r="A2590" s="22"/>
      <c r="D2590" s="19"/>
      <c r="H2590" s="18"/>
      <c r="J2590" s="18"/>
      <c r="N2590" s="16"/>
      <c r="O2590" s="17"/>
      <c r="P2590" s="17"/>
      <c r="Q2590" s="22"/>
      <c r="R2590" s="23"/>
    </row>
    <row r="2591" spans="1:18" ht="12.75">
      <c r="A2591" s="22"/>
      <c r="D2591" s="19"/>
      <c r="H2591" s="18"/>
      <c r="J2591" s="18"/>
      <c r="N2591" s="16"/>
      <c r="O2591" s="17"/>
      <c r="P2591" s="17"/>
      <c r="Q2591" s="22"/>
      <c r="R2591" s="23"/>
    </row>
    <row r="2592" spans="1:18" ht="12.75">
      <c r="A2592" s="22"/>
      <c r="D2592" s="19"/>
      <c r="H2592" s="18"/>
      <c r="J2592" s="18"/>
      <c r="N2592" s="16"/>
      <c r="O2592" s="17"/>
      <c r="P2592" s="17"/>
      <c r="Q2592" s="22"/>
      <c r="R2592" s="23"/>
    </row>
    <row r="2593" spans="1:18" ht="12.75">
      <c r="A2593" s="22"/>
      <c r="D2593" s="19"/>
      <c r="H2593" s="18"/>
      <c r="J2593" s="18"/>
      <c r="N2593" s="16"/>
      <c r="O2593" s="17"/>
      <c r="P2593" s="17"/>
      <c r="Q2593" s="22"/>
      <c r="R2593" s="23"/>
    </row>
    <row r="2594" spans="1:18" ht="12.75">
      <c r="A2594" s="22"/>
      <c r="D2594" s="19"/>
      <c r="H2594" s="18"/>
      <c r="J2594" s="18"/>
      <c r="N2594" s="16"/>
      <c r="O2594" s="17"/>
      <c r="P2594" s="17"/>
      <c r="Q2594" s="22"/>
      <c r="R2594" s="23"/>
    </row>
    <row r="2595" spans="1:18" ht="12.75">
      <c r="A2595" s="22"/>
      <c r="D2595" s="19"/>
      <c r="H2595" s="18"/>
      <c r="J2595" s="18"/>
      <c r="N2595" s="16"/>
      <c r="O2595" s="17"/>
      <c r="P2595" s="17"/>
      <c r="Q2595" s="22"/>
      <c r="R2595" s="23"/>
    </row>
    <row r="2596" spans="1:18" ht="12.75">
      <c r="A2596" s="22"/>
      <c r="D2596" s="19"/>
      <c r="H2596" s="18"/>
      <c r="J2596" s="18"/>
      <c r="N2596" s="16"/>
      <c r="O2596" s="17"/>
      <c r="P2596" s="17"/>
      <c r="Q2596" s="22"/>
      <c r="R2596" s="23"/>
    </row>
    <row r="2597" spans="1:18" ht="12.75">
      <c r="A2597" s="22"/>
      <c r="D2597" s="19"/>
      <c r="H2597" s="18"/>
      <c r="J2597" s="18"/>
      <c r="N2597" s="16"/>
      <c r="O2597" s="17"/>
      <c r="P2597" s="17"/>
      <c r="Q2597" s="22"/>
      <c r="R2597" s="23"/>
    </row>
    <row r="2598" spans="1:18" ht="12.75">
      <c r="A2598" s="22"/>
      <c r="D2598" s="19"/>
      <c r="H2598" s="18"/>
      <c r="J2598" s="18"/>
      <c r="N2598" s="16"/>
      <c r="O2598" s="17"/>
      <c r="P2598" s="17"/>
      <c r="Q2598" s="22"/>
      <c r="R2598" s="23"/>
    </row>
    <row r="2599" spans="1:18" ht="12.75">
      <c r="A2599" s="22"/>
      <c r="D2599" s="19"/>
      <c r="H2599" s="18"/>
      <c r="J2599" s="18"/>
      <c r="N2599" s="16"/>
      <c r="O2599" s="17"/>
      <c r="P2599" s="17"/>
      <c r="Q2599" s="22"/>
      <c r="R2599" s="23"/>
    </row>
    <row r="2600" spans="1:18" ht="12.75">
      <c r="A2600" s="22"/>
      <c r="D2600" s="19"/>
      <c r="H2600" s="18"/>
      <c r="J2600" s="18"/>
      <c r="N2600" s="16"/>
      <c r="O2600" s="17"/>
      <c r="P2600" s="17"/>
      <c r="Q2600" s="22"/>
      <c r="R2600" s="23"/>
    </row>
    <row r="2601" spans="1:18" ht="12.75">
      <c r="A2601" s="22"/>
      <c r="D2601" s="19"/>
      <c r="H2601" s="18"/>
      <c r="J2601" s="18"/>
      <c r="N2601" s="16"/>
      <c r="O2601" s="17"/>
      <c r="P2601" s="17"/>
      <c r="Q2601" s="22"/>
      <c r="R2601" s="23"/>
    </row>
    <row r="2602" spans="1:18" ht="12.75">
      <c r="A2602" s="22"/>
      <c r="D2602" s="19"/>
      <c r="H2602" s="18"/>
      <c r="J2602" s="18"/>
      <c r="N2602" s="16"/>
      <c r="O2602" s="17"/>
      <c r="P2602" s="17"/>
      <c r="Q2602" s="22"/>
      <c r="R2602" s="23"/>
    </row>
    <row r="2603" spans="1:18" ht="12.75">
      <c r="A2603" s="22"/>
      <c r="D2603" s="19"/>
      <c r="H2603" s="18"/>
      <c r="J2603" s="18"/>
      <c r="N2603" s="16"/>
      <c r="O2603" s="17"/>
      <c r="P2603" s="17"/>
      <c r="Q2603" s="22"/>
      <c r="R2603" s="23"/>
    </row>
    <row r="2604" spans="1:18" ht="12.75">
      <c r="A2604" s="22"/>
      <c r="D2604" s="19"/>
      <c r="H2604" s="18"/>
      <c r="J2604" s="18"/>
      <c r="N2604" s="16"/>
      <c r="O2604" s="17"/>
      <c r="P2604" s="17"/>
      <c r="Q2604" s="22"/>
      <c r="R2604" s="23"/>
    </row>
    <row r="2605" spans="1:18" ht="12.75">
      <c r="A2605" s="22"/>
      <c r="D2605" s="19"/>
      <c r="H2605" s="18"/>
      <c r="J2605" s="18"/>
      <c r="N2605" s="16"/>
      <c r="O2605" s="17"/>
      <c r="P2605" s="17"/>
      <c r="Q2605" s="22"/>
      <c r="R2605" s="23"/>
    </row>
    <row r="2606" spans="1:18" ht="12.75">
      <c r="A2606" s="22"/>
      <c r="D2606" s="19"/>
      <c r="H2606" s="18"/>
      <c r="J2606" s="18"/>
      <c r="N2606" s="16"/>
      <c r="O2606" s="17"/>
      <c r="P2606" s="17"/>
      <c r="Q2606" s="22"/>
      <c r="R2606" s="23"/>
    </row>
    <row r="2607" spans="1:18" ht="12.75">
      <c r="A2607" s="22"/>
      <c r="D2607" s="19"/>
      <c r="H2607" s="18"/>
      <c r="J2607" s="18"/>
      <c r="N2607" s="16"/>
      <c r="O2607" s="17"/>
      <c r="P2607" s="17"/>
      <c r="Q2607" s="22"/>
      <c r="R2607" s="23"/>
    </row>
    <row r="2608" spans="1:18" ht="12.75">
      <c r="A2608" s="22"/>
      <c r="D2608" s="19"/>
      <c r="H2608" s="18"/>
      <c r="J2608" s="18"/>
      <c r="N2608" s="16"/>
      <c r="O2608" s="17"/>
      <c r="P2608" s="17"/>
      <c r="Q2608" s="22"/>
      <c r="R2608" s="23"/>
    </row>
    <row r="2609" spans="1:18" ht="12.75">
      <c r="A2609" s="22"/>
      <c r="D2609" s="19"/>
      <c r="H2609" s="18"/>
      <c r="J2609" s="18"/>
      <c r="N2609" s="16"/>
      <c r="O2609" s="17"/>
      <c r="P2609" s="17"/>
      <c r="Q2609" s="22"/>
      <c r="R2609" s="23"/>
    </row>
    <row r="2610" spans="1:18" ht="12.75">
      <c r="A2610" s="22"/>
      <c r="D2610" s="19"/>
      <c r="H2610" s="18"/>
      <c r="J2610" s="18"/>
      <c r="N2610" s="16"/>
      <c r="O2610" s="17"/>
      <c r="P2610" s="17"/>
      <c r="Q2610" s="22"/>
      <c r="R2610" s="23"/>
    </row>
    <row r="2611" spans="1:18" ht="12.75">
      <c r="A2611" s="22"/>
      <c r="D2611" s="19"/>
      <c r="H2611" s="18"/>
      <c r="J2611" s="18"/>
      <c r="N2611" s="16"/>
      <c r="O2611" s="17"/>
      <c r="P2611" s="17"/>
      <c r="Q2611" s="22"/>
      <c r="R2611" s="23"/>
    </row>
    <row r="2612" spans="1:18" ht="12.75">
      <c r="A2612" s="22"/>
      <c r="D2612" s="19"/>
      <c r="H2612" s="18"/>
      <c r="J2612" s="18"/>
      <c r="N2612" s="16"/>
      <c r="O2612" s="17"/>
      <c r="P2612" s="17"/>
      <c r="Q2612" s="22"/>
      <c r="R2612" s="23"/>
    </row>
    <row r="2613" spans="1:18" ht="12.75">
      <c r="A2613" s="22"/>
      <c r="D2613" s="19"/>
      <c r="H2613" s="18"/>
      <c r="J2613" s="18"/>
      <c r="N2613" s="16"/>
      <c r="O2613" s="17"/>
      <c r="P2613" s="17"/>
      <c r="Q2613" s="22"/>
      <c r="R2613" s="23"/>
    </row>
    <row r="2614" spans="1:18" ht="12.75">
      <c r="A2614" s="22"/>
      <c r="D2614" s="19"/>
      <c r="H2614" s="18"/>
      <c r="J2614" s="18"/>
      <c r="N2614" s="16"/>
      <c r="O2614" s="17"/>
      <c r="P2614" s="17"/>
      <c r="Q2614" s="22"/>
      <c r="R2614" s="23"/>
    </row>
    <row r="2615" spans="1:18" ht="12.75">
      <c r="A2615" s="22"/>
      <c r="D2615" s="19"/>
      <c r="H2615" s="18"/>
      <c r="J2615" s="18"/>
      <c r="N2615" s="16"/>
      <c r="O2615" s="17"/>
      <c r="P2615" s="17"/>
      <c r="Q2615" s="22"/>
      <c r="R2615" s="23"/>
    </row>
    <row r="2616" spans="1:18" ht="12.75">
      <c r="A2616" s="22"/>
      <c r="D2616" s="19"/>
      <c r="H2616" s="18"/>
      <c r="J2616" s="18"/>
      <c r="N2616" s="16"/>
      <c r="O2616" s="17"/>
      <c r="P2616" s="17"/>
      <c r="Q2616" s="22"/>
      <c r="R2616" s="23"/>
    </row>
    <row r="2617" spans="1:18" ht="12.75">
      <c r="A2617" s="22"/>
      <c r="D2617" s="19"/>
      <c r="H2617" s="18"/>
      <c r="J2617" s="18"/>
      <c r="N2617" s="16"/>
      <c r="O2617" s="17"/>
      <c r="P2617" s="17"/>
      <c r="Q2617" s="22"/>
      <c r="R2617" s="23"/>
    </row>
    <row r="2618" spans="1:18" ht="12.75">
      <c r="A2618" s="22"/>
      <c r="D2618" s="19"/>
      <c r="H2618" s="18"/>
      <c r="J2618" s="18"/>
      <c r="N2618" s="16"/>
      <c r="O2618" s="17"/>
      <c r="P2618" s="17"/>
      <c r="Q2618" s="22"/>
      <c r="R2618" s="23"/>
    </row>
    <row r="2619" spans="1:18" ht="12.75">
      <c r="A2619" s="22"/>
      <c r="D2619" s="19"/>
      <c r="H2619" s="18"/>
      <c r="J2619" s="18"/>
      <c r="N2619" s="16"/>
      <c r="O2619" s="17"/>
      <c r="P2619" s="17"/>
      <c r="Q2619" s="22"/>
      <c r="R2619" s="23"/>
    </row>
    <row r="2620" spans="1:18" ht="12.75">
      <c r="A2620" s="22"/>
      <c r="D2620" s="19"/>
      <c r="H2620" s="18"/>
      <c r="J2620" s="18"/>
      <c r="N2620" s="16"/>
      <c r="O2620" s="17"/>
      <c r="P2620" s="17"/>
      <c r="Q2620" s="22"/>
      <c r="R2620" s="23"/>
    </row>
    <row r="2621" spans="1:18" ht="12.75">
      <c r="A2621" s="22"/>
      <c r="D2621" s="19"/>
      <c r="H2621" s="18"/>
      <c r="J2621" s="18"/>
      <c r="N2621" s="16"/>
      <c r="O2621" s="17"/>
      <c r="P2621" s="17"/>
      <c r="Q2621" s="22"/>
      <c r="R2621" s="23"/>
    </row>
    <row r="2622" spans="1:18" ht="12.75">
      <c r="A2622" s="22"/>
      <c r="D2622" s="19"/>
      <c r="H2622" s="18"/>
      <c r="J2622" s="18"/>
      <c r="N2622" s="16"/>
      <c r="O2622" s="17"/>
      <c r="P2622" s="17"/>
      <c r="Q2622" s="22"/>
      <c r="R2622" s="23"/>
    </row>
    <row r="2623" spans="1:18" ht="12.75">
      <c r="A2623" s="22"/>
      <c r="D2623" s="19"/>
      <c r="H2623" s="18"/>
      <c r="J2623" s="18"/>
      <c r="N2623" s="16"/>
      <c r="O2623" s="17"/>
      <c r="P2623" s="17"/>
      <c r="Q2623" s="22"/>
      <c r="R2623" s="23"/>
    </row>
    <row r="2624" spans="1:18" ht="12.75">
      <c r="A2624" s="22"/>
      <c r="D2624" s="19"/>
      <c r="H2624" s="18"/>
      <c r="J2624" s="18"/>
      <c r="N2624" s="16"/>
      <c r="O2624" s="17"/>
      <c r="P2624" s="17"/>
      <c r="Q2624" s="22"/>
      <c r="R2624" s="23"/>
    </row>
    <row r="2625" spans="1:18" ht="12.75">
      <c r="A2625" s="22"/>
      <c r="D2625" s="19"/>
      <c r="H2625" s="18"/>
      <c r="J2625" s="18"/>
      <c r="N2625" s="16"/>
      <c r="O2625" s="17"/>
      <c r="P2625" s="17"/>
      <c r="Q2625" s="22"/>
      <c r="R2625" s="23"/>
    </row>
    <row r="2626" spans="1:18" ht="12.75">
      <c r="A2626" s="22"/>
      <c r="D2626" s="19"/>
      <c r="H2626" s="18"/>
      <c r="J2626" s="18"/>
      <c r="N2626" s="16"/>
      <c r="O2626" s="17"/>
      <c r="P2626" s="17"/>
      <c r="Q2626" s="22"/>
      <c r="R2626" s="23"/>
    </row>
    <row r="2627" spans="1:18" ht="12.75">
      <c r="A2627" s="22"/>
      <c r="D2627" s="19"/>
      <c r="H2627" s="18"/>
      <c r="J2627" s="18"/>
      <c r="N2627" s="16"/>
      <c r="O2627" s="17"/>
      <c r="P2627" s="17"/>
      <c r="Q2627" s="22"/>
      <c r="R2627" s="23"/>
    </row>
    <row r="2628" spans="1:18" ht="12.75">
      <c r="A2628" s="22"/>
      <c r="D2628" s="19"/>
      <c r="H2628" s="18"/>
      <c r="J2628" s="18"/>
      <c r="N2628" s="16"/>
      <c r="O2628" s="17"/>
      <c r="P2628" s="17"/>
      <c r="Q2628" s="22"/>
      <c r="R2628" s="23"/>
    </row>
    <row r="2629" spans="1:18" ht="12.75">
      <c r="A2629" s="22"/>
      <c r="D2629" s="19"/>
      <c r="H2629" s="18"/>
      <c r="J2629" s="18"/>
      <c r="N2629" s="16"/>
      <c r="O2629" s="17"/>
      <c r="P2629" s="17"/>
      <c r="Q2629" s="22"/>
      <c r="R2629" s="23"/>
    </row>
    <row r="2630" spans="1:18" ht="12.75">
      <c r="A2630" s="22"/>
      <c r="D2630" s="19"/>
      <c r="H2630" s="18"/>
      <c r="J2630" s="18"/>
      <c r="N2630" s="16"/>
      <c r="O2630" s="17"/>
      <c r="P2630" s="17"/>
      <c r="Q2630" s="22"/>
      <c r="R2630" s="23"/>
    </row>
    <row r="2631" spans="1:18" ht="12.75">
      <c r="A2631" s="22"/>
      <c r="D2631" s="19"/>
      <c r="H2631" s="18"/>
      <c r="J2631" s="18"/>
      <c r="N2631" s="16"/>
      <c r="O2631" s="17"/>
      <c r="P2631" s="17"/>
      <c r="Q2631" s="22"/>
      <c r="R2631" s="23"/>
    </row>
    <row r="2632" spans="1:18" ht="12.75">
      <c r="A2632" s="22"/>
      <c r="D2632" s="19"/>
      <c r="H2632" s="18"/>
      <c r="J2632" s="18"/>
      <c r="N2632" s="16"/>
      <c r="O2632" s="17"/>
      <c r="P2632" s="17"/>
      <c r="Q2632" s="22"/>
      <c r="R2632" s="23"/>
    </row>
    <row r="2633" spans="1:18" ht="12.75">
      <c r="A2633" s="22"/>
      <c r="D2633" s="19"/>
      <c r="H2633" s="18"/>
      <c r="J2633" s="18"/>
      <c r="N2633" s="16"/>
      <c r="O2633" s="17"/>
      <c r="P2633" s="17"/>
      <c r="Q2633" s="22"/>
      <c r="R2633" s="23"/>
    </row>
    <row r="2634" spans="1:18" ht="12.75">
      <c r="A2634" s="22"/>
      <c r="D2634" s="19"/>
      <c r="H2634" s="18"/>
      <c r="J2634" s="18"/>
      <c r="N2634" s="16"/>
      <c r="O2634" s="17"/>
      <c r="P2634" s="17"/>
      <c r="Q2634" s="22"/>
      <c r="R2634" s="23"/>
    </row>
    <row r="2635" spans="1:18" ht="12.75">
      <c r="A2635" s="22"/>
      <c r="D2635" s="19"/>
      <c r="H2635" s="18"/>
      <c r="J2635" s="18"/>
      <c r="N2635" s="16"/>
      <c r="O2635" s="17"/>
      <c r="P2635" s="17"/>
      <c r="Q2635" s="22"/>
      <c r="R2635" s="23"/>
    </row>
    <row r="2636" spans="1:18" ht="12.75">
      <c r="A2636" s="22"/>
      <c r="D2636" s="19"/>
      <c r="H2636" s="18"/>
      <c r="J2636" s="18"/>
      <c r="N2636" s="16"/>
      <c r="O2636" s="17"/>
      <c r="P2636" s="17"/>
      <c r="Q2636" s="22"/>
      <c r="R2636" s="23"/>
    </row>
    <row r="2637" spans="1:18" ht="12.75">
      <c r="A2637" s="22"/>
      <c r="D2637" s="19"/>
      <c r="H2637" s="18"/>
      <c r="J2637" s="18"/>
      <c r="N2637" s="16"/>
      <c r="O2637" s="17"/>
      <c r="P2637" s="17"/>
      <c r="Q2637" s="22"/>
      <c r="R2637" s="23"/>
    </row>
    <row r="2638" spans="1:18" ht="12.75">
      <c r="A2638" s="22"/>
      <c r="D2638" s="19"/>
      <c r="H2638" s="18"/>
      <c r="J2638" s="18"/>
      <c r="N2638" s="16"/>
      <c r="O2638" s="17"/>
      <c r="P2638" s="17"/>
      <c r="Q2638" s="22"/>
      <c r="R2638" s="23"/>
    </row>
    <row r="2639" spans="1:18" ht="12.75">
      <c r="A2639" s="22"/>
      <c r="D2639" s="19"/>
      <c r="H2639" s="18"/>
      <c r="J2639" s="18"/>
      <c r="N2639" s="16"/>
      <c r="O2639" s="17"/>
      <c r="P2639" s="17"/>
      <c r="Q2639" s="22"/>
      <c r="R2639" s="23"/>
    </row>
    <row r="2640" spans="1:18" ht="12.75">
      <c r="A2640" s="22"/>
      <c r="D2640" s="19"/>
      <c r="H2640" s="18"/>
      <c r="J2640" s="18"/>
      <c r="N2640" s="16"/>
      <c r="O2640" s="17"/>
      <c r="P2640" s="17"/>
      <c r="Q2640" s="22"/>
      <c r="R2640" s="23"/>
    </row>
    <row r="2641" spans="1:18" ht="12.75">
      <c r="A2641" s="22"/>
      <c r="D2641" s="19"/>
      <c r="H2641" s="18"/>
      <c r="J2641" s="18"/>
      <c r="N2641" s="16"/>
      <c r="O2641" s="17"/>
      <c r="P2641" s="17"/>
      <c r="Q2641" s="22"/>
      <c r="R2641" s="23"/>
    </row>
    <row r="2642" spans="1:18" ht="12.75">
      <c r="A2642" s="22"/>
      <c r="D2642" s="19"/>
      <c r="H2642" s="18"/>
      <c r="J2642" s="18"/>
      <c r="N2642" s="16"/>
      <c r="O2642" s="17"/>
      <c r="P2642" s="17"/>
      <c r="Q2642" s="22"/>
      <c r="R2642" s="23"/>
    </row>
    <row r="2643" spans="1:18" ht="12.75">
      <c r="A2643" s="22"/>
      <c r="D2643" s="19"/>
      <c r="H2643" s="18"/>
      <c r="J2643" s="18"/>
      <c r="N2643" s="16"/>
      <c r="O2643" s="17"/>
      <c r="P2643" s="17"/>
      <c r="Q2643" s="22"/>
      <c r="R2643" s="23"/>
    </row>
    <row r="2644" spans="1:18" ht="12.75">
      <c r="A2644" s="22"/>
      <c r="D2644" s="19"/>
      <c r="H2644" s="18"/>
      <c r="J2644" s="18"/>
      <c r="N2644" s="16"/>
      <c r="O2644" s="17"/>
      <c r="P2644" s="17"/>
      <c r="Q2644" s="22"/>
      <c r="R2644" s="23"/>
    </row>
    <row r="2645" spans="1:18" ht="12.75">
      <c r="A2645" s="22"/>
      <c r="D2645" s="19"/>
      <c r="H2645" s="18"/>
      <c r="J2645" s="18"/>
      <c r="N2645" s="16"/>
      <c r="O2645" s="17"/>
      <c r="P2645" s="17"/>
      <c r="Q2645" s="22"/>
      <c r="R2645" s="23"/>
    </row>
    <row r="2646" spans="1:18" ht="12.75">
      <c r="A2646" s="22"/>
      <c r="D2646" s="19"/>
      <c r="H2646" s="18"/>
      <c r="J2646" s="18"/>
      <c r="N2646" s="16"/>
      <c r="O2646" s="17"/>
      <c r="P2646" s="17"/>
      <c r="Q2646" s="22"/>
      <c r="R2646" s="23"/>
    </row>
    <row r="2647" spans="1:18" ht="12.75">
      <c r="A2647" s="22"/>
      <c r="D2647" s="19"/>
      <c r="H2647" s="18"/>
      <c r="J2647" s="18"/>
      <c r="N2647" s="16"/>
      <c r="O2647" s="17"/>
      <c r="P2647" s="17"/>
      <c r="Q2647" s="22"/>
      <c r="R2647" s="23"/>
    </row>
    <row r="2648" spans="1:18" ht="12.75">
      <c r="A2648" s="22"/>
      <c r="D2648" s="19"/>
      <c r="H2648" s="18"/>
      <c r="J2648" s="18"/>
      <c r="N2648" s="16"/>
      <c r="O2648" s="17"/>
      <c r="P2648" s="17"/>
      <c r="Q2648" s="22"/>
      <c r="R2648" s="23"/>
    </row>
    <row r="2649" spans="1:18" ht="12.75">
      <c r="A2649" s="22"/>
      <c r="D2649" s="19"/>
      <c r="H2649" s="18"/>
      <c r="J2649" s="18"/>
      <c r="N2649" s="16"/>
      <c r="O2649" s="17"/>
      <c r="P2649" s="17"/>
      <c r="Q2649" s="22"/>
      <c r="R2649" s="23"/>
    </row>
    <row r="2650" spans="1:18" ht="12.75">
      <c r="A2650" s="22"/>
      <c r="D2650" s="19"/>
      <c r="H2650" s="18"/>
      <c r="J2650" s="18"/>
      <c r="N2650" s="16"/>
      <c r="O2650" s="17"/>
      <c r="P2650" s="17"/>
      <c r="Q2650" s="22"/>
      <c r="R2650" s="23"/>
    </row>
    <row r="2651" spans="1:18" ht="12.75">
      <c r="A2651" s="22"/>
      <c r="D2651" s="19"/>
      <c r="H2651" s="18"/>
      <c r="J2651" s="18"/>
      <c r="N2651" s="16"/>
      <c r="O2651" s="17"/>
      <c r="P2651" s="17"/>
      <c r="Q2651" s="22"/>
      <c r="R2651" s="23"/>
    </row>
    <row r="2652" spans="1:18" ht="12.75">
      <c r="A2652" s="22"/>
      <c r="D2652" s="19"/>
      <c r="H2652" s="18"/>
      <c r="J2652" s="18"/>
      <c r="N2652" s="16"/>
      <c r="O2652" s="17"/>
      <c r="P2652" s="17"/>
      <c r="Q2652" s="22"/>
      <c r="R2652" s="23"/>
    </row>
    <row r="2653" spans="1:18" ht="12.75">
      <c r="A2653" s="22"/>
      <c r="D2653" s="19"/>
      <c r="H2653" s="18"/>
      <c r="J2653" s="18"/>
      <c r="N2653" s="16"/>
      <c r="O2653" s="17"/>
      <c r="P2653" s="17"/>
      <c r="Q2653" s="22"/>
      <c r="R2653" s="23"/>
    </row>
    <row r="2654" spans="1:18" ht="12.75">
      <c r="A2654" s="22"/>
      <c r="D2654" s="19"/>
      <c r="H2654" s="18"/>
      <c r="J2654" s="18"/>
      <c r="N2654" s="16"/>
      <c r="O2654" s="17"/>
      <c r="P2654" s="17"/>
      <c r="Q2654" s="22"/>
      <c r="R2654" s="23"/>
    </row>
    <row r="2655" spans="1:18" ht="12.75">
      <c r="A2655" s="22"/>
      <c r="D2655" s="19"/>
      <c r="H2655" s="18"/>
      <c r="J2655" s="18"/>
      <c r="N2655" s="16"/>
      <c r="O2655" s="17"/>
      <c r="P2655" s="17"/>
      <c r="Q2655" s="22"/>
      <c r="R2655" s="23"/>
    </row>
    <row r="2656" spans="1:18" ht="12.75">
      <c r="A2656" s="22"/>
      <c r="D2656" s="19"/>
      <c r="H2656" s="18"/>
      <c r="J2656" s="18"/>
      <c r="N2656" s="16"/>
      <c r="O2656" s="17"/>
      <c r="P2656" s="17"/>
      <c r="Q2656" s="22"/>
      <c r="R2656" s="23"/>
    </row>
    <row r="2657" spans="1:18" ht="12.75">
      <c r="A2657" s="22"/>
      <c r="D2657" s="19"/>
      <c r="H2657" s="18"/>
      <c r="J2657" s="18"/>
      <c r="N2657" s="16"/>
      <c r="O2657" s="17"/>
      <c r="P2657" s="17"/>
      <c r="Q2657" s="22"/>
      <c r="R2657" s="23"/>
    </row>
    <row r="2658" spans="1:18" ht="12.75">
      <c r="A2658" s="22"/>
      <c r="D2658" s="19"/>
      <c r="H2658" s="18"/>
      <c r="J2658" s="18"/>
      <c r="N2658" s="16"/>
      <c r="O2658" s="17"/>
      <c r="P2658" s="17"/>
      <c r="Q2658" s="22"/>
      <c r="R2658" s="23"/>
    </row>
    <row r="2659" spans="1:18" ht="12.75">
      <c r="A2659" s="22"/>
      <c r="D2659" s="19"/>
      <c r="H2659" s="18"/>
      <c r="J2659" s="18"/>
      <c r="N2659" s="16"/>
      <c r="O2659" s="17"/>
      <c r="P2659" s="17"/>
      <c r="Q2659" s="22"/>
      <c r="R2659" s="23"/>
    </row>
    <row r="2660" spans="1:18" ht="12.75">
      <c r="A2660" s="22"/>
      <c r="D2660" s="19"/>
      <c r="H2660" s="18"/>
      <c r="J2660" s="18"/>
      <c r="N2660" s="16"/>
      <c r="O2660" s="17"/>
      <c r="P2660" s="17"/>
      <c r="Q2660" s="22"/>
      <c r="R2660" s="23"/>
    </row>
    <row r="2661" spans="1:18" ht="12.75">
      <c r="A2661" s="22"/>
      <c r="D2661" s="19"/>
      <c r="H2661" s="18"/>
      <c r="J2661" s="18"/>
      <c r="N2661" s="16"/>
      <c r="O2661" s="17"/>
      <c r="P2661" s="17"/>
      <c r="Q2661" s="22"/>
      <c r="R2661" s="23"/>
    </row>
    <row r="2662" spans="1:18" ht="12.75">
      <c r="A2662" s="22"/>
      <c r="D2662" s="19"/>
      <c r="H2662" s="18"/>
      <c r="J2662" s="18"/>
      <c r="N2662" s="16"/>
      <c r="O2662" s="17"/>
      <c r="P2662" s="17"/>
      <c r="Q2662" s="22"/>
      <c r="R2662" s="23"/>
    </row>
    <row r="2663" spans="1:18" ht="12.75">
      <c r="A2663" s="22"/>
      <c r="D2663" s="19"/>
      <c r="H2663" s="18"/>
      <c r="J2663" s="18"/>
      <c r="N2663" s="16"/>
      <c r="O2663" s="17"/>
      <c r="P2663" s="17"/>
      <c r="Q2663" s="22"/>
      <c r="R2663" s="23"/>
    </row>
    <row r="2664" spans="1:18" ht="12.75">
      <c r="A2664" s="22"/>
      <c r="D2664" s="19"/>
      <c r="H2664" s="18"/>
      <c r="J2664" s="18"/>
      <c r="N2664" s="16"/>
      <c r="O2664" s="17"/>
      <c r="P2664" s="17"/>
      <c r="Q2664" s="22"/>
      <c r="R2664" s="23"/>
    </row>
    <row r="2665" spans="1:18" ht="12.75">
      <c r="A2665" s="22"/>
      <c r="D2665" s="19"/>
      <c r="H2665" s="18"/>
      <c r="J2665" s="18"/>
      <c r="N2665" s="16"/>
      <c r="O2665" s="17"/>
      <c r="P2665" s="17"/>
      <c r="Q2665" s="22"/>
      <c r="R2665" s="23"/>
    </row>
    <row r="2666" spans="1:18" ht="12.75">
      <c r="A2666" s="22"/>
      <c r="D2666" s="19"/>
      <c r="H2666" s="18"/>
      <c r="J2666" s="18"/>
      <c r="N2666" s="16"/>
      <c r="O2666" s="17"/>
      <c r="P2666" s="17"/>
      <c r="Q2666" s="22"/>
      <c r="R2666" s="23"/>
    </row>
    <row r="2667" spans="1:18" ht="12.75">
      <c r="A2667" s="22"/>
      <c r="D2667" s="19"/>
      <c r="H2667" s="18"/>
      <c r="J2667" s="18"/>
      <c r="N2667" s="16"/>
      <c r="O2667" s="17"/>
      <c r="P2667" s="17"/>
      <c r="Q2667" s="22"/>
      <c r="R2667" s="23"/>
    </row>
    <row r="2668" spans="1:18" ht="12.75">
      <c r="A2668" s="22"/>
      <c r="D2668" s="19"/>
      <c r="H2668" s="18"/>
      <c r="J2668" s="18"/>
      <c r="N2668" s="16"/>
      <c r="O2668" s="17"/>
      <c r="P2668" s="17"/>
      <c r="Q2668" s="22"/>
      <c r="R2668" s="23"/>
    </row>
    <row r="2669" spans="1:18" ht="12.75">
      <c r="A2669" s="22"/>
      <c r="D2669" s="19"/>
      <c r="H2669" s="18"/>
      <c r="J2669" s="18"/>
      <c r="N2669" s="16"/>
      <c r="O2669" s="17"/>
      <c r="P2669" s="17"/>
      <c r="Q2669" s="22"/>
      <c r="R2669" s="23"/>
    </row>
    <row r="2670" spans="1:18" ht="12.75">
      <c r="A2670" s="22"/>
      <c r="D2670" s="19"/>
      <c r="H2670" s="18"/>
      <c r="J2670" s="18"/>
      <c r="N2670" s="16"/>
      <c r="O2670" s="17"/>
      <c r="P2670" s="17"/>
      <c r="Q2670" s="22"/>
      <c r="R2670" s="23"/>
    </row>
    <row r="2671" spans="1:18" ht="12.75">
      <c r="A2671" s="22"/>
      <c r="D2671" s="19"/>
      <c r="H2671" s="18"/>
      <c r="J2671" s="18"/>
      <c r="N2671" s="16"/>
      <c r="O2671" s="17"/>
      <c r="P2671" s="17"/>
      <c r="Q2671" s="22"/>
      <c r="R2671" s="23"/>
    </row>
    <row r="2672" spans="1:18" ht="12.75">
      <c r="A2672" s="22"/>
      <c r="D2672" s="19"/>
      <c r="H2672" s="18"/>
      <c r="J2672" s="18"/>
      <c r="N2672" s="16"/>
      <c r="O2672" s="17"/>
      <c r="P2672" s="17"/>
      <c r="Q2672" s="22"/>
      <c r="R2672" s="23"/>
    </row>
    <row r="2673" spans="1:18" ht="12.75">
      <c r="A2673" s="22"/>
      <c r="D2673" s="19"/>
      <c r="H2673" s="18"/>
      <c r="J2673" s="18"/>
      <c r="N2673" s="16"/>
      <c r="O2673" s="17"/>
      <c r="P2673" s="17"/>
      <c r="Q2673" s="22"/>
      <c r="R2673" s="23"/>
    </row>
    <row r="2674" spans="1:18" ht="12.75">
      <c r="A2674" s="22"/>
      <c r="D2674" s="19"/>
      <c r="H2674" s="18"/>
      <c r="J2674" s="18"/>
      <c r="N2674" s="16"/>
      <c r="O2674" s="17"/>
      <c r="P2674" s="17"/>
      <c r="Q2674" s="22"/>
      <c r="R2674" s="23"/>
    </row>
    <row r="2675" spans="1:18" ht="12.75">
      <c r="A2675" s="22"/>
      <c r="D2675" s="19"/>
      <c r="H2675" s="18"/>
      <c r="J2675" s="18"/>
      <c r="N2675" s="16"/>
      <c r="O2675" s="17"/>
      <c r="P2675" s="17"/>
      <c r="Q2675" s="22"/>
      <c r="R2675" s="23"/>
    </row>
    <row r="2676" spans="1:18" ht="12.75">
      <c r="A2676" s="22"/>
      <c r="D2676" s="19"/>
      <c r="H2676" s="18"/>
      <c r="J2676" s="18"/>
      <c r="N2676" s="16"/>
      <c r="O2676" s="17"/>
      <c r="P2676" s="17"/>
      <c r="Q2676" s="22"/>
      <c r="R2676" s="23"/>
    </row>
    <row r="2677" spans="1:18" ht="12.75">
      <c r="A2677" s="22"/>
      <c r="D2677" s="19"/>
      <c r="H2677" s="18"/>
      <c r="J2677" s="18"/>
      <c r="N2677" s="16"/>
      <c r="O2677" s="17"/>
      <c r="P2677" s="17"/>
      <c r="Q2677" s="22"/>
      <c r="R2677" s="23"/>
    </row>
    <row r="2678" spans="1:18" ht="12.75">
      <c r="A2678" s="22"/>
      <c r="D2678" s="19"/>
      <c r="H2678" s="18"/>
      <c r="J2678" s="18"/>
      <c r="N2678" s="16"/>
      <c r="O2678" s="17"/>
      <c r="P2678" s="17"/>
      <c r="Q2678" s="22"/>
      <c r="R2678" s="23"/>
    </row>
    <row r="2679" spans="1:18" ht="12.75">
      <c r="A2679" s="22"/>
      <c r="D2679" s="19"/>
      <c r="H2679" s="18"/>
      <c r="J2679" s="18"/>
      <c r="N2679" s="16"/>
      <c r="O2679" s="17"/>
      <c r="P2679" s="17"/>
      <c r="Q2679" s="22"/>
      <c r="R2679" s="23"/>
    </row>
    <row r="2680" spans="1:18" ht="12.75">
      <c r="A2680" s="22"/>
      <c r="D2680" s="19"/>
      <c r="H2680" s="18"/>
      <c r="J2680" s="18"/>
      <c r="N2680" s="16"/>
      <c r="O2680" s="17"/>
      <c r="P2680" s="17"/>
      <c r="Q2680" s="22"/>
      <c r="R2680" s="23"/>
    </row>
    <row r="2681" spans="1:18" ht="12.75">
      <c r="A2681" s="22"/>
      <c r="D2681" s="19"/>
      <c r="H2681" s="18"/>
      <c r="J2681" s="18"/>
      <c r="N2681" s="16"/>
      <c r="O2681" s="17"/>
      <c r="P2681" s="17"/>
      <c r="Q2681" s="22"/>
      <c r="R2681" s="23"/>
    </row>
    <row r="2682" spans="1:18" ht="12.75">
      <c r="A2682" s="22"/>
      <c r="D2682" s="19"/>
      <c r="H2682" s="18"/>
      <c r="J2682" s="18"/>
      <c r="N2682" s="16"/>
      <c r="O2682" s="17"/>
      <c r="P2682" s="17"/>
      <c r="Q2682" s="22"/>
      <c r="R2682" s="23"/>
    </row>
    <row r="2683" spans="1:18" ht="12.75">
      <c r="A2683" s="22"/>
      <c r="D2683" s="19"/>
      <c r="H2683" s="18"/>
      <c r="J2683" s="18"/>
      <c r="N2683" s="16"/>
      <c r="O2683" s="17"/>
      <c r="P2683" s="17"/>
      <c r="Q2683" s="22"/>
      <c r="R2683" s="23"/>
    </row>
    <row r="2684" spans="1:18" ht="12.75">
      <c r="A2684" s="22"/>
      <c r="D2684" s="19"/>
      <c r="H2684" s="18"/>
      <c r="J2684" s="18"/>
      <c r="N2684" s="16"/>
      <c r="O2684" s="17"/>
      <c r="P2684" s="17"/>
      <c r="Q2684" s="22"/>
      <c r="R2684" s="23"/>
    </row>
    <row r="2685" spans="1:18" ht="12.75">
      <c r="A2685" s="22"/>
      <c r="D2685" s="19"/>
      <c r="H2685" s="18"/>
      <c r="J2685" s="18"/>
      <c r="N2685" s="16"/>
      <c r="O2685" s="17"/>
      <c r="P2685" s="17"/>
      <c r="Q2685" s="22"/>
      <c r="R2685" s="23"/>
    </row>
    <row r="2686" spans="1:18" ht="12.75">
      <c r="A2686" s="22"/>
      <c r="D2686" s="19"/>
      <c r="H2686" s="18"/>
      <c r="J2686" s="18"/>
      <c r="N2686" s="16"/>
      <c r="O2686" s="17"/>
      <c r="P2686" s="17"/>
      <c r="Q2686" s="22"/>
      <c r="R2686" s="23"/>
    </row>
    <row r="2687" spans="1:18" ht="12.75">
      <c r="A2687" s="22"/>
      <c r="D2687" s="19"/>
      <c r="H2687" s="18"/>
      <c r="J2687" s="18"/>
      <c r="N2687" s="16"/>
      <c r="O2687" s="17"/>
      <c r="P2687" s="17"/>
      <c r="Q2687" s="22"/>
      <c r="R2687" s="23"/>
    </row>
    <row r="2688" spans="1:18" ht="12.75">
      <c r="A2688" s="22"/>
      <c r="D2688" s="19"/>
      <c r="H2688" s="18"/>
      <c r="J2688" s="18"/>
      <c r="N2688" s="16"/>
      <c r="O2688" s="17"/>
      <c r="P2688" s="17"/>
      <c r="Q2688" s="22"/>
      <c r="R2688" s="23"/>
    </row>
    <row r="2689" spans="1:18" ht="12.75">
      <c r="A2689" s="22"/>
      <c r="D2689" s="19"/>
      <c r="H2689" s="18"/>
      <c r="J2689" s="18"/>
      <c r="N2689" s="16"/>
      <c r="O2689" s="17"/>
      <c r="P2689" s="17"/>
      <c r="Q2689" s="22"/>
      <c r="R2689" s="23"/>
    </row>
    <row r="2690" spans="1:18" ht="12.75">
      <c r="A2690" s="22"/>
      <c r="D2690" s="19"/>
      <c r="H2690" s="18"/>
      <c r="J2690" s="18"/>
      <c r="N2690" s="16"/>
      <c r="O2690" s="17"/>
      <c r="P2690" s="17"/>
      <c r="Q2690" s="22"/>
      <c r="R2690" s="23"/>
    </row>
    <row r="2691" spans="1:18" ht="12.75">
      <c r="A2691" s="22"/>
      <c r="D2691" s="19"/>
      <c r="H2691" s="18"/>
      <c r="J2691" s="18"/>
      <c r="N2691" s="16"/>
      <c r="O2691" s="17"/>
      <c r="P2691" s="17"/>
      <c r="Q2691" s="22"/>
      <c r="R2691" s="23"/>
    </row>
    <row r="2692" spans="1:18" ht="12.75">
      <c r="A2692" s="22"/>
      <c r="D2692" s="19"/>
      <c r="H2692" s="18"/>
      <c r="J2692" s="18"/>
      <c r="N2692" s="16"/>
      <c r="O2692" s="17"/>
      <c r="P2692" s="17"/>
      <c r="Q2692" s="22"/>
      <c r="R2692" s="23"/>
    </row>
    <row r="2693" spans="1:18" ht="12.75">
      <c r="A2693" s="22"/>
      <c r="D2693" s="19"/>
      <c r="H2693" s="18"/>
      <c r="J2693" s="18"/>
      <c r="N2693" s="16"/>
      <c r="O2693" s="17"/>
      <c r="P2693" s="17"/>
      <c r="Q2693" s="22"/>
      <c r="R2693" s="23"/>
    </row>
    <row r="2694" spans="1:18" ht="12.75">
      <c r="A2694" s="22"/>
      <c r="D2694" s="19"/>
      <c r="H2694" s="18"/>
      <c r="J2694" s="18"/>
      <c r="N2694" s="16"/>
      <c r="O2694" s="17"/>
      <c r="P2694" s="17"/>
      <c r="Q2694" s="22"/>
      <c r="R2694" s="23"/>
    </row>
    <row r="2695" spans="1:18" ht="12.75">
      <c r="A2695" s="22"/>
      <c r="D2695" s="19"/>
      <c r="H2695" s="18"/>
      <c r="J2695" s="18"/>
      <c r="N2695" s="16"/>
      <c r="O2695" s="17"/>
      <c r="P2695" s="17"/>
      <c r="Q2695" s="22"/>
      <c r="R2695" s="23"/>
    </row>
    <row r="2696" spans="1:18" ht="12.75">
      <c r="A2696" s="22"/>
      <c r="D2696" s="19"/>
      <c r="H2696" s="18"/>
      <c r="J2696" s="18"/>
      <c r="N2696" s="16"/>
      <c r="O2696" s="17"/>
      <c r="P2696" s="17"/>
      <c r="Q2696" s="22"/>
      <c r="R2696" s="23"/>
    </row>
    <row r="2697" spans="1:18" ht="12.75">
      <c r="A2697" s="22"/>
      <c r="D2697" s="19"/>
      <c r="H2697" s="18"/>
      <c r="J2697" s="18"/>
      <c r="N2697" s="16"/>
      <c r="O2697" s="17"/>
      <c r="P2697" s="17"/>
      <c r="Q2697" s="22"/>
      <c r="R2697" s="23"/>
    </row>
    <row r="2698" spans="1:18" ht="12.75">
      <c r="A2698" s="22"/>
      <c r="D2698" s="19"/>
      <c r="H2698" s="18"/>
      <c r="J2698" s="18"/>
      <c r="N2698" s="16"/>
      <c r="O2698" s="17"/>
      <c r="P2698" s="17"/>
      <c r="Q2698" s="22"/>
      <c r="R2698" s="23"/>
    </row>
    <row r="2699" spans="1:18" ht="12.75">
      <c r="A2699" s="22"/>
      <c r="D2699" s="19"/>
      <c r="H2699" s="18"/>
      <c r="J2699" s="18"/>
      <c r="N2699" s="16"/>
      <c r="O2699" s="17"/>
      <c r="P2699" s="17"/>
      <c r="Q2699" s="22"/>
      <c r="R2699" s="23"/>
    </row>
    <row r="2700" spans="1:18" ht="12.75">
      <c r="A2700" s="22"/>
      <c r="D2700" s="19"/>
      <c r="H2700" s="18"/>
      <c r="J2700" s="18"/>
      <c r="N2700" s="16"/>
      <c r="O2700" s="17"/>
      <c r="P2700" s="17"/>
      <c r="Q2700" s="22"/>
      <c r="R2700" s="23"/>
    </row>
    <row r="2701" spans="1:18" ht="12.75">
      <c r="A2701" s="22"/>
      <c r="D2701" s="19"/>
      <c r="H2701" s="18"/>
      <c r="J2701" s="18"/>
      <c r="N2701" s="16"/>
      <c r="O2701" s="17"/>
      <c r="P2701" s="17"/>
      <c r="Q2701" s="22"/>
      <c r="R2701" s="23"/>
    </row>
    <row r="2702" spans="1:18" ht="12.75">
      <c r="A2702" s="22"/>
      <c r="D2702" s="19"/>
      <c r="H2702" s="18"/>
      <c r="J2702" s="18"/>
      <c r="N2702" s="16"/>
      <c r="O2702" s="17"/>
      <c r="P2702" s="17"/>
      <c r="Q2702" s="22"/>
      <c r="R2702" s="23"/>
    </row>
    <row r="2703" spans="1:18" ht="12.75">
      <c r="A2703" s="22"/>
      <c r="D2703" s="19"/>
      <c r="H2703" s="18"/>
      <c r="J2703" s="18"/>
      <c r="N2703" s="16"/>
      <c r="O2703" s="17"/>
      <c r="P2703" s="17"/>
      <c r="Q2703" s="22"/>
      <c r="R2703" s="23"/>
    </row>
    <row r="2704" spans="1:18" ht="12.75">
      <c r="A2704" s="22"/>
      <c r="D2704" s="19"/>
      <c r="H2704" s="18"/>
      <c r="J2704" s="18"/>
      <c r="N2704" s="16"/>
      <c r="O2704" s="17"/>
      <c r="P2704" s="17"/>
      <c r="Q2704" s="22"/>
      <c r="R2704" s="23"/>
    </row>
    <row r="2705" spans="1:18" ht="12.75">
      <c r="A2705" s="22"/>
      <c r="D2705" s="19"/>
      <c r="H2705" s="18"/>
      <c r="J2705" s="18"/>
      <c r="N2705" s="16"/>
      <c r="O2705" s="17"/>
      <c r="P2705" s="17"/>
      <c r="Q2705" s="22"/>
      <c r="R2705" s="23"/>
    </row>
    <row r="2706" spans="1:18" ht="12.75">
      <c r="A2706" s="22"/>
      <c r="D2706" s="19"/>
      <c r="H2706" s="18"/>
      <c r="J2706" s="18"/>
      <c r="N2706" s="16"/>
      <c r="O2706" s="17"/>
      <c r="P2706" s="17"/>
      <c r="Q2706" s="22"/>
      <c r="R2706" s="23"/>
    </row>
    <row r="2707" spans="1:18" ht="12.75">
      <c r="A2707" s="22"/>
      <c r="D2707" s="19"/>
      <c r="H2707" s="18"/>
      <c r="J2707" s="18"/>
      <c r="N2707" s="16"/>
      <c r="O2707" s="17"/>
      <c r="P2707" s="17"/>
      <c r="Q2707" s="22"/>
      <c r="R2707" s="23"/>
    </row>
    <row r="2708" spans="1:18" ht="12.75">
      <c r="A2708" s="22"/>
      <c r="D2708" s="19"/>
      <c r="H2708" s="18"/>
      <c r="J2708" s="18"/>
      <c r="N2708" s="16"/>
      <c r="O2708" s="17"/>
      <c r="P2708" s="17"/>
      <c r="Q2708" s="22"/>
      <c r="R2708" s="23"/>
    </row>
    <row r="2709" spans="1:18" ht="12.75">
      <c r="A2709" s="22"/>
      <c r="D2709" s="19"/>
      <c r="H2709" s="18"/>
      <c r="J2709" s="18"/>
      <c r="N2709" s="16"/>
      <c r="O2709" s="17"/>
      <c r="P2709" s="17"/>
      <c r="Q2709" s="22"/>
      <c r="R2709" s="23"/>
    </row>
    <row r="2710" spans="1:18" ht="12.75">
      <c r="A2710" s="22"/>
      <c r="D2710" s="19"/>
      <c r="H2710" s="18"/>
      <c r="J2710" s="18"/>
      <c r="N2710" s="16"/>
      <c r="O2710" s="17"/>
      <c r="P2710" s="17"/>
      <c r="Q2710" s="22"/>
      <c r="R2710" s="23"/>
    </row>
    <row r="2711" spans="1:18" ht="12.75">
      <c r="A2711" s="22"/>
      <c r="D2711" s="19"/>
      <c r="H2711" s="18"/>
      <c r="J2711" s="18"/>
      <c r="N2711" s="16"/>
      <c r="O2711" s="17"/>
      <c r="P2711" s="17"/>
      <c r="Q2711" s="22"/>
      <c r="R2711" s="23"/>
    </row>
    <row r="2712" spans="1:18" ht="12.75">
      <c r="A2712" s="22"/>
      <c r="D2712" s="19"/>
      <c r="H2712" s="18"/>
      <c r="J2712" s="18"/>
      <c r="N2712" s="16"/>
      <c r="O2712" s="17"/>
      <c r="P2712" s="17"/>
      <c r="Q2712" s="22"/>
      <c r="R2712" s="23"/>
    </row>
    <row r="2713" spans="1:18" ht="12.75">
      <c r="A2713" s="22"/>
      <c r="D2713" s="19"/>
      <c r="H2713" s="18"/>
      <c r="J2713" s="18"/>
      <c r="N2713" s="16"/>
      <c r="O2713" s="17"/>
      <c r="P2713" s="17"/>
      <c r="Q2713" s="22"/>
      <c r="R2713" s="23"/>
    </row>
    <row r="2714" spans="1:18" ht="12.75">
      <c r="A2714" s="22"/>
      <c r="D2714" s="19"/>
      <c r="H2714" s="18"/>
      <c r="J2714" s="18"/>
      <c r="N2714" s="16"/>
      <c r="O2714" s="17"/>
      <c r="P2714" s="17"/>
      <c r="Q2714" s="22"/>
      <c r="R2714" s="23"/>
    </row>
    <row r="2715" spans="1:18" ht="12.75">
      <c r="A2715" s="22"/>
      <c r="D2715" s="19"/>
      <c r="H2715" s="18"/>
      <c r="J2715" s="18"/>
      <c r="N2715" s="16"/>
      <c r="O2715" s="17"/>
      <c r="P2715" s="17"/>
      <c r="Q2715" s="22"/>
      <c r="R2715" s="23"/>
    </row>
    <row r="2716" spans="1:18" ht="12.75">
      <c r="A2716" s="22"/>
      <c r="D2716" s="19"/>
      <c r="H2716" s="18"/>
      <c r="J2716" s="18"/>
      <c r="N2716" s="16"/>
      <c r="O2716" s="17"/>
      <c r="P2716" s="17"/>
      <c r="Q2716" s="22"/>
      <c r="R2716" s="23"/>
    </row>
    <row r="2717" spans="1:18" ht="12.75">
      <c r="A2717" s="22"/>
      <c r="D2717" s="19"/>
      <c r="H2717" s="18"/>
      <c r="J2717" s="18"/>
      <c r="N2717" s="16"/>
      <c r="O2717" s="17"/>
      <c r="P2717" s="17"/>
      <c r="Q2717" s="22"/>
      <c r="R2717" s="23"/>
    </row>
    <row r="2718" spans="1:18" ht="12.75">
      <c r="A2718" s="22"/>
      <c r="D2718" s="19"/>
      <c r="H2718" s="18"/>
      <c r="J2718" s="18"/>
      <c r="N2718" s="16"/>
      <c r="O2718" s="17"/>
      <c r="P2718" s="17"/>
      <c r="Q2718" s="22"/>
      <c r="R2718" s="23"/>
    </row>
    <row r="2719" spans="1:18" ht="12.75">
      <c r="A2719" s="22"/>
      <c r="D2719" s="19"/>
      <c r="H2719" s="18"/>
      <c r="J2719" s="18"/>
      <c r="N2719" s="16"/>
      <c r="O2719" s="17"/>
      <c r="P2719" s="17"/>
      <c r="Q2719" s="22"/>
      <c r="R2719" s="23"/>
    </row>
    <row r="2720" spans="1:18" ht="12.75">
      <c r="A2720" s="22"/>
      <c r="D2720" s="19"/>
      <c r="H2720" s="18"/>
      <c r="J2720" s="18"/>
      <c r="N2720" s="16"/>
      <c r="O2720" s="17"/>
      <c r="P2720" s="17"/>
      <c r="Q2720" s="22"/>
      <c r="R2720" s="23"/>
    </row>
    <row r="2721" spans="1:18" ht="12.75">
      <c r="A2721" s="22"/>
      <c r="D2721" s="19"/>
      <c r="H2721" s="18"/>
      <c r="J2721" s="18"/>
      <c r="N2721" s="16"/>
      <c r="O2721" s="17"/>
      <c r="P2721" s="17"/>
      <c r="Q2721" s="22"/>
      <c r="R2721" s="23"/>
    </row>
    <row r="2722" spans="1:18" ht="12.75">
      <c r="A2722" s="22"/>
      <c r="D2722" s="19"/>
      <c r="H2722" s="18"/>
      <c r="J2722" s="18"/>
      <c r="N2722" s="16"/>
      <c r="O2722" s="17"/>
      <c r="P2722" s="17"/>
      <c r="Q2722" s="22"/>
      <c r="R2722" s="23"/>
    </row>
    <row r="2723" spans="1:18" ht="12.75">
      <c r="A2723" s="22"/>
      <c r="D2723" s="19"/>
      <c r="H2723" s="18"/>
      <c r="J2723" s="18"/>
      <c r="N2723" s="16"/>
      <c r="O2723" s="17"/>
      <c r="P2723" s="17"/>
      <c r="Q2723" s="22"/>
      <c r="R2723" s="23"/>
    </row>
    <row r="2724" spans="1:18" ht="12.75">
      <c r="A2724" s="22"/>
      <c r="D2724" s="19"/>
      <c r="H2724" s="18"/>
      <c r="J2724" s="18"/>
      <c r="N2724" s="16"/>
      <c r="O2724" s="17"/>
      <c r="P2724" s="17"/>
      <c r="Q2724" s="22"/>
      <c r="R2724" s="23"/>
    </row>
    <row r="2725" spans="1:18" ht="12.75">
      <c r="A2725" s="22"/>
      <c r="D2725" s="19"/>
      <c r="H2725" s="18"/>
      <c r="J2725" s="18"/>
      <c r="N2725" s="16"/>
      <c r="O2725" s="17"/>
      <c r="P2725" s="17"/>
      <c r="Q2725" s="22"/>
      <c r="R2725" s="23"/>
    </row>
    <row r="2726" spans="1:18" ht="12.75">
      <c r="A2726" s="22"/>
      <c r="D2726" s="19"/>
      <c r="H2726" s="18"/>
      <c r="J2726" s="18"/>
      <c r="N2726" s="16"/>
      <c r="O2726" s="17"/>
      <c r="P2726" s="17"/>
      <c r="Q2726" s="22"/>
      <c r="R2726" s="23"/>
    </row>
    <row r="2727" spans="1:18" ht="12.75">
      <c r="A2727" s="22"/>
      <c r="D2727" s="19"/>
      <c r="H2727" s="18"/>
      <c r="J2727" s="18"/>
      <c r="N2727" s="16"/>
      <c r="O2727" s="17"/>
      <c r="P2727" s="17"/>
      <c r="Q2727" s="22"/>
      <c r="R2727" s="23"/>
    </row>
    <row r="2728" spans="1:18" ht="12.75">
      <c r="A2728" s="22"/>
      <c r="D2728" s="19"/>
      <c r="H2728" s="18"/>
      <c r="J2728" s="18"/>
      <c r="N2728" s="16"/>
      <c r="O2728" s="17"/>
      <c r="P2728" s="17"/>
      <c r="Q2728" s="22"/>
      <c r="R2728" s="23"/>
    </row>
    <row r="2729" spans="1:18" ht="12.75">
      <c r="A2729" s="22"/>
      <c r="D2729" s="19"/>
      <c r="H2729" s="18"/>
      <c r="J2729" s="18"/>
      <c r="N2729" s="16"/>
      <c r="O2729" s="17"/>
      <c r="P2729" s="17"/>
      <c r="Q2729" s="22"/>
      <c r="R2729" s="23"/>
    </row>
    <row r="2730" spans="1:18" ht="12.75">
      <c r="A2730" s="22"/>
      <c r="D2730" s="19"/>
      <c r="H2730" s="18"/>
      <c r="J2730" s="18"/>
      <c r="N2730" s="16"/>
      <c r="O2730" s="17"/>
      <c r="P2730" s="17"/>
      <c r="Q2730" s="22"/>
      <c r="R2730" s="23"/>
    </row>
    <row r="2731" spans="1:18" ht="12.75">
      <c r="A2731" s="22"/>
      <c r="D2731" s="19"/>
      <c r="H2731" s="18"/>
      <c r="J2731" s="18"/>
      <c r="N2731" s="16"/>
      <c r="O2731" s="17"/>
      <c r="P2731" s="17"/>
      <c r="Q2731" s="22"/>
      <c r="R2731" s="23"/>
    </row>
    <row r="2732" spans="1:18" ht="12.75">
      <c r="A2732" s="22"/>
      <c r="D2732" s="19"/>
      <c r="H2732" s="18"/>
      <c r="J2732" s="18"/>
      <c r="N2732" s="16"/>
      <c r="O2732" s="17"/>
      <c r="P2732" s="17"/>
      <c r="Q2732" s="22"/>
      <c r="R2732" s="23"/>
    </row>
    <row r="2733" spans="1:18" ht="12.75">
      <c r="A2733" s="22"/>
      <c r="D2733" s="19"/>
      <c r="H2733" s="18"/>
      <c r="J2733" s="18"/>
      <c r="N2733" s="16"/>
      <c r="O2733" s="17"/>
      <c r="P2733" s="17"/>
      <c r="Q2733" s="22"/>
      <c r="R2733" s="23"/>
    </row>
    <row r="2734" spans="1:18" ht="12.75">
      <c r="A2734" s="22"/>
      <c r="D2734" s="19"/>
      <c r="H2734" s="18"/>
      <c r="J2734" s="18"/>
      <c r="N2734" s="16"/>
      <c r="O2734" s="17"/>
      <c r="P2734" s="17"/>
      <c r="Q2734" s="22"/>
      <c r="R2734" s="23"/>
    </row>
    <row r="2735" spans="1:18" ht="12.75">
      <c r="A2735" s="22"/>
      <c r="D2735" s="19"/>
      <c r="H2735" s="18"/>
      <c r="J2735" s="18"/>
      <c r="N2735" s="16"/>
      <c r="O2735" s="17"/>
      <c r="P2735" s="17"/>
      <c r="Q2735" s="22"/>
      <c r="R2735" s="23"/>
    </row>
    <row r="2736" spans="1:18" ht="12.75">
      <c r="A2736" s="22"/>
      <c r="D2736" s="19"/>
      <c r="H2736" s="18"/>
      <c r="J2736" s="18"/>
      <c r="N2736" s="16"/>
      <c r="O2736" s="17"/>
      <c r="P2736" s="17"/>
      <c r="Q2736" s="22"/>
      <c r="R2736" s="23"/>
    </row>
    <row r="2737" spans="1:18" ht="12.75">
      <c r="A2737" s="22"/>
      <c r="D2737" s="19"/>
      <c r="H2737" s="18"/>
      <c r="J2737" s="18"/>
      <c r="N2737" s="16"/>
      <c r="O2737" s="17"/>
      <c r="P2737" s="17"/>
      <c r="Q2737" s="22"/>
      <c r="R2737" s="23"/>
    </row>
    <row r="2738" spans="1:18" ht="12.75">
      <c r="A2738" s="22"/>
      <c r="D2738" s="19"/>
      <c r="H2738" s="18"/>
      <c r="J2738" s="18"/>
      <c r="N2738" s="16"/>
      <c r="O2738" s="17"/>
      <c r="P2738" s="17"/>
      <c r="Q2738" s="22"/>
      <c r="R2738" s="23"/>
    </row>
    <row r="2739" spans="1:18" ht="12.75">
      <c r="A2739" s="22"/>
      <c r="D2739" s="19"/>
      <c r="H2739" s="18"/>
      <c r="J2739" s="18"/>
      <c r="N2739" s="16"/>
      <c r="O2739" s="17"/>
      <c r="P2739" s="17"/>
      <c r="Q2739" s="22"/>
      <c r="R2739" s="23"/>
    </row>
    <row r="2740" spans="1:18" ht="12.75">
      <c r="A2740" s="22"/>
      <c r="D2740" s="19"/>
      <c r="H2740" s="18"/>
      <c r="J2740" s="18"/>
      <c r="N2740" s="16"/>
      <c r="O2740" s="17"/>
      <c r="P2740" s="17"/>
      <c r="Q2740" s="22"/>
      <c r="R2740" s="23"/>
    </row>
    <row r="2741" spans="1:18" ht="12.75">
      <c r="A2741" s="22"/>
      <c r="D2741" s="19"/>
      <c r="H2741" s="18"/>
      <c r="J2741" s="18"/>
      <c r="N2741" s="16"/>
      <c r="O2741" s="17"/>
      <c r="P2741" s="17"/>
      <c r="Q2741" s="22"/>
      <c r="R2741" s="23"/>
    </row>
    <row r="2742" spans="1:18" ht="12.75">
      <c r="A2742" s="22"/>
      <c r="D2742" s="19"/>
      <c r="H2742" s="18"/>
      <c r="J2742" s="18"/>
      <c r="N2742" s="16"/>
      <c r="O2742" s="17"/>
      <c r="P2742" s="17"/>
      <c r="Q2742" s="22"/>
      <c r="R2742" s="23"/>
    </row>
    <row r="2743" spans="1:18" ht="12.75">
      <c r="A2743" s="22"/>
      <c r="D2743" s="19"/>
      <c r="H2743" s="18"/>
      <c r="J2743" s="18"/>
      <c r="N2743" s="16"/>
      <c r="O2743" s="17"/>
      <c r="P2743" s="17"/>
      <c r="Q2743" s="22"/>
      <c r="R2743" s="23"/>
    </row>
    <row r="2744" spans="1:18" ht="12.75">
      <c r="A2744" s="22"/>
      <c r="D2744" s="19"/>
      <c r="H2744" s="18"/>
      <c r="J2744" s="18"/>
      <c r="N2744" s="16"/>
      <c r="O2744" s="17"/>
      <c r="P2744" s="17"/>
      <c r="Q2744" s="22"/>
      <c r="R2744" s="23"/>
    </row>
    <row r="2745" spans="1:18" ht="12.75">
      <c r="A2745" s="22"/>
      <c r="D2745" s="19"/>
      <c r="H2745" s="18"/>
      <c r="J2745" s="18"/>
      <c r="N2745" s="16"/>
      <c r="O2745" s="17"/>
      <c r="P2745" s="17"/>
      <c r="Q2745" s="22"/>
      <c r="R2745" s="23"/>
    </row>
    <row r="2746" spans="1:18" ht="12.75">
      <c r="A2746" s="22"/>
      <c r="D2746" s="19"/>
      <c r="H2746" s="18"/>
      <c r="J2746" s="18"/>
      <c r="N2746" s="16"/>
      <c r="O2746" s="17"/>
      <c r="P2746" s="17"/>
      <c r="Q2746" s="22"/>
      <c r="R2746" s="23"/>
    </row>
    <row r="2747" spans="1:18" ht="12.75">
      <c r="A2747" s="22"/>
      <c r="D2747" s="19"/>
      <c r="H2747" s="18"/>
      <c r="J2747" s="18"/>
      <c r="N2747" s="16"/>
      <c r="O2747" s="17"/>
      <c r="P2747" s="17"/>
      <c r="Q2747" s="22"/>
      <c r="R2747" s="23"/>
    </row>
    <row r="2748" spans="1:18" ht="12.75">
      <c r="A2748" s="22"/>
      <c r="D2748" s="19"/>
      <c r="H2748" s="18"/>
      <c r="J2748" s="18"/>
      <c r="N2748" s="16"/>
      <c r="O2748" s="17"/>
      <c r="P2748" s="17"/>
      <c r="Q2748" s="22"/>
      <c r="R2748" s="23"/>
    </row>
    <row r="2749" spans="1:18" ht="12.75">
      <c r="A2749" s="22"/>
      <c r="D2749" s="19"/>
      <c r="H2749" s="18"/>
      <c r="J2749" s="18"/>
      <c r="N2749" s="16"/>
      <c r="O2749" s="17"/>
      <c r="P2749" s="17"/>
      <c r="Q2749" s="22"/>
      <c r="R2749" s="23"/>
    </row>
    <row r="2750" spans="1:18" ht="12.75">
      <c r="A2750" s="22"/>
      <c r="D2750" s="19"/>
      <c r="H2750" s="18"/>
      <c r="J2750" s="18"/>
      <c r="N2750" s="16"/>
      <c r="O2750" s="17"/>
      <c r="P2750" s="17"/>
      <c r="Q2750" s="22"/>
      <c r="R2750" s="23"/>
    </row>
    <row r="2751" spans="1:18" ht="12.75">
      <c r="A2751" s="22"/>
      <c r="D2751" s="19"/>
      <c r="H2751" s="18"/>
      <c r="J2751" s="18"/>
      <c r="N2751" s="16"/>
      <c r="O2751" s="17"/>
      <c r="P2751" s="17"/>
      <c r="Q2751" s="22"/>
      <c r="R2751" s="23"/>
    </row>
    <row r="2752" spans="1:18" ht="12.75">
      <c r="A2752" s="22"/>
      <c r="D2752" s="19"/>
      <c r="H2752" s="18"/>
      <c r="J2752" s="18"/>
      <c r="N2752" s="16"/>
      <c r="O2752" s="17"/>
      <c r="P2752" s="17"/>
      <c r="Q2752" s="22"/>
      <c r="R2752" s="23"/>
    </row>
    <row r="2753" spans="1:18" ht="12.75">
      <c r="A2753" s="22"/>
      <c r="D2753" s="19"/>
      <c r="H2753" s="18"/>
      <c r="J2753" s="18"/>
      <c r="N2753" s="16"/>
      <c r="O2753" s="17"/>
      <c r="P2753" s="17"/>
      <c r="Q2753" s="22"/>
      <c r="R2753" s="23"/>
    </row>
    <row r="2754" spans="1:18" ht="12.75">
      <c r="A2754" s="22"/>
      <c r="D2754" s="19"/>
      <c r="H2754" s="18"/>
      <c r="J2754" s="18"/>
      <c r="N2754" s="16"/>
      <c r="O2754" s="17"/>
      <c r="P2754" s="17"/>
      <c r="Q2754" s="22"/>
      <c r="R2754" s="23"/>
    </row>
    <row r="2755" spans="1:18" ht="12.75">
      <c r="A2755" s="22"/>
      <c r="D2755" s="19"/>
      <c r="H2755" s="18"/>
      <c r="J2755" s="18"/>
      <c r="N2755" s="16"/>
      <c r="O2755" s="17"/>
      <c r="P2755" s="17"/>
      <c r="Q2755" s="22"/>
      <c r="R2755" s="23"/>
    </row>
    <row r="2756" spans="1:18" ht="12.75">
      <c r="A2756" s="22"/>
      <c r="D2756" s="19"/>
      <c r="H2756" s="18"/>
      <c r="J2756" s="18"/>
      <c r="N2756" s="16"/>
      <c r="O2756" s="17"/>
      <c r="P2756" s="17"/>
      <c r="Q2756" s="22"/>
      <c r="R2756" s="23"/>
    </row>
    <row r="2757" spans="1:18" ht="12.75">
      <c r="A2757" s="22"/>
      <c r="D2757" s="19"/>
      <c r="H2757" s="18"/>
      <c r="J2757" s="18"/>
      <c r="N2757" s="16"/>
      <c r="O2757" s="17"/>
      <c r="P2757" s="17"/>
      <c r="Q2757" s="22"/>
      <c r="R2757" s="23"/>
    </row>
    <row r="2758" spans="1:18" ht="12.75">
      <c r="A2758" s="22"/>
      <c r="D2758" s="19"/>
      <c r="H2758" s="18"/>
      <c r="J2758" s="18"/>
      <c r="N2758" s="16"/>
      <c r="O2758" s="17"/>
      <c r="P2758" s="17"/>
      <c r="Q2758" s="22"/>
      <c r="R2758" s="23"/>
    </row>
    <row r="2759" spans="1:18" ht="12.75">
      <c r="A2759" s="22"/>
      <c r="D2759" s="19"/>
      <c r="H2759" s="18"/>
      <c r="J2759" s="18"/>
      <c r="N2759" s="16"/>
      <c r="O2759" s="17"/>
      <c r="P2759" s="17"/>
      <c r="Q2759" s="22"/>
      <c r="R2759" s="23"/>
    </row>
    <row r="2760" spans="1:18" ht="12.75">
      <c r="A2760" s="22"/>
      <c r="D2760" s="19"/>
      <c r="H2760" s="18"/>
      <c r="J2760" s="18"/>
      <c r="N2760" s="16"/>
      <c r="O2760" s="17"/>
      <c r="P2760" s="17"/>
      <c r="Q2760" s="22"/>
      <c r="R2760" s="23"/>
    </row>
    <row r="2761" spans="1:18" ht="12.75">
      <c r="A2761" s="22"/>
      <c r="D2761" s="19"/>
      <c r="H2761" s="18"/>
      <c r="J2761" s="18"/>
      <c r="N2761" s="16"/>
      <c r="O2761" s="17"/>
      <c r="P2761" s="17"/>
      <c r="Q2761" s="22"/>
      <c r="R2761" s="23"/>
    </row>
    <row r="2762" spans="1:18" ht="12.75">
      <c r="A2762" s="22"/>
      <c r="D2762" s="19"/>
      <c r="H2762" s="18"/>
      <c r="J2762" s="18"/>
      <c r="N2762" s="16"/>
      <c r="O2762" s="17"/>
      <c r="P2762" s="17"/>
      <c r="Q2762" s="22"/>
      <c r="R2762" s="23"/>
    </row>
    <row r="2763" spans="1:18" ht="12.75">
      <c r="A2763" s="22"/>
      <c r="D2763" s="19"/>
      <c r="H2763" s="18"/>
      <c r="J2763" s="18"/>
      <c r="N2763" s="16"/>
      <c r="O2763" s="17"/>
      <c r="P2763" s="17"/>
      <c r="Q2763" s="22"/>
      <c r="R2763" s="23"/>
    </row>
    <row r="2764" spans="1:18" ht="12.75">
      <c r="A2764" s="22"/>
      <c r="D2764" s="19"/>
      <c r="H2764" s="18"/>
      <c r="J2764" s="18"/>
      <c r="N2764" s="16"/>
      <c r="O2764" s="17"/>
      <c r="P2764" s="17"/>
      <c r="Q2764" s="22"/>
      <c r="R2764" s="23"/>
    </row>
    <row r="2765" spans="1:18" ht="12.75">
      <c r="A2765" s="22"/>
      <c r="D2765" s="19"/>
      <c r="H2765" s="18"/>
      <c r="J2765" s="18"/>
      <c r="N2765" s="16"/>
      <c r="O2765" s="17"/>
      <c r="P2765" s="17"/>
      <c r="Q2765" s="22"/>
      <c r="R2765" s="23"/>
    </row>
    <row r="2766" spans="1:18" ht="12.75">
      <c r="A2766" s="22"/>
      <c r="D2766" s="19"/>
      <c r="H2766" s="18"/>
      <c r="J2766" s="18"/>
      <c r="N2766" s="16"/>
      <c r="O2766" s="17"/>
      <c r="P2766" s="17"/>
      <c r="Q2766" s="22"/>
      <c r="R2766" s="23"/>
    </row>
    <row r="2767" spans="1:18" ht="12.75">
      <c r="A2767" s="22"/>
      <c r="D2767" s="19"/>
      <c r="H2767" s="18"/>
      <c r="J2767" s="18"/>
      <c r="N2767" s="16"/>
      <c r="O2767" s="17"/>
      <c r="P2767" s="17"/>
      <c r="Q2767" s="22"/>
      <c r="R2767" s="23"/>
    </row>
    <row r="2768" spans="1:18" ht="12.75">
      <c r="A2768" s="22"/>
      <c r="D2768" s="19"/>
      <c r="H2768" s="18"/>
      <c r="J2768" s="18"/>
      <c r="N2768" s="16"/>
      <c r="O2768" s="17"/>
      <c r="P2768" s="17"/>
      <c r="Q2768" s="22"/>
      <c r="R2768" s="23"/>
    </row>
    <row r="2769" spans="1:18" ht="12.75">
      <c r="A2769" s="22"/>
      <c r="D2769" s="19"/>
      <c r="H2769" s="18"/>
      <c r="J2769" s="18"/>
      <c r="N2769" s="16"/>
      <c r="O2769" s="17"/>
      <c r="P2769" s="17"/>
      <c r="Q2769" s="22"/>
      <c r="R2769" s="23"/>
    </row>
    <row r="2770" spans="1:18" ht="12.75">
      <c r="A2770" s="22"/>
      <c r="D2770" s="19"/>
      <c r="H2770" s="18"/>
      <c r="J2770" s="18"/>
      <c r="N2770" s="16"/>
      <c r="O2770" s="17"/>
      <c r="P2770" s="17"/>
      <c r="Q2770" s="22"/>
      <c r="R2770" s="23"/>
    </row>
    <row r="2771" spans="1:18" ht="12.75">
      <c r="A2771" s="22"/>
      <c r="D2771" s="19"/>
      <c r="H2771" s="18"/>
      <c r="J2771" s="18"/>
      <c r="N2771" s="16"/>
      <c r="O2771" s="17"/>
      <c r="P2771" s="17"/>
      <c r="Q2771" s="22"/>
      <c r="R2771" s="23"/>
    </row>
    <row r="2772" spans="1:18" ht="12.75">
      <c r="A2772" s="22"/>
      <c r="D2772" s="19"/>
      <c r="H2772" s="18"/>
      <c r="J2772" s="18"/>
      <c r="N2772" s="16"/>
      <c r="O2772" s="17"/>
      <c r="P2772" s="17"/>
      <c r="Q2772" s="22"/>
      <c r="R2772" s="23"/>
    </row>
    <row r="2773" spans="1:18" ht="12.75">
      <c r="A2773" s="22"/>
      <c r="D2773" s="19"/>
      <c r="H2773" s="18"/>
      <c r="J2773" s="18"/>
      <c r="N2773" s="16"/>
      <c r="O2773" s="17"/>
      <c r="P2773" s="17"/>
      <c r="Q2773" s="22"/>
      <c r="R2773" s="23"/>
    </row>
    <row r="2774" spans="1:18" ht="12.75">
      <c r="A2774" s="22"/>
      <c r="D2774" s="19"/>
      <c r="H2774" s="18"/>
      <c r="J2774" s="18"/>
      <c r="N2774" s="16"/>
      <c r="O2774" s="17"/>
      <c r="P2774" s="17"/>
      <c r="Q2774" s="22"/>
      <c r="R2774" s="23"/>
    </row>
    <row r="2775" spans="1:18" ht="12.75">
      <c r="A2775" s="22"/>
      <c r="D2775" s="19"/>
      <c r="H2775" s="18"/>
      <c r="J2775" s="18"/>
      <c r="N2775" s="16"/>
      <c r="O2775" s="17"/>
      <c r="P2775" s="17"/>
      <c r="Q2775" s="22"/>
      <c r="R2775" s="23"/>
    </row>
    <row r="2776" spans="1:18" ht="12.75">
      <c r="A2776" s="22"/>
      <c r="D2776" s="19"/>
      <c r="H2776" s="18"/>
      <c r="J2776" s="18"/>
      <c r="N2776" s="16"/>
      <c r="O2776" s="17"/>
      <c r="P2776" s="17"/>
      <c r="Q2776" s="22"/>
      <c r="R2776" s="23"/>
    </row>
    <row r="2777" spans="1:18" ht="12.75">
      <c r="A2777" s="22"/>
      <c r="D2777" s="19"/>
      <c r="H2777" s="18"/>
      <c r="J2777" s="18"/>
      <c r="N2777" s="16"/>
      <c r="O2777" s="17"/>
      <c r="P2777" s="17"/>
      <c r="Q2777" s="22"/>
      <c r="R2777" s="23"/>
    </row>
    <row r="2778" spans="1:18" ht="12.75">
      <c r="A2778" s="22"/>
      <c r="D2778" s="19"/>
      <c r="H2778" s="18"/>
      <c r="J2778" s="18"/>
      <c r="N2778" s="16"/>
      <c r="O2778" s="17"/>
      <c r="P2778" s="17"/>
      <c r="Q2778" s="22"/>
      <c r="R2778" s="23"/>
    </row>
    <row r="2779" spans="1:18" ht="12.75">
      <c r="A2779" s="22"/>
      <c r="D2779" s="19"/>
      <c r="H2779" s="18"/>
      <c r="J2779" s="18"/>
      <c r="N2779" s="16"/>
      <c r="O2779" s="17"/>
      <c r="P2779" s="17"/>
      <c r="Q2779" s="22"/>
      <c r="R2779" s="23"/>
    </row>
    <row r="2780" spans="1:18" ht="12.75">
      <c r="A2780" s="22"/>
      <c r="D2780" s="19"/>
      <c r="H2780" s="18"/>
      <c r="J2780" s="18"/>
      <c r="N2780" s="16"/>
      <c r="O2780" s="17"/>
      <c r="P2780" s="17"/>
      <c r="Q2780" s="22"/>
      <c r="R2780" s="23"/>
    </row>
    <row r="2781" spans="1:18" ht="12.75">
      <c r="A2781" s="22"/>
      <c r="D2781" s="19"/>
      <c r="H2781" s="18"/>
      <c r="J2781" s="18"/>
      <c r="N2781" s="16"/>
      <c r="O2781" s="17"/>
      <c r="P2781" s="17"/>
      <c r="Q2781" s="22"/>
      <c r="R2781" s="23"/>
    </row>
    <row r="2782" spans="1:18" ht="12.75">
      <c r="A2782" s="22"/>
      <c r="D2782" s="19"/>
      <c r="H2782" s="18"/>
      <c r="J2782" s="18"/>
      <c r="N2782" s="16"/>
      <c r="O2782" s="17"/>
      <c r="P2782" s="17"/>
      <c r="Q2782" s="22"/>
      <c r="R2782" s="23"/>
    </row>
    <row r="2783" spans="1:18" ht="12.75">
      <c r="A2783" s="22"/>
      <c r="D2783" s="19"/>
      <c r="H2783" s="18"/>
      <c r="J2783" s="18"/>
      <c r="N2783" s="16"/>
      <c r="O2783" s="17"/>
      <c r="P2783" s="17"/>
      <c r="Q2783" s="22"/>
      <c r="R2783" s="23"/>
    </row>
    <row r="2784" spans="1:18" ht="12.75">
      <c r="A2784" s="22"/>
      <c r="D2784" s="19"/>
      <c r="H2784" s="18"/>
      <c r="J2784" s="18"/>
      <c r="N2784" s="16"/>
      <c r="O2784" s="17"/>
      <c r="P2784" s="17"/>
      <c r="Q2784" s="22"/>
      <c r="R2784" s="23"/>
    </row>
    <row r="2785" spans="1:18" ht="12.75">
      <c r="A2785" s="22"/>
      <c r="D2785" s="19"/>
      <c r="H2785" s="18"/>
      <c r="J2785" s="18"/>
      <c r="N2785" s="16"/>
      <c r="O2785" s="17"/>
      <c r="P2785" s="17"/>
      <c r="Q2785" s="22"/>
      <c r="R2785" s="23"/>
    </row>
    <row r="2786" spans="1:18" ht="12.75">
      <c r="A2786" s="22"/>
      <c r="D2786" s="19"/>
      <c r="H2786" s="18"/>
      <c r="J2786" s="18"/>
      <c r="N2786" s="16"/>
      <c r="O2786" s="17"/>
      <c r="P2786" s="17"/>
      <c r="Q2786" s="22"/>
      <c r="R2786" s="23"/>
    </row>
    <row r="2787" spans="1:18" ht="12.75">
      <c r="A2787" s="22"/>
      <c r="D2787" s="19"/>
      <c r="H2787" s="18"/>
      <c r="J2787" s="18"/>
      <c r="N2787" s="16"/>
      <c r="O2787" s="17"/>
      <c r="P2787" s="17"/>
      <c r="Q2787" s="22"/>
      <c r="R2787" s="23"/>
    </row>
    <row r="2788" spans="1:18" ht="12.75">
      <c r="A2788" s="22"/>
      <c r="D2788" s="19"/>
      <c r="H2788" s="18"/>
      <c r="J2788" s="18"/>
      <c r="N2788" s="16"/>
      <c r="O2788" s="17"/>
      <c r="P2788" s="17"/>
      <c r="Q2788" s="22"/>
      <c r="R2788" s="23"/>
    </row>
    <row r="2789" spans="1:18" ht="12.75">
      <c r="A2789" s="22"/>
      <c r="D2789" s="19"/>
      <c r="H2789" s="18"/>
      <c r="J2789" s="18"/>
      <c r="N2789" s="16"/>
      <c r="O2789" s="17"/>
      <c r="P2789" s="17"/>
      <c r="Q2789" s="22"/>
      <c r="R2789" s="23"/>
    </row>
    <row r="2790" spans="1:18" ht="12.75">
      <c r="A2790" s="22"/>
      <c r="D2790" s="19"/>
      <c r="H2790" s="18"/>
      <c r="J2790" s="18"/>
      <c r="N2790" s="16"/>
      <c r="O2790" s="17"/>
      <c r="P2790" s="17"/>
      <c r="Q2790" s="22"/>
      <c r="R2790" s="23"/>
    </row>
    <row r="2791" spans="1:18" ht="12.75">
      <c r="A2791" s="22"/>
      <c r="D2791" s="19"/>
      <c r="H2791" s="18"/>
      <c r="J2791" s="18"/>
      <c r="N2791" s="16"/>
      <c r="O2791" s="17"/>
      <c r="P2791" s="17"/>
      <c r="Q2791" s="22"/>
      <c r="R2791" s="23"/>
    </row>
    <row r="2792" spans="1:18" ht="12.75">
      <c r="A2792" s="22"/>
      <c r="D2792" s="19"/>
      <c r="H2792" s="18"/>
      <c r="J2792" s="18"/>
      <c r="N2792" s="16"/>
      <c r="O2792" s="17"/>
      <c r="P2792" s="17"/>
      <c r="Q2792" s="22"/>
      <c r="R2792" s="23"/>
    </row>
    <row r="2793" spans="1:18" ht="12.75">
      <c r="A2793" s="22"/>
      <c r="D2793" s="19"/>
      <c r="H2793" s="18"/>
      <c r="J2793" s="18"/>
      <c r="N2793" s="16"/>
      <c r="O2793" s="17"/>
      <c r="P2793" s="17"/>
      <c r="Q2793" s="22"/>
      <c r="R2793" s="23"/>
    </row>
    <row r="2794" spans="1:18" ht="12.75">
      <c r="A2794" s="22"/>
      <c r="D2794" s="19"/>
      <c r="H2794" s="18"/>
      <c r="J2794" s="18"/>
      <c r="N2794" s="16"/>
      <c r="O2794" s="17"/>
      <c r="P2794" s="17"/>
      <c r="Q2794" s="22"/>
      <c r="R2794" s="23"/>
    </row>
    <row r="2795" spans="1:18" ht="12.75">
      <c r="A2795" s="22"/>
      <c r="D2795" s="19"/>
      <c r="H2795" s="18"/>
      <c r="J2795" s="18"/>
      <c r="N2795" s="16"/>
      <c r="O2795" s="17"/>
      <c r="P2795" s="17"/>
      <c r="Q2795" s="22"/>
      <c r="R2795" s="23"/>
    </row>
    <row r="2796" spans="1:18" ht="12.75">
      <c r="A2796" s="22"/>
      <c r="D2796" s="19"/>
      <c r="H2796" s="18"/>
      <c r="J2796" s="18"/>
      <c r="N2796" s="16"/>
      <c r="O2796" s="17"/>
      <c r="P2796" s="17"/>
      <c r="Q2796" s="22"/>
      <c r="R2796" s="23"/>
    </row>
    <row r="2797" spans="1:18" ht="12.75">
      <c r="A2797" s="22"/>
      <c r="D2797" s="19"/>
      <c r="H2797" s="18"/>
      <c r="J2797" s="18"/>
      <c r="N2797" s="16"/>
      <c r="O2797" s="17"/>
      <c r="P2797" s="17"/>
      <c r="Q2797" s="22"/>
      <c r="R2797" s="23"/>
    </row>
    <row r="2798" spans="1:18" ht="12.75">
      <c r="A2798" s="22"/>
      <c r="D2798" s="19"/>
      <c r="H2798" s="18"/>
      <c r="J2798" s="18"/>
      <c r="N2798" s="16"/>
      <c r="O2798" s="17"/>
      <c r="P2798" s="17"/>
      <c r="Q2798" s="22"/>
      <c r="R2798" s="23"/>
    </row>
    <row r="2799" spans="1:18" ht="12.75">
      <c r="A2799" s="22"/>
      <c r="D2799" s="19"/>
      <c r="H2799" s="18"/>
      <c r="J2799" s="18"/>
      <c r="N2799" s="16"/>
      <c r="O2799" s="17"/>
      <c r="P2799" s="17"/>
      <c r="Q2799" s="22"/>
      <c r="R2799" s="23"/>
    </row>
    <row r="2800" spans="1:18" ht="12.75">
      <c r="A2800" s="22"/>
      <c r="D2800" s="19"/>
      <c r="H2800" s="18"/>
      <c r="J2800" s="18"/>
      <c r="N2800" s="16"/>
      <c r="O2800" s="17"/>
      <c r="P2800" s="17"/>
      <c r="Q2800" s="22"/>
      <c r="R2800" s="23"/>
    </row>
    <row r="2801" spans="1:18" ht="12.75">
      <c r="A2801" s="22"/>
      <c r="D2801" s="19"/>
      <c r="H2801" s="18"/>
      <c r="J2801" s="18"/>
      <c r="N2801" s="16"/>
      <c r="O2801" s="17"/>
      <c r="P2801" s="17"/>
      <c r="Q2801" s="22"/>
      <c r="R2801" s="23"/>
    </row>
    <row r="2802" spans="1:18" ht="12.75">
      <c r="A2802" s="22"/>
      <c r="D2802" s="19"/>
      <c r="H2802" s="18"/>
      <c r="J2802" s="18"/>
      <c r="N2802" s="16"/>
      <c r="O2802" s="17"/>
      <c r="P2802" s="17"/>
      <c r="Q2802" s="22"/>
      <c r="R2802" s="23"/>
    </row>
    <row r="2803" spans="1:18" ht="12.75">
      <c r="A2803" s="22"/>
      <c r="D2803" s="19"/>
      <c r="H2803" s="18"/>
      <c r="J2803" s="18"/>
      <c r="N2803" s="16"/>
      <c r="O2803" s="17"/>
      <c r="P2803" s="17"/>
      <c r="Q2803" s="22"/>
      <c r="R2803" s="23"/>
    </row>
    <row r="2804" spans="1:18" ht="12.75">
      <c r="A2804" s="22"/>
      <c r="D2804" s="19"/>
      <c r="H2804" s="18"/>
      <c r="J2804" s="18"/>
      <c r="N2804" s="16"/>
      <c r="O2804" s="17"/>
      <c r="P2804" s="17"/>
      <c r="Q2804" s="22"/>
      <c r="R2804" s="23"/>
    </row>
    <row r="2805" spans="1:18" ht="12.75">
      <c r="A2805" s="22"/>
      <c r="D2805" s="19"/>
      <c r="H2805" s="18"/>
      <c r="J2805" s="18"/>
      <c r="N2805" s="16"/>
      <c r="O2805" s="17"/>
      <c r="P2805" s="17"/>
      <c r="Q2805" s="22"/>
      <c r="R2805" s="23"/>
    </row>
    <row r="2806" spans="1:18" ht="12.75">
      <c r="A2806" s="22"/>
      <c r="D2806" s="19"/>
      <c r="H2806" s="18"/>
      <c r="J2806" s="18"/>
      <c r="N2806" s="16"/>
      <c r="O2806" s="17"/>
      <c r="P2806" s="17"/>
      <c r="Q2806" s="22"/>
      <c r="R2806" s="23"/>
    </row>
    <row r="2807" spans="1:18" ht="12.75">
      <c r="A2807" s="22"/>
      <c r="D2807" s="19"/>
      <c r="H2807" s="18"/>
      <c r="J2807" s="18"/>
      <c r="N2807" s="16"/>
      <c r="O2807" s="17"/>
      <c r="P2807" s="17"/>
      <c r="Q2807" s="22"/>
      <c r="R2807" s="23"/>
    </row>
    <row r="2808" spans="1:18" ht="12.75">
      <c r="A2808" s="22"/>
      <c r="D2808" s="19"/>
      <c r="H2808" s="18"/>
      <c r="J2808" s="18"/>
      <c r="N2808" s="16"/>
      <c r="O2808" s="17"/>
      <c r="P2808" s="17"/>
      <c r="Q2808" s="22"/>
      <c r="R2808" s="23"/>
    </row>
    <row r="2809" spans="1:18" ht="12.75">
      <c r="A2809" s="22"/>
      <c r="D2809" s="19"/>
      <c r="H2809" s="18"/>
      <c r="J2809" s="18"/>
      <c r="N2809" s="16"/>
      <c r="O2809" s="17"/>
      <c r="P2809" s="17"/>
      <c r="Q2809" s="22"/>
      <c r="R2809" s="23"/>
    </row>
    <row r="2810" spans="1:18" ht="12.75">
      <c r="A2810" s="22"/>
      <c r="D2810" s="19"/>
      <c r="H2810" s="18"/>
      <c r="J2810" s="18"/>
      <c r="N2810" s="16"/>
      <c r="O2810" s="17"/>
      <c r="P2810" s="17"/>
      <c r="Q2810" s="22"/>
      <c r="R2810" s="23"/>
    </row>
    <row r="2811" spans="1:18" ht="12.75">
      <c r="A2811" s="22"/>
      <c r="D2811" s="19"/>
      <c r="H2811" s="18"/>
      <c r="J2811" s="18"/>
      <c r="N2811" s="16"/>
      <c r="O2811" s="17"/>
      <c r="P2811" s="17"/>
      <c r="Q2811" s="22"/>
      <c r="R2811" s="23"/>
    </row>
    <row r="2812" spans="1:18" ht="12.75">
      <c r="A2812" s="22"/>
      <c r="D2812" s="19"/>
      <c r="H2812" s="18"/>
      <c r="J2812" s="18"/>
      <c r="N2812" s="16"/>
      <c r="O2812" s="17"/>
      <c r="P2812" s="17"/>
      <c r="Q2812" s="22"/>
      <c r="R2812" s="23"/>
    </row>
    <row r="2813" spans="1:18" ht="12.75">
      <c r="A2813" s="22"/>
      <c r="D2813" s="19"/>
      <c r="H2813" s="18"/>
      <c r="J2813" s="18"/>
      <c r="N2813" s="16"/>
      <c r="O2813" s="17"/>
      <c r="P2813" s="17"/>
      <c r="Q2813" s="22"/>
      <c r="R2813" s="23"/>
    </row>
    <row r="2814" spans="1:18" ht="12.75">
      <c r="A2814" s="22"/>
      <c r="D2814" s="19"/>
      <c r="H2814" s="18"/>
      <c r="J2814" s="18"/>
      <c r="N2814" s="16"/>
      <c r="O2814" s="17"/>
      <c r="P2814" s="17"/>
      <c r="Q2814" s="22"/>
      <c r="R2814" s="23"/>
    </row>
    <row r="2815" spans="1:18" ht="12.75">
      <c r="A2815" s="22"/>
      <c r="D2815" s="19"/>
      <c r="H2815" s="18"/>
      <c r="J2815" s="18"/>
      <c r="N2815" s="16"/>
      <c r="O2815" s="17"/>
      <c r="P2815" s="17"/>
      <c r="Q2815" s="22"/>
      <c r="R2815" s="23"/>
    </row>
    <row r="2816" spans="1:18" ht="12.75">
      <c r="A2816" s="22"/>
      <c r="D2816" s="19"/>
      <c r="H2816" s="18"/>
      <c r="J2816" s="18"/>
      <c r="N2816" s="16"/>
      <c r="O2816" s="17"/>
      <c r="P2816" s="17"/>
      <c r="Q2816" s="22"/>
      <c r="R2816" s="23"/>
    </row>
    <row r="2817" spans="1:18" ht="12.75">
      <c r="A2817" s="22"/>
      <c r="D2817" s="19"/>
      <c r="H2817" s="18"/>
      <c r="J2817" s="18"/>
      <c r="N2817" s="16"/>
      <c r="O2817" s="17"/>
      <c r="P2817" s="17"/>
      <c r="Q2817" s="22"/>
      <c r="R2817" s="23"/>
    </row>
    <row r="2818" spans="1:18" ht="12.75">
      <c r="A2818" s="22"/>
      <c r="D2818" s="19"/>
      <c r="H2818" s="18"/>
      <c r="J2818" s="18"/>
      <c r="N2818" s="16"/>
      <c r="O2818" s="17"/>
      <c r="P2818" s="17"/>
      <c r="Q2818" s="22"/>
      <c r="R2818" s="23"/>
    </row>
    <row r="2819" spans="1:18" ht="12.75">
      <c r="A2819" s="22"/>
      <c r="D2819" s="19"/>
      <c r="H2819" s="18"/>
      <c r="J2819" s="18"/>
      <c r="N2819" s="16"/>
      <c r="O2819" s="17"/>
      <c r="P2819" s="17"/>
      <c r="Q2819" s="22"/>
      <c r="R2819" s="23"/>
    </row>
    <row r="2820" spans="1:18" ht="12.75">
      <c r="A2820" s="22"/>
      <c r="D2820" s="19"/>
      <c r="H2820" s="18"/>
      <c r="J2820" s="18"/>
      <c r="N2820" s="16"/>
      <c r="O2820" s="17"/>
      <c r="P2820" s="17"/>
      <c r="Q2820" s="22"/>
      <c r="R2820" s="23"/>
    </row>
    <row r="2821" spans="1:18" ht="12.75">
      <c r="A2821" s="22"/>
      <c r="D2821" s="19"/>
      <c r="H2821" s="18"/>
      <c r="J2821" s="18"/>
      <c r="N2821" s="16"/>
      <c r="O2821" s="17"/>
      <c r="P2821" s="17"/>
      <c r="Q2821" s="22"/>
      <c r="R2821" s="23"/>
    </row>
    <row r="2822" spans="1:18" ht="12.75">
      <c r="A2822" s="22"/>
      <c r="D2822" s="19"/>
      <c r="H2822" s="18"/>
      <c r="J2822" s="18"/>
      <c r="N2822" s="16"/>
      <c r="O2822" s="17"/>
      <c r="P2822" s="17"/>
      <c r="Q2822" s="22"/>
      <c r="R2822" s="23"/>
    </row>
    <row r="2823" spans="1:18" ht="12.75">
      <c r="A2823" s="22"/>
      <c r="D2823" s="19"/>
      <c r="H2823" s="18"/>
      <c r="J2823" s="18"/>
      <c r="N2823" s="16"/>
      <c r="O2823" s="17"/>
      <c r="P2823" s="17"/>
      <c r="Q2823" s="22"/>
      <c r="R2823" s="23"/>
    </row>
    <row r="2824" spans="1:18" ht="12.75">
      <c r="A2824" s="22"/>
      <c r="D2824" s="19"/>
      <c r="H2824" s="18"/>
      <c r="J2824" s="18"/>
      <c r="N2824" s="16"/>
      <c r="O2824" s="17"/>
      <c r="P2824" s="17"/>
      <c r="Q2824" s="22"/>
      <c r="R2824" s="23"/>
    </row>
    <row r="2825" spans="1:18" ht="12.75">
      <c r="A2825" s="22"/>
      <c r="D2825" s="19"/>
      <c r="H2825" s="18"/>
      <c r="J2825" s="18"/>
      <c r="N2825" s="16"/>
      <c r="O2825" s="17"/>
      <c r="P2825" s="17"/>
      <c r="Q2825" s="22"/>
      <c r="R2825" s="23"/>
    </row>
    <row r="2826" spans="1:18" ht="12.75">
      <c r="A2826" s="22"/>
      <c r="D2826" s="19"/>
      <c r="H2826" s="18"/>
      <c r="J2826" s="18"/>
      <c r="N2826" s="16"/>
      <c r="O2826" s="17"/>
      <c r="P2826" s="17"/>
      <c r="Q2826" s="22"/>
      <c r="R2826" s="23"/>
    </row>
    <row r="2827" spans="1:18" ht="12.75">
      <c r="A2827" s="22"/>
      <c r="D2827" s="19"/>
      <c r="H2827" s="18"/>
      <c r="J2827" s="18"/>
      <c r="N2827" s="16"/>
      <c r="O2827" s="17"/>
      <c r="P2827" s="17"/>
      <c r="Q2827" s="22"/>
      <c r="R2827" s="23"/>
    </row>
    <row r="2828" spans="1:18" ht="12.75">
      <c r="A2828" s="22"/>
      <c r="D2828" s="19"/>
      <c r="H2828" s="18"/>
      <c r="J2828" s="18"/>
      <c r="N2828" s="16"/>
      <c r="O2828" s="17"/>
      <c r="P2828" s="17"/>
      <c r="Q2828" s="22"/>
      <c r="R2828" s="23"/>
    </row>
    <row r="2829" spans="1:18" ht="12.75">
      <c r="A2829" s="22"/>
      <c r="D2829" s="19"/>
      <c r="H2829" s="18"/>
      <c r="J2829" s="18"/>
      <c r="N2829" s="16"/>
      <c r="O2829" s="17"/>
      <c r="P2829" s="17"/>
      <c r="Q2829" s="22"/>
      <c r="R2829" s="23"/>
    </row>
    <row r="2830" spans="1:18" ht="12.75">
      <c r="A2830" s="22"/>
      <c r="D2830" s="19"/>
      <c r="H2830" s="18"/>
      <c r="J2830" s="18"/>
      <c r="N2830" s="16"/>
      <c r="O2830" s="17"/>
      <c r="P2830" s="17"/>
      <c r="Q2830" s="22"/>
      <c r="R2830" s="23"/>
    </row>
    <row r="2831" spans="1:18" ht="12.75">
      <c r="A2831" s="22"/>
      <c r="D2831" s="19"/>
      <c r="H2831" s="18"/>
      <c r="J2831" s="18"/>
      <c r="N2831" s="16"/>
      <c r="O2831" s="17"/>
      <c r="P2831" s="17"/>
      <c r="Q2831" s="22"/>
      <c r="R2831" s="23"/>
    </row>
    <row r="2832" spans="1:18" ht="12.75">
      <c r="A2832" s="22"/>
      <c r="D2832" s="19"/>
      <c r="H2832" s="18"/>
      <c r="J2832" s="18"/>
      <c r="N2832" s="16"/>
      <c r="O2832" s="17"/>
      <c r="P2832" s="17"/>
      <c r="Q2832" s="22"/>
      <c r="R2832" s="23"/>
    </row>
    <row r="2833" spans="1:18" ht="12.75">
      <c r="A2833" s="22"/>
      <c r="D2833" s="19"/>
      <c r="H2833" s="18"/>
      <c r="J2833" s="18"/>
      <c r="N2833" s="16"/>
      <c r="O2833" s="17"/>
      <c r="P2833" s="17"/>
      <c r="Q2833" s="22"/>
      <c r="R2833" s="23"/>
    </row>
    <row r="2834" spans="1:18" ht="12.75">
      <c r="A2834" s="22"/>
      <c r="D2834" s="19"/>
      <c r="H2834" s="18"/>
      <c r="J2834" s="18"/>
      <c r="N2834" s="16"/>
      <c r="O2834" s="17"/>
      <c r="P2834" s="17"/>
      <c r="Q2834" s="22"/>
      <c r="R2834" s="23"/>
    </row>
    <row r="2835" spans="1:18" ht="12.75">
      <c r="A2835" s="22"/>
      <c r="D2835" s="19"/>
      <c r="H2835" s="18"/>
      <c r="J2835" s="18"/>
      <c r="N2835" s="16"/>
      <c r="O2835" s="17"/>
      <c r="P2835" s="17"/>
      <c r="Q2835" s="22"/>
      <c r="R2835" s="23"/>
    </row>
    <row r="2836" spans="1:18" ht="12.75">
      <c r="A2836" s="22"/>
      <c r="D2836" s="19"/>
      <c r="H2836" s="18"/>
      <c r="J2836" s="18"/>
      <c r="N2836" s="16"/>
      <c r="O2836" s="17"/>
      <c r="P2836" s="17"/>
      <c r="Q2836" s="22"/>
      <c r="R2836" s="23"/>
    </row>
    <row r="2837" spans="1:18" ht="12.75">
      <c r="A2837" s="22"/>
      <c r="D2837" s="19"/>
      <c r="H2837" s="18"/>
      <c r="J2837" s="18"/>
      <c r="N2837" s="16"/>
      <c r="O2837" s="17"/>
      <c r="P2837" s="17"/>
      <c r="Q2837" s="22"/>
      <c r="R2837" s="23"/>
    </row>
    <row r="2838" spans="1:18" ht="12.75">
      <c r="A2838" s="22"/>
      <c r="D2838" s="19"/>
      <c r="H2838" s="18"/>
      <c r="J2838" s="18"/>
      <c r="N2838" s="16"/>
      <c r="O2838" s="17"/>
      <c r="P2838" s="17"/>
      <c r="Q2838" s="22"/>
      <c r="R2838" s="23"/>
    </row>
    <row r="2839" spans="1:18" ht="12.75">
      <c r="A2839" s="22"/>
      <c r="D2839" s="19"/>
      <c r="H2839" s="18"/>
      <c r="J2839" s="18"/>
      <c r="N2839" s="16"/>
      <c r="O2839" s="17"/>
      <c r="P2839" s="17"/>
      <c r="Q2839" s="22"/>
      <c r="R2839" s="23"/>
    </row>
    <row r="2840" spans="1:18" ht="12.75">
      <c r="A2840" s="22"/>
      <c r="D2840" s="19"/>
      <c r="H2840" s="18"/>
      <c r="J2840" s="18"/>
      <c r="N2840" s="16"/>
      <c r="O2840" s="17"/>
      <c r="P2840" s="17"/>
      <c r="Q2840" s="22"/>
      <c r="R2840" s="23"/>
    </row>
    <row r="2841" spans="1:18" ht="12.75">
      <c r="A2841" s="22"/>
      <c r="D2841" s="19"/>
      <c r="H2841" s="18"/>
      <c r="J2841" s="18"/>
      <c r="N2841" s="16"/>
      <c r="O2841" s="17"/>
      <c r="P2841" s="17"/>
      <c r="Q2841" s="22"/>
      <c r="R2841" s="23"/>
    </row>
    <row r="2842" spans="1:18" ht="12.75">
      <c r="A2842" s="22"/>
      <c r="D2842" s="19"/>
      <c r="H2842" s="18"/>
      <c r="J2842" s="18"/>
      <c r="N2842" s="16"/>
      <c r="O2842" s="17"/>
      <c r="P2842" s="17"/>
      <c r="Q2842" s="22"/>
      <c r="R2842" s="23"/>
    </row>
    <row r="2843" spans="1:18" ht="12.75">
      <c r="A2843" s="22"/>
      <c r="D2843" s="19"/>
      <c r="H2843" s="18"/>
      <c r="J2843" s="18"/>
      <c r="N2843" s="16"/>
      <c r="O2843" s="17"/>
      <c r="P2843" s="17"/>
      <c r="Q2843" s="22"/>
      <c r="R2843" s="23"/>
    </row>
    <row r="2844" spans="1:18" ht="12.75">
      <c r="A2844" s="22"/>
      <c r="D2844" s="19"/>
      <c r="H2844" s="18"/>
      <c r="J2844" s="18"/>
      <c r="N2844" s="16"/>
      <c r="O2844" s="17"/>
      <c r="P2844" s="17"/>
      <c r="Q2844" s="22"/>
      <c r="R2844" s="23"/>
    </row>
    <row r="2845" spans="1:18" ht="12.75">
      <c r="A2845" s="22"/>
      <c r="D2845" s="19"/>
      <c r="H2845" s="18"/>
      <c r="J2845" s="18"/>
      <c r="N2845" s="16"/>
      <c r="O2845" s="17"/>
      <c r="P2845" s="17"/>
      <c r="Q2845" s="22"/>
      <c r="R2845" s="23"/>
    </row>
    <row r="2846" spans="1:18" ht="12.75">
      <c r="A2846" s="22"/>
      <c r="D2846" s="19"/>
      <c r="H2846" s="18"/>
      <c r="J2846" s="18"/>
      <c r="N2846" s="16"/>
      <c r="O2846" s="17"/>
      <c r="P2846" s="17"/>
      <c r="Q2846" s="22"/>
      <c r="R2846" s="23"/>
    </row>
    <row r="2847" spans="1:18" ht="12.75">
      <c r="A2847" s="22"/>
      <c r="D2847" s="19"/>
      <c r="H2847" s="18"/>
      <c r="J2847" s="18"/>
      <c r="N2847" s="16"/>
      <c r="O2847" s="17"/>
      <c r="P2847" s="17"/>
      <c r="Q2847" s="22"/>
      <c r="R2847" s="23"/>
    </row>
    <row r="2848" spans="1:18" ht="12.75">
      <c r="A2848" s="22"/>
      <c r="D2848" s="19"/>
      <c r="H2848" s="18"/>
      <c r="J2848" s="18"/>
      <c r="N2848" s="16"/>
      <c r="O2848" s="17"/>
      <c r="P2848" s="17"/>
      <c r="Q2848" s="22"/>
      <c r="R2848" s="23"/>
    </row>
    <row r="2849" spans="1:18" ht="12.75">
      <c r="A2849" s="22"/>
      <c r="D2849" s="19"/>
      <c r="H2849" s="18"/>
      <c r="J2849" s="18"/>
      <c r="N2849" s="16"/>
      <c r="O2849" s="17"/>
      <c r="P2849" s="17"/>
      <c r="Q2849" s="22"/>
      <c r="R2849" s="23"/>
    </row>
    <row r="2850" spans="1:18" ht="12.75">
      <c r="A2850" s="22"/>
      <c r="D2850" s="19"/>
      <c r="H2850" s="18"/>
      <c r="J2850" s="18"/>
      <c r="N2850" s="16"/>
      <c r="O2850" s="17"/>
      <c r="P2850" s="17"/>
      <c r="Q2850" s="22"/>
      <c r="R2850" s="23"/>
    </row>
    <row r="2851" spans="1:18" ht="12.75">
      <c r="A2851" s="22"/>
      <c r="D2851" s="19"/>
      <c r="H2851" s="18"/>
      <c r="J2851" s="18"/>
      <c r="N2851" s="16"/>
      <c r="O2851" s="17"/>
      <c r="P2851" s="17"/>
      <c r="Q2851" s="22"/>
      <c r="R2851" s="23"/>
    </row>
    <row r="2852" spans="1:18" ht="12.75">
      <c r="A2852" s="22"/>
      <c r="D2852" s="19"/>
      <c r="H2852" s="18"/>
      <c r="J2852" s="18"/>
      <c r="N2852" s="16"/>
      <c r="O2852" s="17"/>
      <c r="P2852" s="17"/>
      <c r="Q2852" s="22"/>
      <c r="R2852" s="23"/>
    </row>
    <row r="2853" spans="1:18" ht="12.75">
      <c r="A2853" s="22"/>
      <c r="D2853" s="19"/>
      <c r="H2853" s="18"/>
      <c r="J2853" s="18"/>
      <c r="N2853" s="16"/>
      <c r="O2853" s="17"/>
      <c r="P2853" s="17"/>
      <c r="Q2853" s="22"/>
      <c r="R2853" s="23"/>
    </row>
    <row r="2854" spans="1:18" ht="12.75">
      <c r="A2854" s="22"/>
      <c r="D2854" s="19"/>
      <c r="H2854" s="18"/>
      <c r="J2854" s="18"/>
      <c r="N2854" s="16"/>
      <c r="O2854" s="17"/>
      <c r="P2854" s="17"/>
      <c r="Q2854" s="22"/>
      <c r="R2854" s="23"/>
    </row>
    <row r="2855" spans="1:18" ht="12.75">
      <c r="A2855" s="22"/>
      <c r="D2855" s="19"/>
      <c r="H2855" s="18"/>
      <c r="J2855" s="18"/>
      <c r="N2855" s="16"/>
      <c r="O2855" s="17"/>
      <c r="P2855" s="17"/>
      <c r="Q2855" s="22"/>
      <c r="R2855" s="23"/>
    </row>
    <row r="2856" spans="1:18" ht="12.75">
      <c r="A2856" s="22"/>
      <c r="D2856" s="19"/>
      <c r="H2856" s="18"/>
      <c r="J2856" s="18"/>
      <c r="N2856" s="16"/>
      <c r="O2856" s="17"/>
      <c r="P2856" s="17"/>
      <c r="Q2856" s="22"/>
      <c r="R2856" s="23"/>
    </row>
    <row r="2857" spans="1:18" ht="12.75">
      <c r="A2857" s="22"/>
      <c r="D2857" s="19"/>
      <c r="H2857" s="18"/>
      <c r="J2857" s="18"/>
      <c r="N2857" s="16"/>
      <c r="O2857" s="17"/>
      <c r="P2857" s="17"/>
      <c r="Q2857" s="22"/>
      <c r="R2857" s="23"/>
    </row>
    <row r="2858" spans="1:18" ht="12.75">
      <c r="A2858" s="22"/>
      <c r="D2858" s="19"/>
      <c r="H2858" s="18"/>
      <c r="J2858" s="18"/>
      <c r="N2858" s="16"/>
      <c r="O2858" s="17"/>
      <c r="P2858" s="17"/>
      <c r="Q2858" s="22"/>
      <c r="R2858" s="23"/>
    </row>
    <row r="2859" spans="1:18" ht="12.75">
      <c r="A2859" s="22"/>
      <c r="D2859" s="19"/>
      <c r="H2859" s="18"/>
      <c r="J2859" s="18"/>
      <c r="N2859" s="16"/>
      <c r="O2859" s="17"/>
      <c r="P2859" s="17"/>
      <c r="Q2859" s="22"/>
      <c r="R2859" s="23"/>
    </row>
    <row r="2860" spans="1:18" ht="12.75">
      <c r="A2860" s="22"/>
      <c r="D2860" s="19"/>
      <c r="H2860" s="18"/>
      <c r="J2860" s="18"/>
      <c r="N2860" s="16"/>
      <c r="O2860" s="17"/>
      <c r="P2860" s="17"/>
      <c r="Q2860" s="22"/>
      <c r="R2860" s="23"/>
    </row>
    <row r="2861" spans="1:18" ht="12.75">
      <c r="A2861" s="22"/>
      <c r="D2861" s="19"/>
      <c r="H2861" s="18"/>
      <c r="J2861" s="18"/>
      <c r="N2861" s="16"/>
      <c r="O2861" s="17"/>
      <c r="P2861" s="17"/>
      <c r="Q2861" s="22"/>
      <c r="R2861" s="23"/>
    </row>
    <row r="2862" spans="1:18" ht="12.75">
      <c r="A2862" s="22"/>
      <c r="D2862" s="19"/>
      <c r="H2862" s="18"/>
      <c r="J2862" s="18"/>
      <c r="N2862" s="16"/>
      <c r="O2862" s="17"/>
      <c r="P2862" s="17"/>
      <c r="Q2862" s="22"/>
      <c r="R2862" s="23"/>
    </row>
    <row r="2863" spans="1:18" ht="12.75">
      <c r="A2863" s="22"/>
      <c r="D2863" s="19"/>
      <c r="H2863" s="18"/>
      <c r="J2863" s="18"/>
      <c r="N2863" s="16"/>
      <c r="O2863" s="17"/>
      <c r="P2863" s="17"/>
      <c r="Q2863" s="22"/>
      <c r="R2863" s="23"/>
    </row>
    <row r="2864" spans="1:18" ht="12.75">
      <c r="A2864" s="22"/>
      <c r="D2864" s="19"/>
      <c r="H2864" s="18"/>
      <c r="J2864" s="18"/>
      <c r="N2864" s="16"/>
      <c r="O2864" s="17"/>
      <c r="P2864" s="17"/>
      <c r="Q2864" s="22"/>
      <c r="R2864" s="23"/>
    </row>
    <row r="2865" spans="1:18" ht="12.75">
      <c r="A2865" s="22"/>
      <c r="D2865" s="19"/>
      <c r="H2865" s="18"/>
      <c r="J2865" s="18"/>
      <c r="N2865" s="16"/>
      <c r="O2865" s="17"/>
      <c r="P2865" s="17"/>
      <c r="Q2865" s="22"/>
      <c r="R2865" s="23"/>
    </row>
    <row r="2866" spans="1:18" ht="12.75">
      <c r="A2866" s="22"/>
      <c r="D2866" s="19"/>
      <c r="H2866" s="18"/>
      <c r="J2866" s="18"/>
      <c r="N2866" s="16"/>
      <c r="O2866" s="17"/>
      <c r="P2866" s="17"/>
      <c r="Q2866" s="22"/>
      <c r="R2866" s="23"/>
    </row>
    <row r="2867" spans="1:18" ht="12.75">
      <c r="A2867" s="22"/>
      <c r="D2867" s="19"/>
      <c r="H2867" s="18"/>
      <c r="J2867" s="18"/>
      <c r="N2867" s="16"/>
      <c r="O2867" s="17"/>
      <c r="P2867" s="17"/>
      <c r="Q2867" s="22"/>
      <c r="R2867" s="23"/>
    </row>
    <row r="2868" spans="1:18" ht="12.75">
      <c r="A2868" s="22"/>
      <c r="D2868" s="19"/>
      <c r="H2868" s="18"/>
      <c r="J2868" s="18"/>
      <c r="N2868" s="16"/>
      <c r="O2868" s="17"/>
      <c r="P2868" s="17"/>
      <c r="Q2868" s="22"/>
      <c r="R2868" s="23"/>
    </row>
    <row r="2869" spans="1:18" ht="12.75">
      <c r="A2869" s="22"/>
      <c r="D2869" s="19"/>
      <c r="H2869" s="18"/>
      <c r="J2869" s="18"/>
      <c r="N2869" s="16"/>
      <c r="O2869" s="17"/>
      <c r="P2869" s="17"/>
      <c r="Q2869" s="22"/>
      <c r="R2869" s="23"/>
    </row>
    <row r="2870" spans="1:18" ht="12.75">
      <c r="A2870" s="22"/>
      <c r="D2870" s="19"/>
      <c r="H2870" s="18"/>
      <c r="J2870" s="18"/>
      <c r="N2870" s="16"/>
      <c r="O2870" s="17"/>
      <c r="P2870" s="17"/>
      <c r="Q2870" s="22"/>
      <c r="R2870" s="23"/>
    </row>
    <row r="2871" spans="1:18" ht="12.75">
      <c r="A2871" s="22"/>
      <c r="D2871" s="19"/>
      <c r="H2871" s="18"/>
      <c r="J2871" s="18"/>
      <c r="N2871" s="16"/>
      <c r="O2871" s="17"/>
      <c r="P2871" s="17"/>
      <c r="Q2871" s="22"/>
      <c r="R2871" s="23"/>
    </row>
    <row r="2872" spans="1:18" ht="12.75">
      <c r="A2872" s="22"/>
      <c r="D2872" s="19"/>
      <c r="H2872" s="18"/>
      <c r="J2872" s="18"/>
      <c r="N2872" s="16"/>
      <c r="O2872" s="17"/>
      <c r="P2872" s="17"/>
      <c r="Q2872" s="22"/>
      <c r="R2872" s="23"/>
    </row>
    <row r="2873" spans="1:18" ht="12.75">
      <c r="A2873" s="22"/>
      <c r="D2873" s="19"/>
      <c r="H2873" s="18"/>
      <c r="J2873" s="18"/>
      <c r="N2873" s="16"/>
      <c r="O2873" s="17"/>
      <c r="P2873" s="17"/>
      <c r="Q2873" s="22"/>
      <c r="R2873" s="23"/>
    </row>
    <row r="2874" spans="1:18" ht="12.75">
      <c r="A2874" s="22"/>
      <c r="D2874" s="19"/>
      <c r="H2874" s="18"/>
      <c r="J2874" s="18"/>
      <c r="N2874" s="16"/>
      <c r="O2874" s="17"/>
      <c r="P2874" s="17"/>
      <c r="Q2874" s="22"/>
      <c r="R2874" s="23"/>
    </row>
    <row r="2875" spans="1:18" ht="12.75">
      <c r="A2875" s="22"/>
      <c r="D2875" s="19"/>
      <c r="H2875" s="18"/>
      <c r="J2875" s="18"/>
      <c r="N2875" s="16"/>
      <c r="O2875" s="17"/>
      <c r="P2875" s="17"/>
      <c r="Q2875" s="22"/>
      <c r="R2875" s="23"/>
    </row>
    <row r="2876" spans="1:18" ht="12.75">
      <c r="A2876" s="22"/>
      <c r="D2876" s="19"/>
      <c r="H2876" s="18"/>
      <c r="J2876" s="18"/>
      <c r="N2876" s="16"/>
      <c r="O2876" s="17"/>
      <c r="P2876" s="17"/>
      <c r="Q2876" s="22"/>
      <c r="R2876" s="23"/>
    </row>
    <row r="2877" spans="1:18" ht="12.75">
      <c r="A2877" s="22"/>
      <c r="D2877" s="19"/>
      <c r="H2877" s="18"/>
      <c r="J2877" s="18"/>
      <c r="N2877" s="16"/>
      <c r="O2877" s="17"/>
      <c r="P2877" s="17"/>
      <c r="Q2877" s="22"/>
      <c r="R2877" s="23"/>
    </row>
    <row r="2878" spans="1:18" ht="12.75">
      <c r="A2878" s="22"/>
      <c r="D2878" s="19"/>
      <c r="H2878" s="18"/>
      <c r="J2878" s="18"/>
      <c r="N2878" s="16"/>
      <c r="O2878" s="17"/>
      <c r="P2878" s="17"/>
      <c r="Q2878" s="22"/>
      <c r="R2878" s="23"/>
    </row>
    <row r="2879" spans="1:18" ht="12.75">
      <c r="A2879" s="22"/>
      <c r="D2879" s="19"/>
      <c r="H2879" s="18"/>
      <c r="J2879" s="18"/>
      <c r="N2879" s="16"/>
      <c r="O2879" s="17"/>
      <c r="P2879" s="17"/>
      <c r="Q2879" s="22"/>
      <c r="R2879" s="23"/>
    </row>
    <row r="2880" spans="1:18" ht="12.75">
      <c r="A2880" s="22"/>
      <c r="D2880" s="19"/>
      <c r="H2880" s="18"/>
      <c r="J2880" s="18"/>
      <c r="N2880" s="16"/>
      <c r="O2880" s="17"/>
      <c r="P2880" s="17"/>
      <c r="Q2880" s="22"/>
      <c r="R2880" s="23"/>
    </row>
    <row r="2881" spans="1:18" ht="12.75">
      <c r="A2881" s="22"/>
      <c r="D2881" s="19"/>
      <c r="H2881" s="18"/>
      <c r="J2881" s="18"/>
      <c r="N2881" s="16"/>
      <c r="O2881" s="17"/>
      <c r="P2881" s="17"/>
      <c r="Q2881" s="22"/>
      <c r="R2881" s="23"/>
    </row>
    <row r="2882" spans="1:18" ht="12.75">
      <c r="A2882" s="22"/>
      <c r="D2882" s="19"/>
      <c r="H2882" s="18"/>
      <c r="J2882" s="18"/>
      <c r="N2882" s="16"/>
      <c r="O2882" s="17"/>
      <c r="P2882" s="17"/>
      <c r="Q2882" s="22"/>
      <c r="R2882" s="23"/>
    </row>
    <row r="2883" spans="1:18" ht="12.75">
      <c r="A2883" s="22"/>
      <c r="D2883" s="19"/>
      <c r="H2883" s="18"/>
      <c r="J2883" s="18"/>
      <c r="N2883" s="16"/>
      <c r="O2883" s="17"/>
      <c r="P2883" s="17"/>
      <c r="Q2883" s="22"/>
      <c r="R2883" s="23"/>
    </row>
    <row r="2884" spans="1:18" ht="12.75">
      <c r="A2884" s="22"/>
      <c r="D2884" s="19"/>
      <c r="H2884" s="18"/>
      <c r="J2884" s="18"/>
      <c r="N2884" s="16"/>
      <c r="O2884" s="17"/>
      <c r="P2884" s="17"/>
      <c r="Q2884" s="22"/>
      <c r="R2884" s="23"/>
    </row>
    <row r="2885" spans="1:18" ht="12.75">
      <c r="A2885" s="22"/>
      <c r="D2885" s="19"/>
      <c r="H2885" s="18"/>
      <c r="J2885" s="18"/>
      <c r="N2885" s="16"/>
      <c r="O2885" s="17"/>
      <c r="P2885" s="17"/>
      <c r="Q2885" s="22"/>
      <c r="R2885" s="23"/>
    </row>
    <row r="2886" spans="1:18" ht="12.75">
      <c r="A2886" s="22"/>
      <c r="D2886" s="19"/>
      <c r="H2886" s="18"/>
      <c r="J2886" s="18"/>
      <c r="N2886" s="16"/>
      <c r="O2886" s="17"/>
      <c r="P2886" s="17"/>
      <c r="Q2886" s="22"/>
      <c r="R2886" s="23"/>
    </row>
    <row r="2887" spans="1:18" ht="12.75">
      <c r="A2887" s="22"/>
      <c r="D2887" s="19"/>
      <c r="H2887" s="18"/>
      <c r="J2887" s="18"/>
      <c r="N2887" s="16"/>
      <c r="O2887" s="17"/>
      <c r="P2887" s="17"/>
      <c r="Q2887" s="22"/>
      <c r="R2887" s="23"/>
    </row>
    <row r="2888" spans="1:18" ht="12.75">
      <c r="A2888" s="22"/>
      <c r="D2888" s="19"/>
      <c r="H2888" s="18"/>
      <c r="J2888" s="18"/>
      <c r="N2888" s="16"/>
      <c r="O2888" s="17"/>
      <c r="P2888" s="17"/>
      <c r="Q2888" s="22"/>
      <c r="R2888" s="23"/>
    </row>
    <row r="2889" spans="1:18" ht="12.75">
      <c r="A2889" s="22"/>
      <c r="D2889" s="19"/>
      <c r="H2889" s="18"/>
      <c r="J2889" s="18"/>
      <c r="N2889" s="16"/>
      <c r="O2889" s="17"/>
      <c r="P2889" s="17"/>
      <c r="Q2889" s="22"/>
      <c r="R2889" s="23"/>
    </row>
    <row r="2890" spans="1:18" ht="12.75">
      <c r="A2890" s="22"/>
      <c r="D2890" s="19"/>
      <c r="H2890" s="18"/>
      <c r="J2890" s="18"/>
      <c r="N2890" s="16"/>
      <c r="O2890" s="17"/>
      <c r="P2890" s="17"/>
      <c r="Q2890" s="22"/>
      <c r="R2890" s="23"/>
    </row>
    <row r="2891" spans="1:18" ht="12.75">
      <c r="A2891" s="22"/>
      <c r="D2891" s="19"/>
      <c r="H2891" s="18"/>
      <c r="J2891" s="18"/>
      <c r="N2891" s="16"/>
      <c r="O2891" s="17"/>
      <c r="P2891" s="17"/>
      <c r="Q2891" s="22"/>
      <c r="R2891" s="23"/>
    </row>
    <row r="2892" spans="1:18" ht="12.75">
      <c r="A2892" s="22"/>
      <c r="D2892" s="19"/>
      <c r="H2892" s="18"/>
      <c r="J2892" s="18"/>
      <c r="N2892" s="16"/>
      <c r="O2892" s="17"/>
      <c r="P2892" s="17"/>
      <c r="Q2892" s="22"/>
      <c r="R2892" s="23"/>
    </row>
    <row r="2893" spans="1:18" ht="12.75">
      <c r="A2893" s="22"/>
      <c r="D2893" s="19"/>
      <c r="H2893" s="18"/>
      <c r="J2893" s="18"/>
      <c r="N2893" s="16"/>
      <c r="O2893" s="17"/>
      <c r="P2893" s="17"/>
      <c r="Q2893" s="22"/>
      <c r="R2893" s="23"/>
    </row>
    <row r="2894" spans="1:18" ht="12.75">
      <c r="A2894" s="22"/>
      <c r="D2894" s="19"/>
      <c r="H2894" s="18"/>
      <c r="J2894" s="18"/>
      <c r="N2894" s="16"/>
      <c r="O2894" s="17"/>
      <c r="P2894" s="17"/>
      <c r="Q2894" s="22"/>
      <c r="R2894" s="23"/>
    </row>
    <row r="2895" spans="1:18" ht="12.75">
      <c r="A2895" s="22"/>
      <c r="D2895" s="19"/>
      <c r="H2895" s="18"/>
      <c r="J2895" s="18"/>
      <c r="N2895" s="16"/>
      <c r="O2895" s="17"/>
      <c r="P2895" s="17"/>
      <c r="Q2895" s="22"/>
      <c r="R2895" s="23"/>
    </row>
    <row r="2896" spans="1:18" ht="12.75">
      <c r="A2896" s="22"/>
      <c r="D2896" s="19"/>
      <c r="H2896" s="18"/>
      <c r="J2896" s="18"/>
      <c r="N2896" s="16"/>
      <c r="O2896" s="17"/>
      <c r="P2896" s="17"/>
      <c r="Q2896" s="22"/>
      <c r="R2896" s="23"/>
    </row>
    <row r="2897" spans="1:18" ht="12.75">
      <c r="A2897" s="22"/>
      <c r="D2897" s="19"/>
      <c r="H2897" s="18"/>
      <c r="J2897" s="18"/>
      <c r="N2897" s="16"/>
      <c r="O2897" s="17"/>
      <c r="P2897" s="17"/>
      <c r="Q2897" s="22"/>
      <c r="R2897" s="23"/>
    </row>
    <row r="2898" spans="1:18" ht="12.75">
      <c r="A2898" s="22"/>
      <c r="D2898" s="19"/>
      <c r="H2898" s="18"/>
      <c r="J2898" s="18"/>
      <c r="N2898" s="16"/>
      <c r="O2898" s="17"/>
      <c r="P2898" s="17"/>
      <c r="Q2898" s="22"/>
      <c r="R2898" s="23"/>
    </row>
    <row r="2899" spans="1:18" ht="12.75">
      <c r="A2899" s="22"/>
      <c r="D2899" s="19"/>
      <c r="H2899" s="18"/>
      <c r="J2899" s="18"/>
      <c r="N2899" s="16"/>
      <c r="O2899" s="17"/>
      <c r="P2899" s="17"/>
      <c r="Q2899" s="22"/>
      <c r="R2899" s="23"/>
    </row>
    <row r="2900" spans="1:18" ht="12.75">
      <c r="A2900" s="22"/>
      <c r="D2900" s="19"/>
      <c r="H2900" s="18"/>
      <c r="J2900" s="18"/>
      <c r="N2900" s="16"/>
      <c r="O2900" s="17"/>
      <c r="P2900" s="17"/>
      <c r="Q2900" s="22"/>
      <c r="R2900" s="23"/>
    </row>
    <row r="2901" spans="1:18" ht="12.75">
      <c r="A2901" s="22"/>
      <c r="D2901" s="19"/>
      <c r="H2901" s="18"/>
      <c r="J2901" s="18"/>
      <c r="N2901" s="16"/>
      <c r="O2901" s="17"/>
      <c r="P2901" s="17"/>
      <c r="Q2901" s="22"/>
      <c r="R2901" s="23"/>
    </row>
    <row r="2902" spans="1:18" ht="12.75">
      <c r="A2902" s="22"/>
      <c r="D2902" s="19"/>
      <c r="H2902" s="18"/>
      <c r="J2902" s="18"/>
      <c r="N2902" s="16"/>
      <c r="O2902" s="17"/>
      <c r="P2902" s="17"/>
      <c r="Q2902" s="22"/>
      <c r="R2902" s="23"/>
    </row>
    <row r="2903" spans="1:18" ht="12.75">
      <c r="A2903" s="22"/>
      <c r="D2903" s="19"/>
      <c r="H2903" s="18"/>
      <c r="J2903" s="18"/>
      <c r="N2903" s="16"/>
      <c r="O2903" s="17"/>
      <c r="P2903" s="17"/>
      <c r="Q2903" s="22"/>
      <c r="R2903" s="23"/>
    </row>
    <row r="2904" spans="1:18" ht="12.75">
      <c r="A2904" s="22"/>
      <c r="D2904" s="19"/>
      <c r="H2904" s="18"/>
      <c r="J2904" s="18"/>
      <c r="N2904" s="16"/>
      <c r="O2904" s="17"/>
      <c r="P2904" s="17"/>
      <c r="Q2904" s="22"/>
      <c r="R2904" s="23"/>
    </row>
    <row r="2905" spans="1:18" ht="12.75">
      <c r="A2905" s="22"/>
      <c r="D2905" s="19"/>
      <c r="H2905" s="18"/>
      <c r="J2905" s="18"/>
      <c r="N2905" s="16"/>
      <c r="O2905" s="17"/>
      <c r="P2905" s="17"/>
      <c r="Q2905" s="22"/>
      <c r="R2905" s="23"/>
    </row>
    <row r="2906" spans="1:18" ht="12.75">
      <c r="A2906" s="22"/>
      <c r="D2906" s="19"/>
      <c r="H2906" s="18"/>
      <c r="J2906" s="18"/>
      <c r="N2906" s="16"/>
      <c r="O2906" s="17"/>
      <c r="P2906" s="17"/>
      <c r="Q2906" s="22"/>
      <c r="R2906" s="23"/>
    </row>
    <row r="2907" spans="1:18" ht="12.75">
      <c r="A2907" s="22"/>
      <c r="D2907" s="19"/>
      <c r="H2907" s="18"/>
      <c r="J2907" s="18"/>
      <c r="N2907" s="16"/>
      <c r="O2907" s="17"/>
      <c r="P2907" s="17"/>
      <c r="Q2907" s="22"/>
      <c r="R2907" s="23"/>
    </row>
    <row r="2908" spans="1:18" ht="12.75">
      <c r="A2908" s="22"/>
      <c r="D2908" s="19"/>
      <c r="H2908" s="18"/>
      <c r="J2908" s="18"/>
      <c r="N2908" s="16"/>
      <c r="O2908" s="17"/>
      <c r="P2908" s="17"/>
      <c r="Q2908" s="22"/>
      <c r="R2908" s="23"/>
    </row>
    <row r="2909" spans="1:18" ht="12.75">
      <c r="A2909" s="22"/>
      <c r="D2909" s="19"/>
      <c r="H2909" s="18"/>
      <c r="J2909" s="18"/>
      <c r="N2909" s="16"/>
      <c r="O2909" s="17"/>
      <c r="P2909" s="17"/>
      <c r="Q2909" s="22"/>
      <c r="R2909" s="23"/>
    </row>
    <row r="2910" spans="1:18" ht="12.75">
      <c r="A2910" s="22"/>
      <c r="D2910" s="19"/>
      <c r="H2910" s="18"/>
      <c r="J2910" s="18"/>
      <c r="N2910" s="16"/>
      <c r="O2910" s="17"/>
      <c r="P2910" s="17"/>
      <c r="Q2910" s="22"/>
      <c r="R2910" s="23"/>
    </row>
    <row r="2911" spans="1:18" ht="12.75">
      <c r="A2911" s="22"/>
      <c r="D2911" s="19"/>
      <c r="H2911" s="18"/>
      <c r="J2911" s="18"/>
      <c r="N2911" s="16"/>
      <c r="O2911" s="17"/>
      <c r="P2911" s="17"/>
      <c r="Q2911" s="22"/>
      <c r="R2911" s="23"/>
    </row>
    <row r="2912" spans="1:18" ht="12.75">
      <c r="A2912" s="22"/>
      <c r="D2912" s="19"/>
      <c r="H2912" s="18"/>
      <c r="J2912" s="18"/>
      <c r="N2912" s="16"/>
      <c r="O2912" s="17"/>
      <c r="P2912" s="17"/>
      <c r="Q2912" s="22"/>
      <c r="R2912" s="23"/>
    </row>
    <row r="2913" spans="1:18" ht="12.75">
      <c r="A2913" s="22"/>
      <c r="D2913" s="19"/>
      <c r="H2913" s="18"/>
      <c r="J2913" s="18"/>
      <c r="N2913" s="16"/>
      <c r="O2913" s="17"/>
      <c r="P2913" s="17"/>
      <c r="Q2913" s="22"/>
      <c r="R2913" s="23"/>
    </row>
    <row r="2914" spans="1:18" ht="12.75">
      <c r="A2914" s="22"/>
      <c r="D2914" s="19"/>
      <c r="H2914" s="18"/>
      <c r="J2914" s="18"/>
      <c r="N2914" s="16"/>
      <c r="O2914" s="17"/>
      <c r="P2914" s="17"/>
      <c r="Q2914" s="22"/>
      <c r="R2914" s="23"/>
    </row>
    <row r="2915" spans="1:18" ht="12.75">
      <c r="A2915" s="22"/>
      <c r="D2915" s="19"/>
      <c r="H2915" s="18"/>
      <c r="J2915" s="18"/>
      <c r="N2915" s="16"/>
      <c r="O2915" s="17"/>
      <c r="P2915" s="17"/>
      <c r="Q2915" s="22"/>
      <c r="R2915" s="23"/>
    </row>
    <row r="2916" spans="1:18" ht="12.75">
      <c r="A2916" s="22"/>
      <c r="D2916" s="19"/>
      <c r="H2916" s="18"/>
      <c r="J2916" s="18"/>
      <c r="N2916" s="16"/>
      <c r="O2916" s="17"/>
      <c r="P2916" s="17"/>
      <c r="Q2916" s="22"/>
      <c r="R2916" s="23"/>
    </row>
    <row r="2917" spans="1:18" ht="12.75">
      <c r="A2917" s="22"/>
      <c r="D2917" s="19"/>
      <c r="H2917" s="18"/>
      <c r="J2917" s="18"/>
      <c r="N2917" s="16"/>
      <c r="O2917" s="17"/>
      <c r="P2917" s="17"/>
      <c r="Q2917" s="22"/>
      <c r="R2917" s="23"/>
    </row>
    <row r="2918" spans="1:18" ht="12.75">
      <c r="A2918" s="22"/>
      <c r="D2918" s="19"/>
      <c r="H2918" s="18"/>
      <c r="J2918" s="18"/>
      <c r="N2918" s="16"/>
      <c r="O2918" s="17"/>
      <c r="P2918" s="17"/>
      <c r="Q2918" s="22"/>
      <c r="R2918" s="23"/>
    </row>
    <row r="2919" spans="1:18" ht="12.75">
      <c r="A2919" s="22"/>
      <c r="D2919" s="19"/>
      <c r="H2919" s="18"/>
      <c r="J2919" s="18"/>
      <c r="N2919" s="16"/>
      <c r="O2919" s="17"/>
      <c r="P2919" s="17"/>
      <c r="Q2919" s="22"/>
      <c r="R2919" s="23"/>
    </row>
    <row r="2920" spans="1:18" ht="12.75">
      <c r="A2920" s="22"/>
      <c r="D2920" s="19"/>
      <c r="H2920" s="18"/>
      <c r="J2920" s="18"/>
      <c r="N2920" s="16"/>
      <c r="O2920" s="17"/>
      <c r="P2920" s="17"/>
      <c r="Q2920" s="22"/>
      <c r="R2920" s="23"/>
    </row>
    <row r="2921" spans="1:18" ht="12.75">
      <c r="A2921" s="22"/>
      <c r="D2921" s="19"/>
      <c r="H2921" s="18"/>
      <c r="J2921" s="18"/>
      <c r="N2921" s="16"/>
      <c r="O2921" s="17"/>
      <c r="P2921" s="17"/>
      <c r="Q2921" s="22"/>
      <c r="R2921" s="23"/>
    </row>
    <row r="2922" spans="1:18" ht="12.75">
      <c r="A2922" s="22"/>
      <c r="D2922" s="19"/>
      <c r="H2922" s="18"/>
      <c r="J2922" s="18"/>
      <c r="N2922" s="16"/>
      <c r="O2922" s="17"/>
      <c r="P2922" s="17"/>
      <c r="Q2922" s="22"/>
      <c r="R2922" s="23"/>
    </row>
    <row r="2923" spans="1:18" ht="12.75">
      <c r="A2923" s="22"/>
      <c r="D2923" s="19"/>
      <c r="H2923" s="18"/>
      <c r="J2923" s="18"/>
      <c r="N2923" s="16"/>
      <c r="O2923" s="17"/>
      <c r="P2923" s="17"/>
      <c r="Q2923" s="22"/>
      <c r="R2923" s="23"/>
    </row>
    <row r="2924" spans="1:18" ht="12.75">
      <c r="A2924" s="22"/>
      <c r="D2924" s="19"/>
      <c r="H2924" s="18"/>
      <c r="J2924" s="18"/>
      <c r="N2924" s="16"/>
      <c r="O2924" s="17"/>
      <c r="P2924" s="17"/>
      <c r="Q2924" s="22"/>
      <c r="R2924" s="23"/>
    </row>
    <row r="2925" spans="1:18" ht="12.75">
      <c r="A2925" s="22"/>
      <c r="D2925" s="19"/>
      <c r="H2925" s="18"/>
      <c r="J2925" s="18"/>
      <c r="N2925" s="16"/>
      <c r="O2925" s="17"/>
      <c r="P2925" s="17"/>
      <c r="Q2925" s="22"/>
      <c r="R2925" s="23"/>
    </row>
    <row r="2926" spans="1:18" ht="12.75">
      <c r="A2926" s="22"/>
      <c r="D2926" s="19"/>
      <c r="H2926" s="18"/>
      <c r="J2926" s="18"/>
      <c r="N2926" s="16"/>
      <c r="O2926" s="17"/>
      <c r="P2926" s="17"/>
      <c r="Q2926" s="22"/>
      <c r="R2926" s="23"/>
    </row>
    <row r="2927" spans="1:18" ht="12.75">
      <c r="A2927" s="22"/>
      <c r="D2927" s="19"/>
      <c r="H2927" s="18"/>
      <c r="J2927" s="18"/>
      <c r="N2927" s="16"/>
      <c r="O2927" s="17"/>
      <c r="P2927" s="17"/>
      <c r="Q2927" s="22"/>
      <c r="R2927" s="23"/>
    </row>
    <row r="2928" spans="1:18" ht="12.75">
      <c r="A2928" s="22"/>
      <c r="D2928" s="19"/>
      <c r="H2928" s="18"/>
      <c r="J2928" s="18"/>
      <c r="N2928" s="16"/>
      <c r="O2928" s="17"/>
      <c r="P2928" s="17"/>
      <c r="Q2928" s="22"/>
      <c r="R2928" s="23"/>
    </row>
    <row r="2929" spans="1:18" ht="12.75">
      <c r="A2929" s="22"/>
      <c r="D2929" s="19"/>
      <c r="H2929" s="18"/>
      <c r="J2929" s="18"/>
      <c r="N2929" s="16"/>
      <c r="O2929" s="17"/>
      <c r="P2929" s="17"/>
      <c r="Q2929" s="22"/>
      <c r="R2929" s="23"/>
    </row>
    <row r="2930" spans="1:18" ht="12.75">
      <c r="A2930" s="22"/>
      <c r="D2930" s="19"/>
      <c r="H2930" s="18"/>
      <c r="J2930" s="18"/>
      <c r="N2930" s="16"/>
      <c r="O2930" s="17"/>
      <c r="P2930" s="17"/>
      <c r="Q2930" s="22"/>
      <c r="R2930" s="23"/>
    </row>
    <row r="2931" spans="1:18" ht="12.75">
      <c r="A2931" s="22"/>
      <c r="D2931" s="19"/>
      <c r="H2931" s="18"/>
      <c r="J2931" s="18"/>
      <c r="N2931" s="16"/>
      <c r="O2931" s="17"/>
      <c r="P2931" s="17"/>
      <c r="Q2931" s="22"/>
      <c r="R2931" s="23"/>
    </row>
    <row r="2932" spans="1:18" ht="12.75">
      <c r="A2932" s="22"/>
      <c r="D2932" s="19"/>
      <c r="H2932" s="18"/>
      <c r="J2932" s="18"/>
      <c r="N2932" s="16"/>
      <c r="O2932" s="17"/>
      <c r="P2932" s="17"/>
      <c r="Q2932" s="22"/>
      <c r="R2932" s="23"/>
    </row>
    <row r="2933" spans="1:18" ht="12.75">
      <c r="A2933" s="22"/>
      <c r="D2933" s="19"/>
      <c r="H2933" s="18"/>
      <c r="J2933" s="18"/>
      <c r="N2933" s="16"/>
      <c r="O2933" s="17"/>
      <c r="P2933" s="17"/>
      <c r="Q2933" s="22"/>
      <c r="R2933" s="23"/>
    </row>
    <row r="2934" spans="1:18" ht="12.75">
      <c r="A2934" s="22"/>
      <c r="D2934" s="19"/>
      <c r="H2934" s="18"/>
      <c r="J2934" s="18"/>
      <c r="N2934" s="16"/>
      <c r="O2934" s="17"/>
      <c r="P2934" s="17"/>
      <c r="Q2934" s="22"/>
      <c r="R2934" s="23"/>
    </row>
    <row r="2935" spans="1:18" ht="12.75">
      <c r="A2935" s="22"/>
      <c r="D2935" s="19"/>
      <c r="H2935" s="18"/>
      <c r="J2935" s="18"/>
      <c r="N2935" s="16"/>
      <c r="O2935" s="17"/>
      <c r="P2935" s="17"/>
      <c r="Q2935" s="22"/>
      <c r="R2935" s="23"/>
    </row>
    <row r="2936" spans="1:18" ht="12.75">
      <c r="A2936" s="22"/>
      <c r="D2936" s="19"/>
      <c r="H2936" s="18"/>
      <c r="J2936" s="18"/>
      <c r="N2936" s="16"/>
      <c r="O2936" s="17"/>
      <c r="P2936" s="17"/>
      <c r="Q2936" s="22"/>
      <c r="R2936" s="23"/>
    </row>
    <row r="2937" spans="1:18" ht="12.75">
      <c r="A2937" s="22"/>
      <c r="D2937" s="19"/>
      <c r="H2937" s="18"/>
      <c r="J2937" s="18"/>
      <c r="N2937" s="16"/>
      <c r="O2937" s="17"/>
      <c r="P2937" s="17"/>
      <c r="Q2937" s="22"/>
      <c r="R2937" s="23"/>
    </row>
    <row r="2938" spans="1:18" ht="12.75">
      <c r="A2938" s="22"/>
      <c r="D2938" s="19"/>
      <c r="H2938" s="18"/>
      <c r="J2938" s="18"/>
      <c r="N2938" s="16"/>
      <c r="O2938" s="17"/>
      <c r="P2938" s="17"/>
      <c r="Q2938" s="22"/>
      <c r="R2938" s="23"/>
    </row>
    <row r="2939" spans="1:18" ht="12.75">
      <c r="A2939" s="22"/>
      <c r="D2939" s="19"/>
      <c r="H2939" s="18"/>
      <c r="J2939" s="18"/>
      <c r="N2939" s="16"/>
      <c r="O2939" s="17"/>
      <c r="P2939" s="17"/>
      <c r="Q2939" s="22"/>
      <c r="R2939" s="23"/>
    </row>
    <row r="2940" spans="1:18" ht="12.75">
      <c r="A2940" s="22"/>
      <c r="D2940" s="19"/>
      <c r="H2940" s="18"/>
      <c r="J2940" s="18"/>
      <c r="N2940" s="16"/>
      <c r="O2940" s="17"/>
      <c r="P2940" s="17"/>
      <c r="Q2940" s="22"/>
      <c r="R2940" s="23"/>
    </row>
    <row r="2941" spans="1:18" ht="12.75">
      <c r="A2941" s="22"/>
      <c r="D2941" s="19"/>
      <c r="H2941" s="18"/>
      <c r="J2941" s="18"/>
      <c r="N2941" s="16"/>
      <c r="O2941" s="17"/>
      <c r="P2941" s="17"/>
      <c r="Q2941" s="22"/>
      <c r="R2941" s="23"/>
    </row>
    <row r="2942" spans="1:18" ht="12.75">
      <c r="A2942" s="22"/>
      <c r="D2942" s="19"/>
      <c r="H2942" s="18"/>
      <c r="J2942" s="18"/>
      <c r="N2942" s="16"/>
      <c r="O2942" s="17"/>
      <c r="P2942" s="17"/>
      <c r="Q2942" s="22"/>
      <c r="R2942" s="23"/>
    </row>
    <row r="2943" spans="1:18" ht="12.75">
      <c r="A2943" s="22"/>
      <c r="D2943" s="19"/>
      <c r="H2943" s="18"/>
      <c r="J2943" s="18"/>
      <c r="N2943" s="16"/>
      <c r="O2943" s="17"/>
      <c r="P2943" s="17"/>
      <c r="Q2943" s="22"/>
      <c r="R2943" s="23"/>
    </row>
    <row r="2944" spans="1:18" ht="12.75">
      <c r="A2944" s="22"/>
      <c r="D2944" s="19"/>
      <c r="H2944" s="18"/>
      <c r="J2944" s="18"/>
      <c r="N2944" s="16"/>
      <c r="O2944" s="17"/>
      <c r="P2944" s="17"/>
      <c r="Q2944" s="22"/>
      <c r="R2944" s="23"/>
    </row>
    <row r="2945" spans="1:18" ht="12.75">
      <c r="A2945" s="22"/>
      <c r="D2945" s="19"/>
      <c r="H2945" s="18"/>
      <c r="J2945" s="18"/>
      <c r="N2945" s="16"/>
      <c r="O2945" s="17"/>
      <c r="P2945" s="17"/>
      <c r="Q2945" s="22"/>
      <c r="R2945" s="23"/>
    </row>
    <row r="2946" spans="1:18" ht="12.75">
      <c r="A2946" s="22"/>
      <c r="D2946" s="19"/>
      <c r="H2946" s="18"/>
      <c r="J2946" s="18"/>
      <c r="N2946" s="16"/>
      <c r="O2946" s="17"/>
      <c r="P2946" s="17"/>
      <c r="Q2946" s="22"/>
      <c r="R2946" s="23"/>
    </row>
    <row r="2947" spans="1:18" ht="12.75">
      <c r="A2947" s="22"/>
      <c r="D2947" s="19"/>
      <c r="H2947" s="18"/>
      <c r="J2947" s="18"/>
      <c r="N2947" s="16"/>
      <c r="O2947" s="17"/>
      <c r="P2947" s="17"/>
      <c r="Q2947" s="22"/>
      <c r="R2947" s="23"/>
    </row>
    <row r="2948" spans="1:18" ht="12.75">
      <c r="A2948" s="22"/>
      <c r="D2948" s="19"/>
      <c r="H2948" s="18"/>
      <c r="J2948" s="18"/>
      <c r="N2948" s="16"/>
      <c r="O2948" s="17"/>
      <c r="P2948" s="17"/>
      <c r="Q2948" s="22"/>
      <c r="R2948" s="23"/>
    </row>
    <row r="2949" spans="1:18" ht="12.75">
      <c r="A2949" s="22"/>
      <c r="D2949" s="19"/>
      <c r="H2949" s="18"/>
      <c r="J2949" s="18"/>
      <c r="N2949" s="16"/>
      <c r="O2949" s="17"/>
      <c r="P2949" s="17"/>
      <c r="Q2949" s="22"/>
      <c r="R2949" s="23"/>
    </row>
    <row r="2950" spans="1:18" ht="12.75">
      <c r="A2950" s="22"/>
      <c r="D2950" s="19"/>
      <c r="H2950" s="18"/>
      <c r="J2950" s="18"/>
      <c r="N2950" s="16"/>
      <c r="O2950" s="17"/>
      <c r="P2950" s="17"/>
      <c r="Q2950" s="22"/>
      <c r="R2950" s="23"/>
    </row>
    <row r="2951" spans="1:18" ht="12.75">
      <c r="A2951" s="22"/>
      <c r="D2951" s="19"/>
      <c r="H2951" s="18"/>
      <c r="J2951" s="18"/>
      <c r="N2951" s="16"/>
      <c r="O2951" s="17"/>
      <c r="P2951" s="17"/>
      <c r="Q2951" s="22"/>
      <c r="R2951" s="23"/>
    </row>
    <row r="2952" spans="1:18" ht="12.75">
      <c r="A2952" s="22"/>
      <c r="D2952" s="19"/>
      <c r="H2952" s="18"/>
      <c r="J2952" s="18"/>
      <c r="N2952" s="16"/>
      <c r="O2952" s="17"/>
      <c r="P2952" s="17"/>
      <c r="Q2952" s="22"/>
      <c r="R2952" s="23"/>
    </row>
    <row r="2953" spans="1:18" ht="12.75">
      <c r="A2953" s="22"/>
      <c r="D2953" s="19"/>
      <c r="H2953" s="18"/>
      <c r="J2953" s="18"/>
      <c r="N2953" s="16"/>
      <c r="O2953" s="17"/>
      <c r="P2953" s="17"/>
      <c r="Q2953" s="22"/>
      <c r="R2953" s="23"/>
    </row>
    <row r="2954" spans="1:18" ht="12.75">
      <c r="A2954" s="22"/>
      <c r="D2954" s="19"/>
      <c r="H2954" s="18"/>
      <c r="J2954" s="18"/>
      <c r="N2954" s="16"/>
      <c r="O2954" s="17"/>
      <c r="P2954" s="17"/>
      <c r="Q2954" s="22"/>
      <c r="R2954" s="23"/>
    </row>
    <row r="2955" spans="1:18" ht="12.75">
      <c r="A2955" s="22"/>
      <c r="D2955" s="19"/>
      <c r="H2955" s="18"/>
      <c r="J2955" s="18"/>
      <c r="N2955" s="16"/>
      <c r="O2955" s="17"/>
      <c r="P2955" s="17"/>
      <c r="Q2955" s="22"/>
      <c r="R2955" s="23"/>
    </row>
    <row r="2956" spans="1:18" ht="12.75">
      <c r="A2956" s="22"/>
      <c r="D2956" s="19"/>
      <c r="H2956" s="18"/>
      <c r="J2956" s="18"/>
      <c r="N2956" s="16"/>
      <c r="O2956" s="17"/>
      <c r="P2956" s="17"/>
      <c r="Q2956" s="22"/>
      <c r="R2956" s="23"/>
    </row>
    <row r="2957" spans="1:18" ht="12.75">
      <c r="A2957" s="22"/>
      <c r="D2957" s="19"/>
      <c r="H2957" s="18"/>
      <c r="J2957" s="18"/>
      <c r="N2957" s="16"/>
      <c r="O2957" s="17"/>
      <c r="P2957" s="17"/>
      <c r="Q2957" s="22"/>
      <c r="R2957" s="23"/>
    </row>
    <row r="2958" spans="1:18" ht="12.75">
      <c r="A2958" s="22"/>
      <c r="D2958" s="19"/>
      <c r="H2958" s="18"/>
      <c r="J2958" s="18"/>
      <c r="N2958" s="16"/>
      <c r="O2958" s="17"/>
      <c r="P2958" s="17"/>
      <c r="Q2958" s="22"/>
      <c r="R2958" s="23"/>
    </row>
    <row r="2959" spans="1:18" ht="12.75">
      <c r="A2959" s="22"/>
      <c r="D2959" s="19"/>
      <c r="H2959" s="18"/>
      <c r="J2959" s="18"/>
      <c r="N2959" s="16"/>
      <c r="O2959" s="17"/>
      <c r="P2959" s="17"/>
      <c r="Q2959" s="22"/>
      <c r="R2959" s="23"/>
    </row>
    <row r="2960" spans="1:18" ht="12.75">
      <c r="A2960" s="22"/>
      <c r="D2960" s="19"/>
      <c r="H2960" s="18"/>
      <c r="J2960" s="18"/>
      <c r="N2960" s="16"/>
      <c r="O2960" s="17"/>
      <c r="P2960" s="17"/>
      <c r="Q2960" s="22"/>
      <c r="R2960" s="23"/>
    </row>
    <row r="2961" spans="1:18" ht="12.75">
      <c r="A2961" s="22"/>
      <c r="D2961" s="19"/>
      <c r="H2961" s="18"/>
      <c r="J2961" s="18"/>
      <c r="N2961" s="16"/>
      <c r="O2961" s="17"/>
      <c r="P2961" s="17"/>
      <c r="Q2961" s="22"/>
      <c r="R2961" s="23"/>
    </row>
    <row r="2962" spans="1:18" ht="12.75">
      <c r="A2962" s="22"/>
      <c r="D2962" s="19"/>
      <c r="H2962" s="18"/>
      <c r="J2962" s="18"/>
      <c r="N2962" s="16"/>
      <c r="O2962" s="17"/>
      <c r="P2962" s="17"/>
      <c r="Q2962" s="22"/>
      <c r="R2962" s="23"/>
    </row>
    <row r="2963" spans="1:18" ht="12.75">
      <c r="A2963" s="22"/>
      <c r="D2963" s="19"/>
      <c r="H2963" s="18"/>
      <c r="J2963" s="18"/>
      <c r="N2963" s="16"/>
      <c r="O2963" s="17"/>
      <c r="P2963" s="17"/>
      <c r="Q2963" s="22"/>
      <c r="R2963" s="23"/>
    </row>
    <row r="2964" spans="1:18" ht="12.75">
      <c r="A2964" s="22"/>
      <c r="D2964" s="19"/>
      <c r="H2964" s="18"/>
      <c r="J2964" s="18"/>
      <c r="N2964" s="16"/>
      <c r="O2964" s="17"/>
      <c r="P2964" s="17"/>
      <c r="Q2964" s="22"/>
      <c r="R2964" s="23"/>
    </row>
    <row r="2965" spans="1:18" ht="12.75">
      <c r="A2965" s="22"/>
      <c r="D2965" s="19"/>
      <c r="H2965" s="18"/>
      <c r="J2965" s="18"/>
      <c r="N2965" s="16"/>
      <c r="O2965" s="17"/>
      <c r="P2965" s="17"/>
      <c r="Q2965" s="22"/>
      <c r="R2965" s="23"/>
    </row>
    <row r="2966" spans="1:18" ht="12.75">
      <c r="A2966" s="22"/>
      <c r="D2966" s="19"/>
      <c r="H2966" s="18"/>
      <c r="J2966" s="18"/>
      <c r="N2966" s="16"/>
      <c r="O2966" s="17"/>
      <c r="P2966" s="17"/>
      <c r="Q2966" s="22"/>
      <c r="R2966" s="23"/>
    </row>
    <row r="2967" spans="1:18" ht="12.75">
      <c r="A2967" s="22"/>
      <c r="D2967" s="19"/>
      <c r="H2967" s="18"/>
      <c r="J2967" s="18"/>
      <c r="N2967" s="16"/>
      <c r="O2967" s="17"/>
      <c r="P2967" s="17"/>
      <c r="Q2967" s="22"/>
      <c r="R2967" s="23"/>
    </row>
    <row r="2968" spans="1:18" ht="12.75">
      <c r="A2968" s="22"/>
      <c r="D2968" s="19"/>
      <c r="H2968" s="18"/>
      <c r="J2968" s="18"/>
      <c r="N2968" s="16"/>
      <c r="O2968" s="17"/>
      <c r="P2968" s="17"/>
      <c r="Q2968" s="22"/>
      <c r="R2968" s="23"/>
    </row>
    <row r="2969" spans="1:18" ht="12.75">
      <c r="A2969" s="22"/>
      <c r="D2969" s="19"/>
      <c r="H2969" s="18"/>
      <c r="J2969" s="18"/>
      <c r="N2969" s="16"/>
      <c r="O2969" s="17"/>
      <c r="P2969" s="17"/>
      <c r="Q2969" s="22"/>
      <c r="R2969" s="23"/>
    </row>
    <row r="2970" spans="1:18" ht="12.75">
      <c r="A2970" s="22"/>
      <c r="D2970" s="19"/>
      <c r="H2970" s="18"/>
      <c r="J2970" s="18"/>
      <c r="N2970" s="16"/>
      <c r="O2970" s="17"/>
      <c r="P2970" s="17"/>
      <c r="Q2970" s="22"/>
      <c r="R2970" s="23"/>
    </row>
    <row r="2971" spans="1:18" ht="12.75">
      <c r="A2971" s="22"/>
      <c r="D2971" s="19"/>
      <c r="H2971" s="18"/>
      <c r="J2971" s="18"/>
      <c r="N2971" s="16"/>
      <c r="O2971" s="17"/>
      <c r="P2971" s="17"/>
      <c r="Q2971" s="22"/>
      <c r="R2971" s="23"/>
    </row>
    <row r="2972" spans="1:18" ht="12.75">
      <c r="A2972" s="22"/>
      <c r="D2972" s="19"/>
      <c r="H2972" s="18"/>
      <c r="J2972" s="18"/>
      <c r="N2972" s="16"/>
      <c r="O2972" s="17"/>
      <c r="P2972" s="17"/>
      <c r="Q2972" s="22"/>
      <c r="R2972" s="23"/>
    </row>
    <row r="2973" spans="1:18" ht="12.75">
      <c r="A2973" s="22"/>
      <c r="D2973" s="19"/>
      <c r="H2973" s="18"/>
      <c r="J2973" s="18"/>
      <c r="N2973" s="16"/>
      <c r="O2973" s="17"/>
      <c r="P2973" s="17"/>
      <c r="Q2973" s="22"/>
      <c r="R2973" s="23"/>
    </row>
    <row r="2974" spans="1:18" ht="12.75">
      <c r="A2974" s="22"/>
      <c r="D2974" s="19"/>
      <c r="H2974" s="18"/>
      <c r="J2974" s="18"/>
      <c r="N2974" s="16"/>
      <c r="O2974" s="17"/>
      <c r="P2974" s="17"/>
      <c r="Q2974" s="22"/>
      <c r="R2974" s="23"/>
    </row>
    <row r="2975" spans="1:18" ht="12.75">
      <c r="A2975" s="22"/>
      <c r="D2975" s="19"/>
      <c r="H2975" s="18"/>
      <c r="J2975" s="18"/>
      <c r="N2975" s="16"/>
      <c r="O2975" s="17"/>
      <c r="P2975" s="17"/>
      <c r="Q2975" s="22"/>
      <c r="R2975" s="23"/>
    </row>
    <row r="2976" spans="1:18" ht="12.75">
      <c r="A2976" s="22"/>
      <c r="D2976" s="19"/>
      <c r="H2976" s="18"/>
      <c r="J2976" s="18"/>
      <c r="N2976" s="16"/>
      <c r="O2976" s="17"/>
      <c r="P2976" s="17"/>
      <c r="Q2976" s="22"/>
      <c r="R2976" s="23"/>
    </row>
    <row r="2977" spans="1:18" ht="12.75">
      <c r="A2977" s="22"/>
      <c r="D2977" s="19"/>
      <c r="H2977" s="18"/>
      <c r="J2977" s="18"/>
      <c r="N2977" s="16"/>
      <c r="O2977" s="17"/>
      <c r="P2977" s="17"/>
      <c r="Q2977" s="22"/>
      <c r="R2977" s="23"/>
    </row>
    <row r="2978" spans="1:18" ht="12.75">
      <c r="A2978" s="22"/>
      <c r="D2978" s="19"/>
      <c r="H2978" s="18"/>
      <c r="J2978" s="18"/>
      <c r="N2978" s="16"/>
      <c r="O2978" s="17"/>
      <c r="P2978" s="17"/>
      <c r="Q2978" s="22"/>
      <c r="R2978" s="23"/>
    </row>
    <row r="2979" spans="1:18" ht="12.75">
      <c r="A2979" s="22"/>
      <c r="D2979" s="19"/>
      <c r="H2979" s="18"/>
      <c r="J2979" s="18"/>
      <c r="N2979" s="16"/>
      <c r="O2979" s="17"/>
      <c r="P2979" s="17"/>
      <c r="Q2979" s="22"/>
      <c r="R2979" s="23"/>
    </row>
    <row r="2980" spans="1:18" ht="12.75">
      <c r="A2980" s="22"/>
      <c r="D2980" s="19"/>
      <c r="H2980" s="18"/>
      <c r="J2980" s="18"/>
      <c r="N2980" s="16"/>
      <c r="O2980" s="17"/>
      <c r="P2980" s="17"/>
      <c r="Q2980" s="22"/>
      <c r="R2980" s="23"/>
    </row>
    <row r="2981" spans="1:18" ht="12.75">
      <c r="A2981" s="22"/>
      <c r="D2981" s="19"/>
      <c r="H2981" s="18"/>
      <c r="J2981" s="18"/>
      <c r="N2981" s="16"/>
      <c r="O2981" s="17"/>
      <c r="P2981" s="17"/>
      <c r="Q2981" s="22"/>
      <c r="R2981" s="23"/>
    </row>
    <row r="2982" spans="1:18" ht="12.75">
      <c r="A2982" s="22"/>
      <c r="D2982" s="19"/>
      <c r="H2982" s="18"/>
      <c r="J2982" s="18"/>
      <c r="N2982" s="16"/>
      <c r="O2982" s="17"/>
      <c r="P2982" s="17"/>
      <c r="Q2982" s="22"/>
      <c r="R2982" s="23"/>
    </row>
    <row r="2983" spans="1:18" ht="12.75">
      <c r="A2983" s="22"/>
      <c r="D2983" s="19"/>
      <c r="H2983" s="18"/>
      <c r="J2983" s="18"/>
      <c r="N2983" s="16"/>
      <c r="O2983" s="17"/>
      <c r="P2983" s="17"/>
      <c r="Q2983" s="22"/>
      <c r="R2983" s="23"/>
    </row>
    <row r="2984" spans="1:18" ht="12.75">
      <c r="A2984" s="22"/>
      <c r="D2984" s="19"/>
      <c r="H2984" s="18"/>
      <c r="J2984" s="18"/>
      <c r="N2984" s="16"/>
      <c r="O2984" s="17"/>
      <c r="P2984" s="17"/>
      <c r="Q2984" s="22"/>
      <c r="R2984" s="23"/>
    </row>
    <row r="2985" spans="1:18" ht="12.75">
      <c r="A2985" s="22"/>
      <c r="D2985" s="19"/>
      <c r="H2985" s="18"/>
      <c r="J2985" s="18"/>
      <c r="N2985" s="16"/>
      <c r="O2985" s="17"/>
      <c r="P2985" s="17"/>
      <c r="Q2985" s="22"/>
      <c r="R2985" s="23"/>
    </row>
    <row r="2986" spans="1:18" ht="12.75">
      <c r="A2986" s="22"/>
      <c r="D2986" s="19"/>
      <c r="H2986" s="18"/>
      <c r="J2986" s="18"/>
      <c r="N2986" s="16"/>
      <c r="O2986" s="17"/>
      <c r="P2986" s="17"/>
      <c r="Q2986" s="22"/>
      <c r="R2986" s="23"/>
    </row>
    <row r="2987" spans="1:18" ht="12.75">
      <c r="A2987" s="22"/>
      <c r="D2987" s="19"/>
      <c r="H2987" s="18"/>
      <c r="J2987" s="18"/>
      <c r="N2987" s="16"/>
      <c r="O2987" s="17"/>
      <c r="P2987" s="17"/>
      <c r="Q2987" s="22"/>
      <c r="R2987" s="23"/>
    </row>
    <row r="2988" spans="1:18" ht="12.75">
      <c r="A2988" s="22"/>
      <c r="D2988" s="19"/>
      <c r="H2988" s="18"/>
      <c r="J2988" s="18"/>
      <c r="N2988" s="16"/>
      <c r="O2988" s="17"/>
      <c r="P2988" s="17"/>
      <c r="Q2988" s="22"/>
      <c r="R2988" s="23"/>
    </row>
    <row r="2989" spans="1:18" ht="12.75">
      <c r="A2989" s="22"/>
      <c r="D2989" s="19"/>
      <c r="H2989" s="18"/>
      <c r="J2989" s="18"/>
      <c r="N2989" s="16"/>
      <c r="O2989" s="17"/>
      <c r="P2989" s="17"/>
      <c r="Q2989" s="22"/>
      <c r="R2989" s="23"/>
    </row>
    <row r="2990" spans="1:18" ht="12.75">
      <c r="A2990" s="22"/>
      <c r="D2990" s="19"/>
      <c r="H2990" s="18"/>
      <c r="J2990" s="18"/>
      <c r="N2990" s="16"/>
      <c r="O2990" s="17"/>
      <c r="P2990" s="17"/>
      <c r="Q2990" s="22"/>
      <c r="R2990" s="23"/>
    </row>
    <row r="2991" spans="1:18" ht="12.75">
      <c r="A2991" s="22"/>
      <c r="D2991" s="19"/>
      <c r="H2991" s="18"/>
      <c r="J2991" s="18"/>
      <c r="N2991" s="16"/>
      <c r="O2991" s="17"/>
      <c r="P2991" s="17"/>
      <c r="Q2991" s="22"/>
      <c r="R2991" s="23"/>
    </row>
    <row r="2992" spans="1:18" ht="12.75">
      <c r="A2992" s="22"/>
      <c r="D2992" s="19"/>
      <c r="H2992" s="18"/>
      <c r="J2992" s="18"/>
      <c r="N2992" s="16"/>
      <c r="O2992" s="17"/>
      <c r="P2992" s="17"/>
      <c r="Q2992" s="22"/>
      <c r="R2992" s="23"/>
    </row>
    <row r="2993" spans="1:18" ht="12.75">
      <c r="A2993" s="22"/>
      <c r="D2993" s="19"/>
      <c r="H2993" s="18"/>
      <c r="J2993" s="18"/>
      <c r="N2993" s="16"/>
      <c r="O2993" s="17"/>
      <c r="P2993" s="17"/>
      <c r="Q2993" s="22"/>
      <c r="R2993" s="23"/>
    </row>
    <row r="2994" spans="1:18" ht="12.75">
      <c r="A2994" s="22"/>
      <c r="D2994" s="19"/>
      <c r="H2994" s="18"/>
      <c r="J2994" s="18"/>
      <c r="N2994" s="16"/>
      <c r="O2994" s="17"/>
      <c r="P2994" s="17"/>
      <c r="Q2994" s="22"/>
      <c r="R2994" s="23"/>
    </row>
    <row r="2995" spans="1:18" ht="12.75">
      <c r="A2995" s="22"/>
      <c r="D2995" s="19"/>
      <c r="H2995" s="18"/>
      <c r="J2995" s="18"/>
      <c r="N2995" s="16"/>
      <c r="O2995" s="17"/>
      <c r="P2995" s="17"/>
      <c r="Q2995" s="22"/>
      <c r="R2995" s="23"/>
    </row>
    <row r="2996" spans="1:18" ht="12.75">
      <c r="A2996" s="22"/>
      <c r="D2996" s="19"/>
      <c r="H2996" s="18"/>
      <c r="J2996" s="18"/>
      <c r="N2996" s="16"/>
      <c r="O2996" s="17"/>
      <c r="P2996" s="17"/>
      <c r="Q2996" s="22"/>
      <c r="R2996" s="23"/>
    </row>
    <row r="2997" spans="1:18" ht="12.75">
      <c r="A2997" s="22"/>
      <c r="D2997" s="19"/>
      <c r="H2997" s="18"/>
      <c r="J2997" s="18"/>
      <c r="N2997" s="16"/>
      <c r="O2997" s="17"/>
      <c r="P2997" s="17"/>
      <c r="Q2997" s="22"/>
      <c r="R2997" s="23"/>
    </row>
    <row r="2998" spans="1:18" ht="12.75">
      <c r="A2998" s="22"/>
      <c r="D2998" s="19"/>
      <c r="H2998" s="18"/>
      <c r="J2998" s="18"/>
      <c r="N2998" s="16"/>
      <c r="O2998" s="17"/>
      <c r="P2998" s="17"/>
      <c r="Q2998" s="22"/>
      <c r="R2998" s="23"/>
    </row>
    <row r="2999" spans="1:18" ht="12.75">
      <c r="A2999" s="22"/>
      <c r="D2999" s="19"/>
      <c r="H2999" s="18"/>
      <c r="J2999" s="18"/>
      <c r="N2999" s="16"/>
      <c r="O2999" s="17"/>
      <c r="P2999" s="17"/>
      <c r="Q2999" s="22"/>
      <c r="R2999" s="23"/>
    </row>
    <row r="3000" spans="1:18" ht="12.75">
      <c r="A3000" s="22"/>
      <c r="D3000" s="19"/>
      <c r="H3000" s="18"/>
      <c r="J3000" s="18"/>
      <c r="N3000" s="16"/>
      <c r="O3000" s="17"/>
      <c r="P3000" s="17"/>
      <c r="Q3000" s="22"/>
      <c r="R3000" s="23"/>
    </row>
    <row r="3001" spans="1:18" ht="12.75">
      <c r="A3001" s="22"/>
      <c r="D3001" s="19"/>
      <c r="H3001" s="18"/>
      <c r="J3001" s="18"/>
      <c r="N3001" s="16"/>
      <c r="O3001" s="17"/>
      <c r="P3001" s="17"/>
      <c r="Q3001" s="22"/>
      <c r="R3001" s="23"/>
    </row>
    <row r="3002" spans="1:18" ht="12.75">
      <c r="A3002" s="22"/>
      <c r="D3002" s="19"/>
      <c r="H3002" s="18"/>
      <c r="J3002" s="18"/>
      <c r="N3002" s="16"/>
      <c r="O3002" s="17"/>
      <c r="P3002" s="17"/>
      <c r="Q3002" s="22"/>
      <c r="R3002" s="23"/>
    </row>
    <row r="3003" spans="1:18" ht="12.75">
      <c r="A3003" s="22"/>
      <c r="D3003" s="19"/>
      <c r="H3003" s="18"/>
      <c r="J3003" s="18"/>
      <c r="N3003" s="16"/>
      <c r="O3003" s="17"/>
      <c r="P3003" s="17"/>
      <c r="Q3003" s="22"/>
      <c r="R3003" s="23"/>
    </row>
    <row r="3004" spans="1:18" ht="12.75">
      <c r="A3004" s="22"/>
      <c r="D3004" s="19"/>
      <c r="H3004" s="18"/>
      <c r="J3004" s="18"/>
      <c r="N3004" s="16"/>
      <c r="O3004" s="17"/>
      <c r="P3004" s="17"/>
      <c r="Q3004" s="22"/>
      <c r="R3004" s="23"/>
    </row>
    <row r="3005" spans="1:18" ht="12.75">
      <c r="A3005" s="22"/>
      <c r="D3005" s="19"/>
      <c r="H3005" s="18"/>
      <c r="J3005" s="18"/>
      <c r="N3005" s="16"/>
      <c r="O3005" s="17"/>
      <c r="P3005" s="17"/>
      <c r="Q3005" s="22"/>
      <c r="R3005" s="23"/>
    </row>
    <row r="3006" spans="1:18" ht="12.75">
      <c r="A3006" s="22"/>
      <c r="D3006" s="19"/>
      <c r="H3006" s="18"/>
      <c r="J3006" s="18"/>
      <c r="N3006" s="16"/>
      <c r="O3006" s="17"/>
      <c r="P3006" s="17"/>
      <c r="Q3006" s="22"/>
      <c r="R3006" s="23"/>
    </row>
    <row r="3007" spans="1:18" ht="12.75">
      <c r="A3007" s="22"/>
      <c r="D3007" s="19"/>
      <c r="H3007" s="18"/>
      <c r="J3007" s="18"/>
      <c r="N3007" s="16"/>
      <c r="O3007" s="17"/>
      <c r="P3007" s="17"/>
      <c r="Q3007" s="22"/>
      <c r="R3007" s="23"/>
    </row>
    <row r="3008" spans="1:18" ht="12.75">
      <c r="A3008" s="22"/>
      <c r="D3008" s="19"/>
      <c r="H3008" s="18"/>
      <c r="J3008" s="18"/>
      <c r="N3008" s="16"/>
      <c r="O3008" s="17"/>
      <c r="P3008" s="17"/>
      <c r="Q3008" s="22"/>
      <c r="R3008" s="23"/>
    </row>
    <row r="3009" spans="1:18" ht="12.75">
      <c r="A3009" s="22"/>
      <c r="D3009" s="19"/>
      <c r="H3009" s="18"/>
      <c r="J3009" s="18"/>
      <c r="N3009" s="16"/>
      <c r="O3009" s="17"/>
      <c r="P3009" s="17"/>
      <c r="Q3009" s="22"/>
      <c r="R3009" s="23"/>
    </row>
    <row r="3010" spans="1:18" ht="12.75">
      <c r="A3010" s="22"/>
      <c r="D3010" s="19"/>
      <c r="H3010" s="18"/>
      <c r="J3010" s="18"/>
      <c r="N3010" s="16"/>
      <c r="O3010" s="17"/>
      <c r="P3010" s="17"/>
      <c r="Q3010" s="22"/>
      <c r="R3010" s="23"/>
    </row>
    <row r="3011" spans="1:18" ht="12.75">
      <c r="A3011" s="22"/>
      <c r="D3011" s="19"/>
      <c r="H3011" s="18"/>
      <c r="J3011" s="18"/>
      <c r="N3011" s="16"/>
      <c r="O3011" s="17"/>
      <c r="P3011" s="17"/>
      <c r="Q3011" s="22"/>
      <c r="R3011" s="23"/>
    </row>
    <row r="3012" spans="1:18" ht="12.75">
      <c r="A3012" s="22"/>
      <c r="D3012" s="19"/>
      <c r="H3012" s="18"/>
      <c r="J3012" s="18"/>
      <c r="N3012" s="16"/>
      <c r="O3012" s="17"/>
      <c r="P3012" s="17"/>
      <c r="Q3012" s="22"/>
      <c r="R3012" s="23"/>
    </row>
    <row r="3013" spans="1:18" ht="12.75">
      <c r="A3013" s="22"/>
      <c r="D3013" s="19"/>
      <c r="H3013" s="18"/>
      <c r="J3013" s="18"/>
      <c r="N3013" s="16"/>
      <c r="O3013" s="17"/>
      <c r="P3013" s="17"/>
      <c r="Q3013" s="22"/>
      <c r="R3013" s="23"/>
    </row>
    <row r="3014" spans="1:18" ht="12.75">
      <c r="A3014" s="22"/>
      <c r="D3014" s="19"/>
      <c r="H3014" s="18"/>
      <c r="J3014" s="18"/>
      <c r="N3014" s="16"/>
      <c r="O3014" s="17"/>
      <c r="P3014" s="17"/>
      <c r="Q3014" s="22"/>
      <c r="R3014" s="23"/>
    </row>
    <row r="3015" spans="1:18" ht="12.75">
      <c r="A3015" s="22"/>
      <c r="D3015" s="19"/>
      <c r="H3015" s="18"/>
      <c r="J3015" s="18"/>
      <c r="N3015" s="16"/>
      <c r="O3015" s="17"/>
      <c r="P3015" s="17"/>
      <c r="Q3015" s="22"/>
      <c r="R3015" s="23"/>
    </row>
    <row r="3016" spans="1:18" ht="12.75">
      <c r="A3016" s="22"/>
      <c r="D3016" s="19"/>
      <c r="H3016" s="18"/>
      <c r="J3016" s="18"/>
      <c r="N3016" s="16"/>
      <c r="O3016" s="17"/>
      <c r="P3016" s="17"/>
      <c r="Q3016" s="22"/>
      <c r="R3016" s="23"/>
    </row>
    <row r="3017" spans="1:18" ht="12.75">
      <c r="A3017" s="22"/>
      <c r="D3017" s="19"/>
      <c r="H3017" s="18"/>
      <c r="J3017" s="18"/>
      <c r="N3017" s="16"/>
      <c r="O3017" s="17"/>
      <c r="P3017" s="17"/>
      <c r="Q3017" s="22"/>
      <c r="R3017" s="23"/>
    </row>
    <row r="3018" spans="1:18" ht="12.75">
      <c r="A3018" s="22"/>
      <c r="D3018" s="19"/>
      <c r="H3018" s="18"/>
      <c r="J3018" s="18"/>
      <c r="N3018" s="16"/>
      <c r="O3018" s="17"/>
      <c r="P3018" s="17"/>
      <c r="Q3018" s="22"/>
      <c r="R3018" s="23"/>
    </row>
    <row r="3019" spans="1:18" ht="12.75">
      <c r="A3019" s="22"/>
      <c r="D3019" s="19"/>
      <c r="H3019" s="18"/>
      <c r="J3019" s="18"/>
      <c r="N3019" s="16"/>
      <c r="O3019" s="17"/>
      <c r="P3019" s="17"/>
      <c r="Q3019" s="22"/>
      <c r="R3019" s="23"/>
    </row>
    <row r="3020" spans="1:18" ht="12.75">
      <c r="A3020" s="22"/>
      <c r="D3020" s="19"/>
      <c r="H3020" s="18"/>
      <c r="J3020" s="18"/>
      <c r="N3020" s="16"/>
      <c r="O3020" s="17"/>
      <c r="P3020" s="17"/>
      <c r="Q3020" s="22"/>
      <c r="R3020" s="23"/>
    </row>
    <row r="3021" spans="1:18" ht="12.75">
      <c r="A3021" s="22"/>
      <c r="D3021" s="19"/>
      <c r="H3021" s="18"/>
      <c r="J3021" s="18"/>
      <c r="N3021" s="16"/>
      <c r="O3021" s="17"/>
      <c r="P3021" s="17"/>
      <c r="Q3021" s="22"/>
      <c r="R3021" s="23"/>
    </row>
    <row r="3022" spans="1:18" ht="12.75">
      <c r="A3022" s="22"/>
      <c r="D3022" s="19"/>
      <c r="H3022" s="18"/>
      <c r="J3022" s="18"/>
      <c r="N3022" s="16"/>
      <c r="O3022" s="17"/>
      <c r="P3022" s="17"/>
      <c r="Q3022" s="22"/>
      <c r="R3022" s="23"/>
    </row>
    <row r="3023" spans="1:18" ht="12.75">
      <c r="A3023" s="22"/>
      <c r="D3023" s="19"/>
      <c r="H3023" s="18"/>
      <c r="J3023" s="18"/>
      <c r="N3023" s="16"/>
      <c r="O3023" s="17"/>
      <c r="P3023" s="17"/>
      <c r="Q3023" s="22"/>
      <c r="R3023" s="23"/>
    </row>
    <row r="3024" spans="1:18" ht="12.75">
      <c r="A3024" s="22"/>
      <c r="D3024" s="19"/>
      <c r="H3024" s="18"/>
      <c r="J3024" s="18"/>
      <c r="N3024" s="16"/>
      <c r="O3024" s="17"/>
      <c r="P3024" s="17"/>
      <c r="Q3024" s="22"/>
      <c r="R3024" s="23"/>
    </row>
    <row r="3025" spans="1:18" ht="12.75">
      <c r="A3025" s="22"/>
      <c r="D3025" s="19"/>
      <c r="H3025" s="18"/>
      <c r="J3025" s="18"/>
      <c r="N3025" s="16"/>
      <c r="O3025" s="17"/>
      <c r="P3025" s="17"/>
      <c r="Q3025" s="22"/>
      <c r="R3025" s="23"/>
    </row>
    <row r="3026" spans="1:18" ht="12.75">
      <c r="A3026" s="22"/>
      <c r="D3026" s="19"/>
      <c r="H3026" s="18"/>
      <c r="J3026" s="18"/>
      <c r="N3026" s="16"/>
      <c r="O3026" s="17"/>
      <c r="P3026" s="17"/>
      <c r="Q3026" s="22"/>
      <c r="R3026" s="23"/>
    </row>
    <row r="3027" spans="1:18" ht="12.75">
      <c r="A3027" s="22"/>
      <c r="D3027" s="19"/>
      <c r="H3027" s="18"/>
      <c r="J3027" s="18"/>
      <c r="N3027" s="16"/>
      <c r="O3027" s="17"/>
      <c r="P3027" s="17"/>
      <c r="Q3027" s="22"/>
      <c r="R3027" s="23"/>
    </row>
    <row r="3028" spans="1:18" ht="12.75">
      <c r="A3028" s="22"/>
      <c r="D3028" s="19"/>
      <c r="H3028" s="18"/>
      <c r="J3028" s="18"/>
      <c r="N3028" s="16"/>
      <c r="O3028" s="17"/>
      <c r="P3028" s="17"/>
      <c r="Q3028" s="22"/>
      <c r="R3028" s="23"/>
    </row>
    <row r="3029" spans="1:18" ht="12.75">
      <c r="A3029" s="22"/>
      <c r="D3029" s="19"/>
      <c r="H3029" s="18"/>
      <c r="J3029" s="18"/>
      <c r="N3029" s="16"/>
      <c r="O3029" s="17"/>
      <c r="P3029" s="17"/>
      <c r="Q3029" s="22"/>
      <c r="R3029" s="23"/>
    </row>
    <row r="3030" spans="1:18" ht="12.75">
      <c r="A3030" s="22"/>
      <c r="D3030" s="19"/>
      <c r="H3030" s="18"/>
      <c r="J3030" s="18"/>
      <c r="N3030" s="16"/>
      <c r="O3030" s="17"/>
      <c r="P3030" s="17"/>
      <c r="Q3030" s="22"/>
      <c r="R3030" s="23"/>
    </row>
    <row r="3031" spans="1:18" ht="12.75">
      <c r="A3031" s="22"/>
      <c r="D3031" s="19"/>
      <c r="H3031" s="18"/>
      <c r="J3031" s="18"/>
      <c r="N3031" s="16"/>
      <c r="O3031" s="17"/>
      <c r="P3031" s="17"/>
      <c r="Q3031" s="22"/>
      <c r="R3031" s="23"/>
    </row>
    <row r="3032" spans="1:18" ht="12.75">
      <c r="A3032" s="22"/>
      <c r="D3032" s="19"/>
      <c r="H3032" s="18"/>
      <c r="J3032" s="18"/>
      <c r="N3032" s="16"/>
      <c r="O3032" s="17"/>
      <c r="P3032" s="17"/>
      <c r="Q3032" s="22"/>
      <c r="R3032" s="23"/>
    </row>
    <row r="3033" spans="1:18" ht="12.75">
      <c r="A3033" s="22"/>
      <c r="D3033" s="19"/>
      <c r="H3033" s="18"/>
      <c r="J3033" s="18"/>
      <c r="N3033" s="16"/>
      <c r="O3033" s="17"/>
      <c r="P3033" s="17"/>
      <c r="Q3033" s="22"/>
      <c r="R3033" s="23"/>
    </row>
    <row r="3034" spans="1:18" ht="12.75">
      <c r="A3034" s="22"/>
      <c r="D3034" s="19"/>
      <c r="H3034" s="18"/>
      <c r="J3034" s="18"/>
      <c r="N3034" s="16"/>
      <c r="O3034" s="17"/>
      <c r="P3034" s="17"/>
      <c r="Q3034" s="22"/>
      <c r="R3034" s="23"/>
    </row>
    <row r="3035" spans="1:18" ht="12.75">
      <c r="A3035" s="22"/>
      <c r="D3035" s="19"/>
      <c r="H3035" s="18"/>
      <c r="J3035" s="18"/>
      <c r="N3035" s="16"/>
      <c r="O3035" s="17"/>
      <c r="P3035" s="17"/>
      <c r="Q3035" s="22"/>
      <c r="R3035" s="23"/>
    </row>
    <row r="3036" spans="1:18" ht="12.75">
      <c r="A3036" s="22"/>
      <c r="D3036" s="19"/>
      <c r="H3036" s="18"/>
      <c r="J3036" s="18"/>
      <c r="N3036" s="16"/>
      <c r="O3036" s="17"/>
      <c r="P3036" s="17"/>
      <c r="Q3036" s="22"/>
      <c r="R3036" s="23"/>
    </row>
    <row r="3037" spans="1:18" ht="12.75">
      <c r="A3037" s="22"/>
      <c r="D3037" s="19"/>
      <c r="H3037" s="18"/>
      <c r="J3037" s="18"/>
      <c r="N3037" s="16"/>
      <c r="O3037" s="17"/>
      <c r="P3037" s="17"/>
      <c r="Q3037" s="22"/>
      <c r="R3037" s="23"/>
    </row>
    <row r="3038" spans="1:18" ht="12.75">
      <c r="A3038" s="22"/>
      <c r="D3038" s="19"/>
      <c r="H3038" s="18"/>
      <c r="J3038" s="18"/>
      <c r="N3038" s="16"/>
      <c r="O3038" s="17"/>
      <c r="P3038" s="17"/>
      <c r="Q3038" s="22"/>
      <c r="R3038" s="23"/>
    </row>
    <row r="3039" spans="1:18" ht="12.75">
      <c r="A3039" s="22"/>
      <c r="D3039" s="19"/>
      <c r="H3039" s="18"/>
      <c r="J3039" s="18"/>
      <c r="N3039" s="16"/>
      <c r="O3039" s="17"/>
      <c r="P3039" s="17"/>
      <c r="Q3039" s="22"/>
      <c r="R3039" s="23"/>
    </row>
    <row r="3040" spans="1:18" ht="12.75">
      <c r="A3040" s="22"/>
      <c r="D3040" s="19"/>
      <c r="H3040" s="18"/>
      <c r="J3040" s="18"/>
      <c r="N3040" s="16"/>
      <c r="O3040" s="17"/>
      <c r="P3040" s="17"/>
      <c r="Q3040" s="22"/>
      <c r="R3040" s="23"/>
    </row>
    <row r="3041" spans="1:18" ht="12.75">
      <c r="A3041" s="22"/>
      <c r="D3041" s="19"/>
      <c r="H3041" s="18"/>
      <c r="J3041" s="18"/>
      <c r="N3041" s="16"/>
      <c r="O3041" s="17"/>
      <c r="P3041" s="17"/>
      <c r="Q3041" s="22"/>
      <c r="R3041" s="23"/>
    </row>
    <row r="3042" spans="1:18" ht="12.75">
      <c r="A3042" s="22"/>
      <c r="D3042" s="19"/>
      <c r="H3042" s="18"/>
      <c r="J3042" s="18"/>
      <c r="N3042" s="16"/>
      <c r="O3042" s="17"/>
      <c r="P3042" s="17"/>
      <c r="Q3042" s="22"/>
      <c r="R3042" s="23"/>
    </row>
    <row r="3043" spans="1:18" ht="12.75">
      <c r="A3043" s="22"/>
      <c r="D3043" s="19"/>
      <c r="H3043" s="18"/>
      <c r="J3043" s="18"/>
      <c r="N3043" s="16"/>
      <c r="O3043" s="17"/>
      <c r="P3043" s="17"/>
      <c r="Q3043" s="22"/>
      <c r="R3043" s="23"/>
    </row>
    <row r="3044" spans="1:18" ht="12.75">
      <c r="A3044" s="22"/>
      <c r="D3044" s="19"/>
      <c r="H3044" s="18"/>
      <c r="J3044" s="18"/>
      <c r="N3044" s="16"/>
      <c r="O3044" s="17"/>
      <c r="P3044" s="17"/>
      <c r="Q3044" s="22"/>
      <c r="R3044" s="23"/>
    </row>
    <row r="3045" spans="1:18" ht="12.75">
      <c r="A3045" s="22"/>
      <c r="D3045" s="19"/>
      <c r="H3045" s="18"/>
      <c r="J3045" s="18"/>
      <c r="N3045" s="16"/>
      <c r="O3045" s="17"/>
      <c r="P3045" s="17"/>
      <c r="Q3045" s="22"/>
      <c r="R3045" s="23"/>
    </row>
    <row r="3046" spans="1:18" ht="12.75">
      <c r="A3046" s="22"/>
      <c r="D3046" s="19"/>
      <c r="H3046" s="18"/>
      <c r="J3046" s="18"/>
      <c r="N3046" s="16"/>
      <c r="O3046" s="17"/>
      <c r="P3046" s="17"/>
      <c r="Q3046" s="22"/>
      <c r="R3046" s="23"/>
    </row>
    <row r="3047" spans="1:18" ht="12.75">
      <c r="A3047" s="22"/>
      <c r="D3047" s="19"/>
      <c r="H3047" s="18"/>
      <c r="J3047" s="18"/>
      <c r="N3047" s="16"/>
      <c r="O3047" s="17"/>
      <c r="P3047" s="17"/>
      <c r="Q3047" s="22"/>
      <c r="R3047" s="23"/>
    </row>
    <row r="3048" spans="1:18" ht="12.75">
      <c r="A3048" s="22"/>
      <c r="D3048" s="19"/>
      <c r="H3048" s="18"/>
      <c r="J3048" s="18"/>
      <c r="N3048" s="16"/>
      <c r="O3048" s="17"/>
      <c r="P3048" s="17"/>
      <c r="Q3048" s="22"/>
      <c r="R3048" s="23"/>
    </row>
    <row r="3049" spans="1:18" ht="12.75">
      <c r="A3049" s="22"/>
      <c r="D3049" s="19"/>
      <c r="H3049" s="18"/>
      <c r="J3049" s="18"/>
      <c r="N3049" s="16"/>
      <c r="O3049" s="17"/>
      <c r="P3049" s="17"/>
      <c r="Q3049" s="22"/>
      <c r="R3049" s="23"/>
    </row>
    <row r="3050" spans="1:18" ht="12.75">
      <c r="A3050" s="22"/>
      <c r="D3050" s="19"/>
      <c r="H3050" s="18"/>
      <c r="J3050" s="18"/>
      <c r="N3050" s="16"/>
      <c r="O3050" s="17"/>
      <c r="P3050" s="17"/>
      <c r="Q3050" s="22"/>
      <c r="R3050" s="23"/>
    </row>
    <row r="3051" spans="1:18" ht="12.75">
      <c r="A3051" s="22"/>
      <c r="D3051" s="19"/>
      <c r="H3051" s="18"/>
      <c r="J3051" s="18"/>
      <c r="N3051" s="16"/>
      <c r="O3051" s="17"/>
      <c r="P3051" s="17"/>
      <c r="Q3051" s="22"/>
      <c r="R3051" s="23"/>
    </row>
    <row r="3052" spans="1:18" ht="12.75">
      <c r="A3052" s="22"/>
      <c r="D3052" s="19"/>
      <c r="H3052" s="18"/>
      <c r="J3052" s="18"/>
      <c r="N3052" s="16"/>
      <c r="O3052" s="17"/>
      <c r="P3052" s="17"/>
      <c r="Q3052" s="22"/>
      <c r="R3052" s="23"/>
    </row>
    <row r="3053" spans="1:18" ht="12.75">
      <c r="A3053" s="22"/>
      <c r="D3053" s="19"/>
      <c r="H3053" s="18"/>
      <c r="J3053" s="18"/>
      <c r="N3053" s="16"/>
      <c r="O3053" s="17"/>
      <c r="P3053" s="17"/>
      <c r="Q3053" s="22"/>
      <c r="R3053" s="23"/>
    </row>
    <row r="3054" spans="1:18" ht="12.75">
      <c r="A3054" s="22"/>
      <c r="D3054" s="19"/>
      <c r="H3054" s="18"/>
      <c r="J3054" s="18"/>
      <c r="N3054" s="16"/>
      <c r="O3054" s="17"/>
      <c r="P3054" s="17"/>
      <c r="Q3054" s="22"/>
      <c r="R3054" s="23"/>
    </row>
    <row r="3055" spans="1:18" ht="12.75">
      <c r="A3055" s="22"/>
      <c r="D3055" s="19"/>
      <c r="H3055" s="18"/>
      <c r="J3055" s="18"/>
      <c r="N3055" s="16"/>
      <c r="O3055" s="17"/>
      <c r="P3055" s="17"/>
      <c r="Q3055" s="22"/>
      <c r="R3055" s="23"/>
    </row>
    <row r="3056" spans="1:18" ht="12.75">
      <c r="A3056" s="22"/>
      <c r="D3056" s="19"/>
      <c r="H3056" s="18"/>
      <c r="J3056" s="18"/>
      <c r="N3056" s="16"/>
      <c r="O3056" s="17"/>
      <c r="P3056" s="17"/>
      <c r="Q3056" s="22"/>
      <c r="R3056" s="23"/>
    </row>
    <row r="3057" spans="1:18" ht="12.75">
      <c r="A3057" s="22"/>
      <c r="D3057" s="19"/>
      <c r="H3057" s="18"/>
      <c r="J3057" s="18"/>
      <c r="N3057" s="16"/>
      <c r="O3057" s="17"/>
      <c r="P3057" s="17"/>
      <c r="Q3057" s="22"/>
      <c r="R3057" s="23"/>
    </row>
    <row r="3058" spans="1:18" ht="12.75">
      <c r="A3058" s="22"/>
      <c r="D3058" s="19"/>
      <c r="H3058" s="18"/>
      <c r="J3058" s="18"/>
      <c r="N3058" s="16"/>
      <c r="O3058" s="17"/>
      <c r="P3058" s="17"/>
      <c r="Q3058" s="22"/>
      <c r="R3058" s="23"/>
    </row>
    <row r="3059" spans="1:18" ht="12.75">
      <c r="A3059" s="22"/>
      <c r="D3059" s="19"/>
      <c r="H3059" s="18"/>
      <c r="J3059" s="18"/>
      <c r="N3059" s="16"/>
      <c r="O3059" s="17"/>
      <c r="P3059" s="17"/>
      <c r="Q3059" s="22"/>
      <c r="R3059" s="23"/>
    </row>
    <row r="3060" spans="1:18" ht="12.75">
      <c r="A3060" s="22"/>
      <c r="D3060" s="19"/>
      <c r="H3060" s="18"/>
      <c r="J3060" s="18"/>
      <c r="N3060" s="16"/>
      <c r="O3060" s="17"/>
      <c r="P3060" s="17"/>
      <c r="Q3060" s="22"/>
      <c r="R3060" s="23"/>
    </row>
    <row r="3061" spans="1:18" ht="12.75">
      <c r="A3061" s="22"/>
      <c r="D3061" s="19"/>
      <c r="H3061" s="18"/>
      <c r="J3061" s="18"/>
      <c r="N3061" s="16"/>
      <c r="O3061" s="17"/>
      <c r="P3061" s="17"/>
      <c r="Q3061" s="22"/>
      <c r="R3061" s="23"/>
    </row>
    <row r="3062" spans="1:18" ht="12.75">
      <c r="A3062" s="22"/>
      <c r="D3062" s="19"/>
      <c r="H3062" s="18"/>
      <c r="J3062" s="18"/>
      <c r="N3062" s="16"/>
      <c r="O3062" s="17"/>
      <c r="P3062" s="17"/>
      <c r="Q3062" s="22"/>
      <c r="R3062" s="23"/>
    </row>
    <row r="3063" spans="1:18" ht="12.75">
      <c r="A3063" s="22"/>
      <c r="D3063" s="19"/>
      <c r="H3063" s="18"/>
      <c r="J3063" s="18"/>
      <c r="N3063" s="16"/>
      <c r="O3063" s="17"/>
      <c r="P3063" s="17"/>
      <c r="Q3063" s="22"/>
      <c r="R3063" s="23"/>
    </row>
    <row r="3064" spans="1:18" ht="12.75">
      <c r="A3064" s="22"/>
      <c r="D3064" s="19"/>
      <c r="H3064" s="18"/>
      <c r="J3064" s="18"/>
      <c r="N3064" s="16"/>
      <c r="O3064" s="17"/>
      <c r="P3064" s="17"/>
      <c r="Q3064" s="22"/>
      <c r="R3064" s="23"/>
    </row>
    <row r="3065" spans="1:18" ht="12.75">
      <c r="A3065" s="22"/>
      <c r="D3065" s="19"/>
      <c r="H3065" s="18"/>
      <c r="J3065" s="18"/>
      <c r="N3065" s="16"/>
      <c r="O3065" s="17"/>
      <c r="P3065" s="17"/>
      <c r="Q3065" s="22"/>
      <c r="R3065" s="23"/>
    </row>
    <row r="3066" spans="1:18" ht="12.75">
      <c r="A3066" s="22"/>
      <c r="D3066" s="19"/>
      <c r="H3066" s="18"/>
      <c r="J3066" s="18"/>
      <c r="N3066" s="16"/>
      <c r="O3066" s="17"/>
      <c r="P3066" s="17"/>
      <c r="Q3066" s="22"/>
      <c r="R3066" s="23"/>
    </row>
    <row r="3067" spans="1:18" ht="12.75">
      <c r="A3067" s="22"/>
      <c r="D3067" s="19"/>
      <c r="H3067" s="18"/>
      <c r="J3067" s="18"/>
      <c r="N3067" s="16"/>
      <c r="O3067" s="17"/>
      <c r="P3067" s="17"/>
      <c r="Q3067" s="22"/>
      <c r="R3067" s="23"/>
    </row>
    <row r="3068" spans="1:18" ht="12.75">
      <c r="A3068" s="22"/>
      <c r="D3068" s="19"/>
      <c r="H3068" s="18"/>
      <c r="J3068" s="18"/>
      <c r="N3068" s="16"/>
      <c r="O3068" s="17"/>
      <c r="P3068" s="17"/>
      <c r="Q3068" s="22"/>
      <c r="R3068" s="23"/>
    </row>
    <row r="3069" spans="1:18" ht="12.75">
      <c r="A3069" s="22"/>
      <c r="D3069" s="19"/>
      <c r="H3069" s="18"/>
      <c r="J3069" s="18"/>
      <c r="N3069" s="16"/>
      <c r="O3069" s="17"/>
      <c r="P3069" s="17"/>
      <c r="Q3069" s="22"/>
      <c r="R3069" s="23"/>
    </row>
    <row r="3070" spans="1:18" ht="12.75">
      <c r="A3070" s="22"/>
      <c r="D3070" s="19"/>
      <c r="H3070" s="18"/>
      <c r="J3070" s="18"/>
      <c r="N3070" s="16"/>
      <c r="O3070" s="17"/>
      <c r="P3070" s="17"/>
      <c r="Q3070" s="22"/>
      <c r="R3070" s="23"/>
    </row>
    <row r="3071" spans="1:18" ht="12.75">
      <c r="A3071" s="22"/>
      <c r="D3071" s="19"/>
      <c r="H3071" s="18"/>
      <c r="J3071" s="18"/>
      <c r="N3071" s="16"/>
      <c r="O3071" s="17"/>
      <c r="P3071" s="17"/>
      <c r="Q3071" s="22"/>
      <c r="R3071" s="23"/>
    </row>
    <row r="3072" spans="1:18" ht="12.75">
      <c r="A3072" s="22"/>
      <c r="D3072" s="19"/>
      <c r="H3072" s="18"/>
      <c r="J3072" s="18"/>
      <c r="N3072" s="16"/>
      <c r="O3072" s="17"/>
      <c r="P3072" s="17"/>
      <c r="Q3072" s="22"/>
      <c r="R3072" s="23"/>
    </row>
    <row r="3073" spans="1:18" ht="12.75">
      <c r="A3073" s="22"/>
      <c r="D3073" s="19"/>
      <c r="H3073" s="18"/>
      <c r="J3073" s="18"/>
      <c r="N3073" s="16"/>
      <c r="O3073" s="17"/>
      <c r="P3073" s="17"/>
      <c r="Q3073" s="22"/>
      <c r="R3073" s="23"/>
    </row>
    <row r="3074" spans="1:18" ht="12.75">
      <c r="A3074" s="22"/>
      <c r="D3074" s="19"/>
      <c r="H3074" s="18"/>
      <c r="J3074" s="18"/>
      <c r="N3074" s="16"/>
      <c r="O3074" s="17"/>
      <c r="P3074" s="17"/>
      <c r="Q3074" s="22"/>
      <c r="R3074" s="23"/>
    </row>
    <row r="3075" spans="1:18" ht="12.75">
      <c r="A3075" s="22"/>
      <c r="D3075" s="19"/>
      <c r="H3075" s="18"/>
      <c r="J3075" s="18"/>
      <c r="N3075" s="16"/>
      <c r="O3075" s="17"/>
      <c r="P3075" s="17"/>
      <c r="Q3075" s="22"/>
      <c r="R3075" s="23"/>
    </row>
    <row r="3076" spans="1:18" ht="12.75">
      <c r="A3076" s="22"/>
      <c r="D3076" s="19"/>
      <c r="H3076" s="18"/>
      <c r="J3076" s="18"/>
      <c r="N3076" s="16"/>
      <c r="O3076" s="17"/>
      <c r="P3076" s="17"/>
      <c r="Q3076" s="22"/>
      <c r="R3076" s="23"/>
    </row>
    <row r="3077" spans="1:18" ht="12.75">
      <c r="A3077" s="22"/>
      <c r="D3077" s="19"/>
      <c r="H3077" s="18"/>
      <c r="J3077" s="18"/>
      <c r="N3077" s="16"/>
      <c r="O3077" s="17"/>
      <c r="P3077" s="17"/>
      <c r="Q3077" s="22"/>
      <c r="R3077" s="23"/>
    </row>
    <row r="3078" spans="1:18" ht="12.75">
      <c r="A3078" s="22"/>
      <c r="D3078" s="19"/>
      <c r="H3078" s="18"/>
      <c r="J3078" s="18"/>
      <c r="N3078" s="16"/>
      <c r="O3078" s="17"/>
      <c r="P3078" s="17"/>
      <c r="Q3078" s="22"/>
      <c r="R3078" s="23"/>
    </row>
    <row r="3079" spans="1:18" ht="12.75">
      <c r="A3079" s="22"/>
      <c r="D3079" s="19"/>
      <c r="H3079" s="18"/>
      <c r="J3079" s="18"/>
      <c r="N3079" s="16"/>
      <c r="O3079" s="17"/>
      <c r="P3079" s="17"/>
      <c r="Q3079" s="22"/>
      <c r="R3079" s="23"/>
    </row>
    <row r="3080" spans="1:18" ht="12.75">
      <c r="A3080" s="22"/>
      <c r="D3080" s="19"/>
      <c r="H3080" s="18"/>
      <c r="J3080" s="18"/>
      <c r="N3080" s="16"/>
      <c r="O3080" s="17"/>
      <c r="P3080" s="17"/>
      <c r="Q3080" s="22"/>
      <c r="R3080" s="23"/>
    </row>
    <row r="3081" spans="1:18" ht="12.75">
      <c r="A3081" s="22"/>
      <c r="D3081" s="19"/>
      <c r="H3081" s="18"/>
      <c r="J3081" s="18"/>
      <c r="N3081" s="16"/>
      <c r="O3081" s="17"/>
      <c r="P3081" s="17"/>
      <c r="Q3081" s="22"/>
      <c r="R3081" s="23"/>
    </row>
    <row r="3082" spans="1:18" ht="12.75">
      <c r="A3082" s="22"/>
      <c r="D3082" s="19"/>
      <c r="H3082" s="18"/>
      <c r="J3082" s="18"/>
      <c r="N3082" s="16"/>
      <c r="O3082" s="17"/>
      <c r="P3082" s="17"/>
      <c r="Q3082" s="22"/>
      <c r="R3082" s="23"/>
    </row>
    <row r="3083" spans="1:18" ht="12.75">
      <c r="A3083" s="22"/>
      <c r="D3083" s="19"/>
      <c r="H3083" s="18"/>
      <c r="J3083" s="18"/>
      <c r="N3083" s="16"/>
      <c r="O3083" s="17"/>
      <c r="P3083" s="17"/>
      <c r="Q3083" s="22"/>
      <c r="R3083" s="23"/>
    </row>
    <row r="3084" spans="1:18" ht="12.75">
      <c r="A3084" s="22"/>
      <c r="D3084" s="19"/>
      <c r="H3084" s="18"/>
      <c r="J3084" s="18"/>
      <c r="N3084" s="16"/>
      <c r="O3084" s="17"/>
      <c r="P3084" s="17"/>
      <c r="Q3084" s="22"/>
      <c r="R3084" s="23"/>
    </row>
    <row r="3085" spans="1:18" ht="12.75">
      <c r="A3085" s="22"/>
      <c r="D3085" s="19"/>
      <c r="H3085" s="18"/>
      <c r="J3085" s="18"/>
      <c r="N3085" s="16"/>
      <c r="O3085" s="17"/>
      <c r="P3085" s="17"/>
      <c r="Q3085" s="22"/>
      <c r="R3085" s="23"/>
    </row>
    <row r="3086" spans="1:18" ht="12.75">
      <c r="A3086" s="22"/>
      <c r="D3086" s="19"/>
      <c r="H3086" s="18"/>
      <c r="J3086" s="18"/>
      <c r="N3086" s="16"/>
      <c r="O3086" s="17"/>
      <c r="P3086" s="17"/>
      <c r="Q3086" s="22"/>
      <c r="R3086" s="23"/>
    </row>
    <row r="3087" spans="1:18" ht="12.75">
      <c r="A3087" s="22"/>
      <c r="D3087" s="19"/>
      <c r="H3087" s="18"/>
      <c r="J3087" s="18"/>
      <c r="N3087" s="16"/>
      <c r="O3087" s="17"/>
      <c r="P3087" s="17"/>
      <c r="Q3087" s="22"/>
      <c r="R3087" s="23"/>
    </row>
    <row r="3088" spans="1:18" ht="12.75">
      <c r="A3088" s="22"/>
      <c r="D3088" s="19"/>
      <c r="H3088" s="18"/>
      <c r="J3088" s="18"/>
      <c r="N3088" s="16"/>
      <c r="O3088" s="17"/>
      <c r="P3088" s="17"/>
      <c r="Q3088" s="22"/>
      <c r="R3088" s="23"/>
    </row>
    <row r="3089" spans="1:18" ht="12.75">
      <c r="A3089" s="22"/>
      <c r="D3089" s="19"/>
      <c r="H3089" s="18"/>
      <c r="J3089" s="18"/>
      <c r="N3089" s="16"/>
      <c r="O3089" s="17"/>
      <c r="P3089" s="17"/>
      <c r="Q3089" s="22"/>
      <c r="R3089" s="23"/>
    </row>
    <row r="3090" spans="1:18" ht="12.75">
      <c r="A3090" s="22"/>
      <c r="D3090" s="19"/>
      <c r="H3090" s="18"/>
      <c r="J3090" s="18"/>
      <c r="N3090" s="16"/>
      <c r="O3090" s="17"/>
      <c r="P3090" s="17"/>
      <c r="Q3090" s="22"/>
      <c r="R3090" s="23"/>
    </row>
    <row r="3091" spans="1:18" ht="12.75">
      <c r="A3091" s="22"/>
      <c r="D3091" s="19"/>
      <c r="H3091" s="18"/>
      <c r="J3091" s="18"/>
      <c r="N3091" s="16"/>
      <c r="O3091" s="17"/>
      <c r="P3091" s="17"/>
      <c r="Q3091" s="22"/>
      <c r="R3091" s="23"/>
    </row>
    <row r="3092" spans="1:18" ht="12.75">
      <c r="A3092" s="22"/>
      <c r="D3092" s="19"/>
      <c r="H3092" s="18"/>
      <c r="J3092" s="18"/>
      <c r="N3092" s="16"/>
      <c r="O3092" s="17"/>
      <c r="P3092" s="17"/>
      <c r="Q3092" s="22"/>
      <c r="R3092" s="23"/>
    </row>
    <row r="3093" spans="1:18" ht="12.75">
      <c r="A3093" s="22"/>
      <c r="D3093" s="19"/>
      <c r="H3093" s="18"/>
      <c r="J3093" s="18"/>
      <c r="N3093" s="16"/>
      <c r="O3093" s="17"/>
      <c r="P3093" s="17"/>
      <c r="Q3093" s="22"/>
      <c r="R3093" s="23"/>
    </row>
    <row r="3094" spans="1:18" ht="12.75">
      <c r="A3094" s="22"/>
      <c r="D3094" s="19"/>
      <c r="H3094" s="18"/>
      <c r="J3094" s="18"/>
      <c r="N3094" s="16"/>
      <c r="O3094" s="17"/>
      <c r="P3094" s="17"/>
      <c r="Q3094" s="22"/>
      <c r="R3094" s="23"/>
    </row>
    <row r="3095" spans="1:18" ht="12.75">
      <c r="A3095" s="22"/>
      <c r="D3095" s="19"/>
      <c r="H3095" s="18"/>
      <c r="J3095" s="18"/>
      <c r="N3095" s="16"/>
      <c r="O3095" s="17"/>
      <c r="P3095" s="17"/>
      <c r="Q3095" s="22"/>
      <c r="R3095" s="23"/>
    </row>
    <row r="3096" spans="1:18" ht="12.75">
      <c r="A3096" s="22"/>
      <c r="D3096" s="19"/>
      <c r="H3096" s="18"/>
      <c r="J3096" s="18"/>
      <c r="N3096" s="16"/>
      <c r="O3096" s="17"/>
      <c r="P3096" s="17"/>
      <c r="Q3096" s="22"/>
      <c r="R3096" s="23"/>
    </row>
    <row r="3097" spans="1:18" ht="12.75">
      <c r="A3097" s="22"/>
      <c r="D3097" s="19"/>
      <c r="H3097" s="18"/>
      <c r="J3097" s="18"/>
      <c r="N3097" s="16"/>
      <c r="O3097" s="17"/>
      <c r="P3097" s="17"/>
      <c r="Q3097" s="22"/>
      <c r="R3097" s="23"/>
    </row>
    <row r="3098" spans="1:18" ht="12.75">
      <c r="A3098" s="22"/>
      <c r="D3098" s="19"/>
      <c r="H3098" s="18"/>
      <c r="J3098" s="18"/>
      <c r="N3098" s="16"/>
      <c r="O3098" s="17"/>
      <c r="P3098" s="17"/>
      <c r="Q3098" s="22"/>
      <c r="R3098" s="23"/>
    </row>
    <row r="3099" spans="1:18" ht="12.75">
      <c r="A3099" s="22"/>
      <c r="D3099" s="19"/>
      <c r="H3099" s="18"/>
      <c r="J3099" s="18"/>
      <c r="N3099" s="16"/>
      <c r="O3099" s="17"/>
      <c r="P3099" s="17"/>
      <c r="Q3099" s="22"/>
      <c r="R3099" s="23"/>
    </row>
    <row r="3100" spans="1:18" ht="12.75">
      <c r="A3100" s="22"/>
      <c r="D3100" s="19"/>
      <c r="H3100" s="18"/>
      <c r="J3100" s="18"/>
      <c r="N3100" s="16"/>
      <c r="O3100" s="17"/>
      <c r="P3100" s="17"/>
      <c r="Q3100" s="22"/>
      <c r="R3100" s="23"/>
    </row>
    <row r="3101" spans="1:18" ht="12.75">
      <c r="A3101" s="22"/>
      <c r="D3101" s="19"/>
      <c r="H3101" s="18"/>
      <c r="J3101" s="18"/>
      <c r="N3101" s="16"/>
      <c r="O3101" s="17"/>
      <c r="P3101" s="17"/>
      <c r="Q3101" s="22"/>
      <c r="R3101" s="23"/>
    </row>
    <row r="3102" spans="1:18" ht="12.75">
      <c r="A3102" s="22"/>
      <c r="D3102" s="19"/>
      <c r="H3102" s="18"/>
      <c r="J3102" s="18"/>
      <c r="N3102" s="16"/>
      <c r="O3102" s="17"/>
      <c r="P3102" s="17"/>
      <c r="Q3102" s="22"/>
      <c r="R3102" s="23"/>
    </row>
    <row r="3103" spans="1:18" ht="12.75">
      <c r="A3103" s="22"/>
      <c r="D3103" s="19"/>
      <c r="H3103" s="18"/>
      <c r="J3103" s="18"/>
      <c r="N3103" s="16"/>
      <c r="O3103" s="17"/>
      <c r="P3103" s="17"/>
      <c r="Q3103" s="22"/>
      <c r="R3103" s="23"/>
    </row>
    <row r="3104" spans="1:18" ht="12.75">
      <c r="A3104" s="22"/>
      <c r="D3104" s="19"/>
      <c r="H3104" s="18"/>
      <c r="J3104" s="18"/>
      <c r="N3104" s="16"/>
      <c r="O3104" s="17"/>
      <c r="P3104" s="17"/>
      <c r="Q3104" s="22"/>
      <c r="R3104" s="23"/>
    </row>
    <row r="3105" spans="1:18" ht="12.75">
      <c r="A3105" s="22"/>
      <c r="D3105" s="19"/>
      <c r="H3105" s="18"/>
      <c r="J3105" s="18"/>
      <c r="N3105" s="16"/>
      <c r="O3105" s="17"/>
      <c r="P3105" s="17"/>
      <c r="Q3105" s="22"/>
      <c r="R3105" s="23"/>
    </row>
    <row r="3106" spans="1:18" ht="12.75">
      <c r="A3106" s="22"/>
      <c r="D3106" s="19"/>
      <c r="H3106" s="18"/>
      <c r="J3106" s="18"/>
      <c r="N3106" s="16"/>
      <c r="O3106" s="17"/>
      <c r="P3106" s="17"/>
      <c r="Q3106" s="22"/>
      <c r="R3106" s="23"/>
    </row>
    <row r="3107" spans="1:18" ht="12.75">
      <c r="A3107" s="22"/>
      <c r="D3107" s="19"/>
      <c r="H3107" s="18"/>
      <c r="J3107" s="18"/>
      <c r="N3107" s="16"/>
      <c r="O3107" s="17"/>
      <c r="P3107" s="17"/>
      <c r="Q3107" s="22"/>
      <c r="R3107" s="23"/>
    </row>
    <row r="3108" spans="1:18" ht="12.75">
      <c r="A3108" s="22"/>
      <c r="D3108" s="19"/>
      <c r="H3108" s="18"/>
      <c r="J3108" s="18"/>
      <c r="N3108" s="16"/>
      <c r="O3108" s="17"/>
      <c r="P3108" s="17"/>
      <c r="Q3108" s="22"/>
      <c r="R3108" s="23"/>
    </row>
    <row r="3109" spans="1:18" ht="12.75">
      <c r="A3109" s="22"/>
      <c r="D3109" s="19"/>
      <c r="H3109" s="18"/>
      <c r="J3109" s="18"/>
      <c r="N3109" s="16"/>
      <c r="O3109" s="17"/>
      <c r="P3109" s="17"/>
      <c r="Q3109" s="22"/>
      <c r="R3109" s="23"/>
    </row>
    <row r="3110" spans="1:18" ht="12.75">
      <c r="A3110" s="22"/>
      <c r="D3110" s="19"/>
      <c r="H3110" s="18"/>
      <c r="J3110" s="18"/>
      <c r="N3110" s="16"/>
      <c r="O3110" s="17"/>
      <c r="P3110" s="17"/>
      <c r="Q3110" s="22"/>
      <c r="R3110" s="23"/>
    </row>
    <row r="3111" spans="1:18" ht="12.75">
      <c r="A3111" s="22"/>
      <c r="D3111" s="19"/>
      <c r="H3111" s="18"/>
      <c r="J3111" s="18"/>
      <c r="N3111" s="16"/>
      <c r="O3111" s="17"/>
      <c r="P3111" s="17"/>
      <c r="Q3111" s="22"/>
      <c r="R3111" s="23"/>
    </row>
    <row r="3112" spans="1:18" ht="12.75">
      <c r="A3112" s="22"/>
      <c r="D3112" s="19"/>
      <c r="H3112" s="18"/>
      <c r="J3112" s="18"/>
      <c r="N3112" s="16"/>
      <c r="O3112" s="17"/>
      <c r="P3112" s="17"/>
      <c r="Q3112" s="22"/>
      <c r="R3112" s="23"/>
    </row>
    <row r="3113" spans="1:18" ht="12.75">
      <c r="A3113" s="22"/>
      <c r="D3113" s="19"/>
      <c r="H3113" s="18"/>
      <c r="J3113" s="18"/>
      <c r="N3113" s="16"/>
      <c r="O3113" s="17"/>
      <c r="P3113" s="17"/>
      <c r="Q3113" s="22"/>
      <c r="R3113" s="23"/>
    </row>
    <row r="3114" spans="1:18" ht="12.75">
      <c r="A3114" s="22"/>
      <c r="D3114" s="19"/>
      <c r="H3114" s="18"/>
      <c r="J3114" s="18"/>
      <c r="N3114" s="16"/>
      <c r="O3114" s="17"/>
      <c r="P3114" s="17"/>
      <c r="Q3114" s="22"/>
      <c r="R3114" s="23"/>
    </row>
    <row r="3115" spans="1:18" ht="12.75">
      <c r="A3115" s="22"/>
      <c r="D3115" s="19"/>
      <c r="H3115" s="18"/>
      <c r="J3115" s="18"/>
      <c r="N3115" s="16"/>
      <c r="O3115" s="17"/>
      <c r="P3115" s="17"/>
      <c r="Q3115" s="22"/>
      <c r="R3115" s="23"/>
    </row>
    <row r="3116" spans="1:18" ht="12.75">
      <c r="A3116" s="22"/>
      <c r="D3116" s="19"/>
      <c r="H3116" s="18"/>
      <c r="J3116" s="18"/>
      <c r="N3116" s="16"/>
      <c r="O3116" s="17"/>
      <c r="P3116" s="17"/>
      <c r="Q3116" s="22"/>
      <c r="R3116" s="23"/>
    </row>
    <row r="3117" spans="1:18" ht="12.75">
      <c r="A3117" s="22"/>
      <c r="D3117" s="19"/>
      <c r="H3117" s="18"/>
      <c r="J3117" s="18"/>
      <c r="N3117" s="16"/>
      <c r="O3117" s="17"/>
      <c r="P3117" s="17"/>
      <c r="Q3117" s="22"/>
      <c r="R3117" s="23"/>
    </row>
    <row r="3118" spans="1:18" ht="12.75">
      <c r="A3118" s="22"/>
      <c r="D3118" s="19"/>
      <c r="H3118" s="18"/>
      <c r="J3118" s="18"/>
      <c r="N3118" s="16"/>
      <c r="O3118" s="17"/>
      <c r="P3118" s="17"/>
      <c r="Q3118" s="22"/>
      <c r="R3118" s="23"/>
    </row>
    <row r="3119" spans="1:18" ht="12.75">
      <c r="A3119" s="22"/>
      <c r="D3119" s="19"/>
      <c r="H3119" s="18"/>
      <c r="J3119" s="18"/>
      <c r="N3119" s="16"/>
      <c r="O3119" s="17"/>
      <c r="P3119" s="17"/>
      <c r="Q3119" s="22"/>
      <c r="R3119" s="23"/>
    </row>
    <row r="3120" spans="1:18" ht="12.75">
      <c r="A3120" s="22"/>
      <c r="D3120" s="19"/>
      <c r="H3120" s="18"/>
      <c r="J3120" s="18"/>
      <c r="N3120" s="16"/>
      <c r="O3120" s="17"/>
      <c r="P3120" s="17"/>
      <c r="Q3120" s="22"/>
      <c r="R3120" s="23"/>
    </row>
    <row r="3121" spans="1:18" ht="12.75">
      <c r="A3121" s="22"/>
      <c r="D3121" s="19"/>
      <c r="H3121" s="18"/>
      <c r="J3121" s="18"/>
      <c r="N3121" s="16"/>
      <c r="O3121" s="17"/>
      <c r="P3121" s="17"/>
      <c r="Q3121" s="22"/>
      <c r="R3121" s="23"/>
    </row>
    <row r="3122" spans="1:18" ht="12.75">
      <c r="A3122" s="22"/>
      <c r="D3122" s="19"/>
      <c r="H3122" s="18"/>
      <c r="J3122" s="18"/>
      <c r="N3122" s="16"/>
      <c r="O3122" s="17"/>
      <c r="P3122" s="17"/>
      <c r="Q3122" s="22"/>
      <c r="R3122" s="23"/>
    </row>
    <row r="3123" spans="1:18" ht="12.75">
      <c r="A3123" s="22"/>
      <c r="D3123" s="19"/>
      <c r="H3123" s="18"/>
      <c r="J3123" s="18"/>
      <c r="N3123" s="16"/>
      <c r="O3123" s="17"/>
      <c r="P3123" s="17"/>
      <c r="Q3123" s="22"/>
      <c r="R3123" s="23"/>
    </row>
    <row r="3124" spans="1:18" ht="12.75">
      <c r="A3124" s="22"/>
      <c r="D3124" s="19"/>
      <c r="H3124" s="18"/>
      <c r="J3124" s="18"/>
      <c r="N3124" s="16"/>
      <c r="O3124" s="17"/>
      <c r="P3124" s="17"/>
      <c r="Q3124" s="22"/>
      <c r="R3124" s="23"/>
    </row>
    <row r="3125" spans="1:18" ht="12.75">
      <c r="A3125" s="22"/>
      <c r="D3125" s="19"/>
      <c r="H3125" s="18"/>
      <c r="J3125" s="18"/>
      <c r="N3125" s="16"/>
      <c r="O3125" s="17"/>
      <c r="P3125" s="17"/>
      <c r="Q3125" s="22"/>
      <c r="R3125" s="23"/>
    </row>
    <row r="3126" spans="1:18" ht="12.75">
      <c r="A3126" s="22"/>
      <c r="D3126" s="19"/>
      <c r="H3126" s="18"/>
      <c r="J3126" s="18"/>
      <c r="N3126" s="16"/>
      <c r="O3126" s="17"/>
      <c r="P3126" s="17"/>
      <c r="Q3126" s="22"/>
      <c r="R3126" s="23"/>
    </row>
    <row r="3127" spans="1:18" ht="12.75">
      <c r="A3127" s="22"/>
      <c r="D3127" s="19"/>
      <c r="H3127" s="18"/>
      <c r="J3127" s="18"/>
      <c r="N3127" s="16"/>
      <c r="O3127" s="17"/>
      <c r="P3127" s="17"/>
      <c r="Q3127" s="22"/>
      <c r="R3127" s="23"/>
    </row>
    <row r="3128" spans="1:18" ht="12.75">
      <c r="A3128" s="22"/>
      <c r="D3128" s="19"/>
      <c r="H3128" s="18"/>
      <c r="J3128" s="18"/>
      <c r="N3128" s="16"/>
      <c r="O3128" s="17"/>
      <c r="P3128" s="17"/>
      <c r="Q3128" s="22"/>
      <c r="R3128" s="23"/>
    </row>
    <row r="3129" spans="1:18" ht="12.75">
      <c r="A3129" s="22"/>
      <c r="D3129" s="19"/>
      <c r="H3129" s="18"/>
      <c r="J3129" s="18"/>
      <c r="N3129" s="16"/>
      <c r="O3129" s="17"/>
      <c r="P3129" s="17"/>
      <c r="Q3129" s="22"/>
      <c r="R3129" s="23"/>
    </row>
    <row r="3130" spans="1:18" ht="12.75">
      <c r="A3130" s="22"/>
      <c r="D3130" s="19"/>
      <c r="H3130" s="18"/>
      <c r="J3130" s="18"/>
      <c r="N3130" s="16"/>
      <c r="O3130" s="17"/>
      <c r="P3130" s="17"/>
      <c r="Q3130" s="22"/>
      <c r="R3130" s="23"/>
    </row>
    <row r="3131" spans="1:18" ht="12.75">
      <c r="A3131" s="22"/>
      <c r="D3131" s="19"/>
      <c r="H3131" s="18"/>
      <c r="J3131" s="18"/>
      <c r="N3131" s="16"/>
      <c r="O3131" s="17"/>
      <c r="P3131" s="17"/>
      <c r="Q3131" s="22"/>
      <c r="R3131" s="23"/>
    </row>
    <row r="3132" spans="1:18" ht="12.75">
      <c r="A3132" s="22"/>
      <c r="D3132" s="19"/>
      <c r="H3132" s="18"/>
      <c r="J3132" s="18"/>
      <c r="N3132" s="16"/>
      <c r="O3132" s="17"/>
      <c r="P3132" s="17"/>
      <c r="Q3132" s="22"/>
      <c r="R3132" s="23"/>
    </row>
    <row r="3133" spans="1:18" ht="12.75">
      <c r="A3133" s="22"/>
      <c r="D3133" s="19"/>
      <c r="H3133" s="18"/>
      <c r="J3133" s="18"/>
      <c r="N3133" s="16"/>
      <c r="O3133" s="17"/>
      <c r="P3133" s="17"/>
      <c r="Q3133" s="22"/>
      <c r="R3133" s="23"/>
    </row>
    <row r="3134" spans="1:18" ht="12.75">
      <c r="A3134" s="22"/>
      <c r="D3134" s="19"/>
      <c r="H3134" s="18"/>
      <c r="J3134" s="18"/>
      <c r="N3134" s="16"/>
      <c r="O3134" s="17"/>
      <c r="P3134" s="17"/>
      <c r="Q3134" s="22"/>
      <c r="R3134" s="23"/>
    </row>
    <row r="3135" spans="1:18" ht="12.75">
      <c r="A3135" s="22"/>
      <c r="D3135" s="19"/>
      <c r="H3135" s="18"/>
      <c r="J3135" s="18"/>
      <c r="N3135" s="16"/>
      <c r="O3135" s="17"/>
      <c r="P3135" s="17"/>
      <c r="Q3135" s="22"/>
      <c r="R3135" s="23"/>
    </row>
    <row r="3136" spans="1:18" ht="12.75">
      <c r="A3136" s="22"/>
      <c r="D3136" s="19"/>
      <c r="H3136" s="18"/>
      <c r="J3136" s="18"/>
      <c r="N3136" s="16"/>
      <c r="O3136" s="17"/>
      <c r="P3136" s="17"/>
      <c r="Q3136" s="22"/>
      <c r="R3136" s="23"/>
    </row>
    <row r="3137" spans="1:18" ht="12.75">
      <c r="A3137" s="22"/>
      <c r="D3137" s="19"/>
      <c r="H3137" s="18"/>
      <c r="J3137" s="18"/>
      <c r="N3137" s="16"/>
      <c r="O3137" s="17"/>
      <c r="P3137" s="17"/>
      <c r="Q3137" s="22"/>
      <c r="R3137" s="23"/>
    </row>
    <row r="3138" spans="1:18" ht="12.75">
      <c r="A3138" s="22"/>
      <c r="D3138" s="19"/>
      <c r="H3138" s="18"/>
      <c r="J3138" s="18"/>
      <c r="N3138" s="16"/>
      <c r="O3138" s="17"/>
      <c r="P3138" s="17"/>
      <c r="Q3138" s="22"/>
      <c r="R3138" s="23"/>
    </row>
    <row r="3139" spans="1:18" ht="12.75">
      <c r="A3139" s="22"/>
      <c r="D3139" s="19"/>
      <c r="H3139" s="18"/>
      <c r="J3139" s="18"/>
      <c r="N3139" s="16"/>
      <c r="O3139" s="17"/>
      <c r="P3139" s="17"/>
      <c r="Q3139" s="22"/>
      <c r="R3139" s="23"/>
    </row>
    <row r="3140" spans="1:18" ht="12.75">
      <c r="A3140" s="22"/>
      <c r="D3140" s="19"/>
      <c r="H3140" s="18"/>
      <c r="J3140" s="18"/>
      <c r="N3140" s="16"/>
      <c r="O3140" s="17"/>
      <c r="P3140" s="17"/>
      <c r="Q3140" s="22"/>
      <c r="R3140" s="23"/>
    </row>
    <row r="3141" spans="1:18" ht="12.75">
      <c r="A3141" s="22"/>
      <c r="D3141" s="19"/>
      <c r="H3141" s="18"/>
      <c r="J3141" s="18"/>
      <c r="N3141" s="16"/>
      <c r="O3141" s="17"/>
      <c r="P3141" s="17"/>
      <c r="Q3141" s="22"/>
      <c r="R3141" s="23"/>
    </row>
    <row r="3142" spans="1:18" ht="12.75">
      <c r="A3142" s="22"/>
      <c r="D3142" s="19"/>
      <c r="H3142" s="18"/>
      <c r="J3142" s="18"/>
      <c r="N3142" s="16"/>
      <c r="O3142" s="17"/>
      <c r="P3142" s="17"/>
      <c r="Q3142" s="22"/>
      <c r="R3142" s="23"/>
    </row>
    <row r="3143" spans="1:18" ht="12.75">
      <c r="A3143" s="22"/>
      <c r="D3143" s="19"/>
      <c r="H3143" s="18"/>
      <c r="J3143" s="18"/>
      <c r="N3143" s="16"/>
      <c r="O3143" s="17"/>
      <c r="P3143" s="17"/>
      <c r="Q3143" s="22"/>
      <c r="R3143" s="23"/>
    </row>
    <row r="3144" spans="1:18" ht="12.75">
      <c r="A3144" s="22"/>
      <c r="D3144" s="19"/>
      <c r="H3144" s="18"/>
      <c r="J3144" s="18"/>
      <c r="N3144" s="16"/>
      <c r="O3144" s="17"/>
      <c r="P3144" s="17"/>
      <c r="Q3144" s="22"/>
      <c r="R3144" s="23"/>
    </row>
    <row r="3145" spans="1:18" ht="12.75">
      <c r="A3145" s="22"/>
      <c r="D3145" s="19"/>
      <c r="H3145" s="18"/>
      <c r="J3145" s="18"/>
      <c r="N3145" s="16"/>
      <c r="O3145" s="17"/>
      <c r="P3145" s="17"/>
      <c r="Q3145" s="22"/>
      <c r="R3145" s="23"/>
    </row>
    <row r="3146" spans="1:18" ht="12.75">
      <c r="A3146" s="22"/>
      <c r="D3146" s="19"/>
      <c r="H3146" s="18"/>
      <c r="J3146" s="18"/>
      <c r="N3146" s="16"/>
      <c r="O3146" s="17"/>
      <c r="P3146" s="17"/>
      <c r="Q3146" s="22"/>
      <c r="R3146" s="23"/>
    </row>
    <row r="3147" spans="1:18" ht="12.75">
      <c r="A3147" s="22"/>
      <c r="D3147" s="19"/>
      <c r="H3147" s="18"/>
      <c r="J3147" s="18"/>
      <c r="N3147" s="16"/>
      <c r="O3147" s="17"/>
      <c r="P3147" s="17"/>
      <c r="Q3147" s="22"/>
      <c r="R3147" s="23"/>
    </row>
    <row r="3148" spans="1:18" ht="12.75">
      <c r="A3148" s="22"/>
      <c r="D3148" s="19"/>
      <c r="H3148" s="18"/>
      <c r="J3148" s="18"/>
      <c r="N3148" s="16"/>
      <c r="O3148" s="17"/>
      <c r="P3148" s="17"/>
      <c r="Q3148" s="22"/>
      <c r="R3148" s="23"/>
    </row>
    <row r="3149" spans="1:18" ht="12.75">
      <c r="A3149" s="22"/>
      <c r="D3149" s="19"/>
      <c r="H3149" s="18"/>
      <c r="J3149" s="18"/>
      <c r="N3149" s="16"/>
      <c r="O3149" s="17"/>
      <c r="P3149" s="17"/>
      <c r="Q3149" s="22"/>
      <c r="R3149" s="23"/>
    </row>
    <row r="3150" spans="1:18" ht="12.75">
      <c r="A3150" s="22"/>
      <c r="D3150" s="19"/>
      <c r="H3150" s="18"/>
      <c r="J3150" s="18"/>
      <c r="N3150" s="16"/>
      <c r="O3150" s="17"/>
      <c r="P3150" s="17"/>
      <c r="Q3150" s="22"/>
      <c r="R3150" s="23"/>
    </row>
    <row r="3151" spans="1:18" ht="12.75">
      <c r="A3151" s="22"/>
      <c r="D3151" s="19"/>
      <c r="H3151" s="18"/>
      <c r="J3151" s="18"/>
      <c r="N3151" s="16"/>
      <c r="O3151" s="17"/>
      <c r="P3151" s="17"/>
      <c r="Q3151" s="22"/>
      <c r="R3151" s="23"/>
    </row>
    <row r="3152" spans="1:18" ht="12.75">
      <c r="A3152" s="22"/>
      <c r="D3152" s="19"/>
      <c r="H3152" s="18"/>
      <c r="J3152" s="18"/>
      <c r="N3152" s="16"/>
      <c r="O3152" s="17"/>
      <c r="P3152" s="17"/>
      <c r="Q3152" s="22"/>
      <c r="R3152" s="23"/>
    </row>
    <row r="3153" spans="1:18" ht="12.75">
      <c r="A3153" s="22"/>
      <c r="D3153" s="19"/>
      <c r="H3153" s="18"/>
      <c r="J3153" s="18"/>
      <c r="N3153" s="16"/>
      <c r="O3153" s="17"/>
      <c r="P3153" s="17"/>
      <c r="Q3153" s="22"/>
      <c r="R3153" s="23"/>
    </row>
    <row r="3154" spans="1:18" ht="12.75">
      <c r="A3154" s="22"/>
      <c r="D3154" s="19"/>
      <c r="H3154" s="18"/>
      <c r="J3154" s="18"/>
      <c r="N3154" s="16"/>
      <c r="O3154" s="17"/>
      <c r="P3154" s="17"/>
      <c r="Q3154" s="22"/>
      <c r="R3154" s="23"/>
    </row>
    <row r="3155" spans="1:18" ht="12.75">
      <c r="A3155" s="22"/>
      <c r="D3155" s="19"/>
      <c r="H3155" s="18"/>
      <c r="J3155" s="18"/>
      <c r="N3155" s="16"/>
      <c r="O3155" s="17"/>
      <c r="P3155" s="17"/>
      <c r="Q3155" s="22"/>
      <c r="R3155" s="23"/>
    </row>
    <row r="3156" spans="1:18" ht="12.75">
      <c r="A3156" s="22"/>
      <c r="D3156" s="19"/>
      <c r="H3156" s="18"/>
      <c r="J3156" s="18"/>
      <c r="N3156" s="16"/>
      <c r="O3156" s="17"/>
      <c r="P3156" s="17"/>
      <c r="Q3156" s="22"/>
      <c r="R3156" s="23"/>
    </row>
    <row r="3157" spans="1:18" ht="12.75">
      <c r="A3157" s="22"/>
      <c r="D3157" s="19"/>
      <c r="H3157" s="18"/>
      <c r="J3157" s="18"/>
      <c r="N3157" s="16"/>
      <c r="O3157" s="17"/>
      <c r="P3157" s="17"/>
      <c r="Q3157" s="22"/>
      <c r="R3157" s="23"/>
    </row>
    <row r="3158" spans="1:18" ht="12.75">
      <c r="A3158" s="22"/>
      <c r="D3158" s="19"/>
      <c r="H3158" s="18"/>
      <c r="J3158" s="18"/>
      <c r="N3158" s="16"/>
      <c r="O3158" s="17"/>
      <c r="P3158" s="17"/>
      <c r="Q3158" s="22"/>
      <c r="R3158" s="23"/>
    </row>
    <row r="3159" spans="1:18" ht="12.75">
      <c r="A3159" s="22"/>
      <c r="D3159" s="19"/>
      <c r="H3159" s="18"/>
      <c r="J3159" s="18"/>
      <c r="N3159" s="16"/>
      <c r="O3159" s="17"/>
      <c r="P3159" s="17"/>
      <c r="Q3159" s="22"/>
      <c r="R3159" s="23"/>
    </row>
    <row r="3160" spans="1:18" ht="12.75">
      <c r="A3160" s="22"/>
      <c r="D3160" s="19"/>
      <c r="H3160" s="18"/>
      <c r="J3160" s="18"/>
      <c r="N3160" s="16"/>
      <c r="O3160" s="17"/>
      <c r="P3160" s="17"/>
      <c r="Q3160" s="22"/>
      <c r="R3160" s="23"/>
    </row>
    <row r="3161" spans="1:18" ht="12.75">
      <c r="A3161" s="22"/>
      <c r="D3161" s="19"/>
      <c r="H3161" s="18"/>
      <c r="J3161" s="18"/>
      <c r="N3161" s="16"/>
      <c r="O3161" s="17"/>
      <c r="P3161" s="17"/>
      <c r="Q3161" s="22"/>
      <c r="R3161" s="23"/>
    </row>
    <row r="3162" spans="1:18" ht="12.75">
      <c r="A3162" s="22"/>
      <c r="D3162" s="19"/>
      <c r="H3162" s="18"/>
      <c r="J3162" s="18"/>
      <c r="N3162" s="16"/>
      <c r="O3162" s="17"/>
      <c r="P3162" s="17"/>
      <c r="Q3162" s="22"/>
      <c r="R3162" s="23"/>
    </row>
    <row r="3163" spans="1:18" ht="12.75">
      <c r="A3163" s="22"/>
      <c r="D3163" s="19"/>
      <c r="H3163" s="18"/>
      <c r="J3163" s="18"/>
      <c r="N3163" s="16"/>
      <c r="O3163" s="17"/>
      <c r="P3163" s="17"/>
      <c r="Q3163" s="22"/>
      <c r="R3163" s="23"/>
    </row>
    <row r="3164" spans="1:18" ht="12.75">
      <c r="A3164" s="22"/>
      <c r="D3164" s="19"/>
      <c r="H3164" s="18"/>
      <c r="J3164" s="18"/>
      <c r="N3164" s="16"/>
      <c r="O3164" s="17"/>
      <c r="P3164" s="17"/>
      <c r="Q3164" s="22"/>
      <c r="R3164" s="23"/>
    </row>
    <row r="3165" spans="1:18" ht="12.75">
      <c r="A3165" s="22"/>
      <c r="D3165" s="19"/>
      <c r="H3165" s="18"/>
      <c r="J3165" s="18"/>
      <c r="N3165" s="16"/>
      <c r="O3165" s="17"/>
      <c r="P3165" s="17"/>
      <c r="Q3165" s="22"/>
      <c r="R3165" s="23"/>
    </row>
    <row r="3166" spans="1:18" ht="12.75">
      <c r="A3166" s="22"/>
      <c r="D3166" s="19"/>
      <c r="H3166" s="18"/>
      <c r="J3166" s="18"/>
      <c r="N3166" s="16"/>
      <c r="O3166" s="17"/>
      <c r="P3166" s="17"/>
      <c r="Q3166" s="22"/>
      <c r="R3166" s="23"/>
    </row>
    <row r="3167" spans="1:18" ht="12.75">
      <c r="A3167" s="22"/>
      <c r="D3167" s="19"/>
      <c r="H3167" s="18"/>
      <c r="J3167" s="18"/>
      <c r="N3167" s="16"/>
      <c r="O3167" s="17"/>
      <c r="P3167" s="17"/>
      <c r="Q3167" s="22"/>
      <c r="R3167" s="23"/>
    </row>
    <row r="3168" spans="1:18" ht="12.75">
      <c r="A3168" s="22"/>
      <c r="D3168" s="19"/>
      <c r="H3168" s="18"/>
      <c r="J3168" s="18"/>
      <c r="N3168" s="16"/>
      <c r="O3168" s="17"/>
      <c r="P3168" s="17"/>
      <c r="Q3168" s="22"/>
      <c r="R3168" s="23"/>
    </row>
    <row r="3169" spans="1:18" ht="12.75">
      <c r="A3169" s="22"/>
      <c r="D3169" s="19"/>
      <c r="H3169" s="18"/>
      <c r="J3169" s="18"/>
      <c r="N3169" s="16"/>
      <c r="O3169" s="17"/>
      <c r="P3169" s="17"/>
      <c r="Q3169" s="22"/>
      <c r="R3169" s="23"/>
    </row>
    <row r="3170" spans="1:18" ht="12.75">
      <c r="A3170" s="22"/>
      <c r="D3170" s="19"/>
      <c r="H3170" s="18"/>
      <c r="J3170" s="18"/>
      <c r="N3170" s="16"/>
      <c r="O3170" s="17"/>
      <c r="P3170" s="17"/>
      <c r="Q3170" s="22"/>
      <c r="R3170" s="23"/>
    </row>
    <row r="3171" spans="1:18" ht="12.75">
      <c r="A3171" s="22"/>
      <c r="D3171" s="19"/>
      <c r="H3171" s="18"/>
      <c r="J3171" s="18"/>
      <c r="N3171" s="16"/>
      <c r="O3171" s="17"/>
      <c r="P3171" s="17"/>
      <c r="Q3171" s="22"/>
      <c r="R3171" s="23"/>
    </row>
    <row r="3172" spans="1:18" ht="12.75">
      <c r="A3172" s="22"/>
      <c r="D3172" s="19"/>
      <c r="H3172" s="18"/>
      <c r="J3172" s="18"/>
      <c r="N3172" s="16"/>
      <c r="O3172" s="17"/>
      <c r="P3172" s="17"/>
      <c r="Q3172" s="22"/>
      <c r="R3172" s="23"/>
    </row>
    <row r="3173" spans="1:18" ht="12.75">
      <c r="A3173" s="22"/>
      <c r="D3173" s="19"/>
      <c r="H3173" s="18"/>
      <c r="J3173" s="18"/>
      <c r="N3173" s="16"/>
      <c r="O3173" s="17"/>
      <c r="P3173" s="17"/>
      <c r="Q3173" s="22"/>
      <c r="R3173" s="23"/>
    </row>
    <row r="3174" spans="1:18" ht="12.75">
      <c r="A3174" s="22"/>
      <c r="D3174" s="19"/>
      <c r="H3174" s="18"/>
      <c r="J3174" s="18"/>
      <c r="N3174" s="16"/>
      <c r="O3174" s="17"/>
      <c r="P3174" s="17"/>
      <c r="Q3174" s="22"/>
      <c r="R3174" s="23"/>
    </row>
    <row r="3175" spans="1:18" ht="12.75">
      <c r="A3175" s="22"/>
      <c r="D3175" s="19"/>
      <c r="H3175" s="18"/>
      <c r="J3175" s="18"/>
      <c r="N3175" s="16"/>
      <c r="O3175" s="17"/>
      <c r="P3175" s="17"/>
      <c r="Q3175" s="22"/>
      <c r="R3175" s="23"/>
    </row>
    <row r="3176" spans="1:18" ht="12.75">
      <c r="A3176" s="22"/>
      <c r="D3176" s="19"/>
      <c r="H3176" s="18"/>
      <c r="J3176" s="18"/>
      <c r="N3176" s="16"/>
      <c r="O3176" s="17"/>
      <c r="P3176" s="17"/>
      <c r="Q3176" s="22"/>
      <c r="R3176" s="23"/>
    </row>
    <row r="3177" spans="1:18" ht="12.75">
      <c r="A3177" s="22"/>
      <c r="D3177" s="19"/>
      <c r="H3177" s="18"/>
      <c r="J3177" s="18"/>
      <c r="N3177" s="16"/>
      <c r="O3177" s="17"/>
      <c r="P3177" s="17"/>
      <c r="Q3177" s="22"/>
      <c r="R3177" s="23"/>
    </row>
    <row r="3178" spans="1:18" ht="12.75">
      <c r="A3178" s="22"/>
      <c r="D3178" s="19"/>
      <c r="H3178" s="18"/>
      <c r="J3178" s="18"/>
      <c r="N3178" s="16"/>
      <c r="O3178" s="17"/>
      <c r="P3178" s="17"/>
      <c r="Q3178" s="22"/>
      <c r="R3178" s="23"/>
    </row>
    <row r="3179" spans="1:18" ht="12.75">
      <c r="A3179" s="22"/>
      <c r="D3179" s="19"/>
      <c r="H3179" s="18"/>
      <c r="J3179" s="18"/>
      <c r="N3179" s="16"/>
      <c r="O3179" s="17"/>
      <c r="P3179" s="17"/>
      <c r="Q3179" s="22"/>
      <c r="R3179" s="23"/>
    </row>
    <row r="3180" spans="1:18" ht="12.75">
      <c r="A3180" s="22"/>
      <c r="D3180" s="19"/>
      <c r="H3180" s="18"/>
      <c r="J3180" s="18"/>
      <c r="N3180" s="16"/>
      <c r="O3180" s="17"/>
      <c r="P3180" s="17"/>
      <c r="Q3180" s="22"/>
      <c r="R3180" s="23"/>
    </row>
    <row r="3181" spans="1:18" ht="12.75">
      <c r="A3181" s="22"/>
      <c r="D3181" s="19"/>
      <c r="H3181" s="18"/>
      <c r="J3181" s="18"/>
      <c r="N3181" s="16"/>
      <c r="O3181" s="17"/>
      <c r="P3181" s="17"/>
      <c r="Q3181" s="22"/>
      <c r="R3181" s="23"/>
    </row>
    <row r="3182" spans="1:18" ht="12.75">
      <c r="A3182" s="22"/>
      <c r="D3182" s="19"/>
      <c r="H3182" s="18"/>
      <c r="J3182" s="18"/>
      <c r="N3182" s="16"/>
      <c r="O3182" s="17"/>
      <c r="P3182" s="17"/>
      <c r="Q3182" s="22"/>
      <c r="R3182" s="23"/>
    </row>
    <row r="3183" spans="1:18" ht="12.75">
      <c r="A3183" s="22"/>
      <c r="D3183" s="19"/>
      <c r="H3183" s="18"/>
      <c r="J3183" s="18"/>
      <c r="N3183" s="16"/>
      <c r="O3183" s="17"/>
      <c r="P3183" s="17"/>
      <c r="Q3183" s="22"/>
      <c r="R3183" s="23"/>
    </row>
    <row r="3184" spans="1:18" ht="12.75">
      <c r="A3184" s="22"/>
      <c r="D3184" s="19"/>
      <c r="H3184" s="18"/>
      <c r="J3184" s="18"/>
      <c r="N3184" s="16"/>
      <c r="O3184" s="17"/>
      <c r="P3184" s="17"/>
      <c r="Q3184" s="22"/>
      <c r="R3184" s="23"/>
    </row>
    <row r="3185" spans="1:18" ht="12.75">
      <c r="A3185" s="22"/>
      <c r="D3185" s="19"/>
      <c r="H3185" s="18"/>
      <c r="J3185" s="18"/>
      <c r="N3185" s="16"/>
      <c r="O3185" s="17"/>
      <c r="P3185" s="17"/>
      <c r="Q3185" s="22"/>
      <c r="R3185" s="23"/>
    </row>
    <row r="3186" spans="1:18" ht="12.75">
      <c r="A3186" s="22"/>
      <c r="D3186" s="19"/>
      <c r="H3186" s="18"/>
      <c r="J3186" s="18"/>
      <c r="N3186" s="16"/>
      <c r="O3186" s="17"/>
      <c r="P3186" s="17"/>
      <c r="Q3186" s="22"/>
      <c r="R3186" s="23"/>
    </row>
    <row r="3187" spans="1:18" ht="12.75">
      <c r="A3187" s="22"/>
      <c r="D3187" s="19"/>
      <c r="H3187" s="18"/>
      <c r="J3187" s="18"/>
      <c r="N3187" s="16"/>
      <c r="O3187" s="17"/>
      <c r="P3187" s="17"/>
      <c r="Q3187" s="22"/>
      <c r="R3187" s="23"/>
    </row>
    <row r="3188" spans="1:18" ht="12.75">
      <c r="A3188" s="22"/>
      <c r="D3188" s="19"/>
      <c r="H3188" s="18"/>
      <c r="J3188" s="18"/>
      <c r="N3188" s="16"/>
      <c r="O3188" s="17"/>
      <c r="P3188" s="17"/>
      <c r="Q3188" s="22"/>
      <c r="R3188" s="23"/>
    </row>
    <row r="3189" spans="1:18" ht="12.75">
      <c r="A3189" s="22"/>
      <c r="D3189" s="19"/>
      <c r="H3189" s="18"/>
      <c r="J3189" s="18"/>
      <c r="N3189" s="16"/>
      <c r="O3189" s="17"/>
      <c r="P3189" s="17"/>
      <c r="Q3189" s="22"/>
      <c r="R3189" s="23"/>
    </row>
    <row r="3190" spans="1:18" ht="12.75">
      <c r="A3190" s="22"/>
      <c r="D3190" s="19"/>
      <c r="H3190" s="18"/>
      <c r="J3190" s="18"/>
      <c r="N3190" s="16"/>
      <c r="O3190" s="17"/>
      <c r="P3190" s="17"/>
      <c r="Q3190" s="22"/>
      <c r="R3190" s="23"/>
    </row>
    <row r="3191" spans="1:18" ht="12.75">
      <c r="A3191" s="22"/>
      <c r="D3191" s="19"/>
      <c r="H3191" s="18"/>
      <c r="J3191" s="18"/>
      <c r="N3191" s="16"/>
      <c r="O3191" s="17"/>
      <c r="P3191" s="17"/>
      <c r="Q3191" s="22"/>
      <c r="R3191" s="23"/>
    </row>
    <row r="3192" spans="1:18" ht="12.75">
      <c r="A3192" s="22"/>
      <c r="D3192" s="19"/>
      <c r="H3192" s="18"/>
      <c r="J3192" s="18"/>
      <c r="N3192" s="16"/>
      <c r="O3192" s="17"/>
      <c r="P3192" s="17"/>
      <c r="Q3192" s="22"/>
      <c r="R3192" s="23"/>
    </row>
    <row r="3193" spans="1:18" ht="12.75">
      <c r="A3193" s="22"/>
      <c r="D3193" s="19"/>
      <c r="H3193" s="18"/>
      <c r="J3193" s="18"/>
      <c r="N3193" s="16"/>
      <c r="O3193" s="17"/>
      <c r="P3193" s="17"/>
      <c r="Q3193" s="22"/>
      <c r="R3193" s="23"/>
    </row>
    <row r="3194" spans="1:18" ht="12.75">
      <c r="A3194" s="22"/>
      <c r="D3194" s="19"/>
      <c r="H3194" s="18"/>
      <c r="J3194" s="18"/>
      <c r="N3194" s="16"/>
      <c r="O3194" s="17"/>
      <c r="P3194" s="17"/>
      <c r="Q3194" s="22"/>
      <c r="R3194" s="23"/>
    </row>
    <row r="3195" spans="1:18" ht="12.75">
      <c r="A3195" s="22"/>
      <c r="D3195" s="19"/>
      <c r="H3195" s="18"/>
      <c r="J3195" s="18"/>
      <c r="N3195" s="16"/>
      <c r="O3195" s="17"/>
      <c r="P3195" s="17"/>
      <c r="Q3195" s="22"/>
      <c r="R3195" s="23"/>
    </row>
    <row r="3196" spans="1:18" ht="12.75">
      <c r="A3196" s="22"/>
      <c r="D3196" s="19"/>
      <c r="H3196" s="18"/>
      <c r="J3196" s="18"/>
      <c r="N3196" s="16"/>
      <c r="O3196" s="17"/>
      <c r="P3196" s="17"/>
      <c r="Q3196" s="22"/>
      <c r="R3196" s="23"/>
    </row>
    <row r="3197" spans="1:18" ht="12.75">
      <c r="A3197" s="22"/>
      <c r="D3197" s="19"/>
      <c r="H3197" s="18"/>
      <c r="J3197" s="18"/>
      <c r="N3197" s="16"/>
      <c r="O3197" s="17"/>
      <c r="P3197" s="17"/>
      <c r="Q3197" s="22"/>
      <c r="R3197" s="23"/>
    </row>
    <row r="3198" spans="1:18" ht="12.75">
      <c r="A3198" s="22"/>
      <c r="D3198" s="19"/>
      <c r="H3198" s="18"/>
      <c r="J3198" s="18"/>
      <c r="N3198" s="16"/>
      <c r="O3198" s="17"/>
      <c r="P3198" s="17"/>
      <c r="Q3198" s="22"/>
      <c r="R3198" s="23"/>
    </row>
    <row r="3199" spans="1:18" ht="12.75">
      <c r="A3199" s="22"/>
      <c r="D3199" s="19"/>
      <c r="H3199" s="18"/>
      <c r="J3199" s="18"/>
      <c r="N3199" s="16"/>
      <c r="O3199" s="17"/>
      <c r="P3199" s="17"/>
      <c r="Q3199" s="22"/>
      <c r="R3199" s="23"/>
    </row>
    <row r="3200" spans="1:18" ht="12.75">
      <c r="A3200" s="22"/>
      <c r="D3200" s="19"/>
      <c r="H3200" s="18"/>
      <c r="J3200" s="18"/>
      <c r="N3200" s="16"/>
      <c r="O3200" s="17"/>
      <c r="P3200" s="17"/>
      <c r="Q3200" s="22"/>
      <c r="R3200" s="23"/>
    </row>
    <row r="3201" spans="1:18" ht="12.75">
      <c r="A3201" s="22"/>
      <c r="D3201" s="19"/>
      <c r="H3201" s="18"/>
      <c r="J3201" s="18"/>
      <c r="N3201" s="16"/>
      <c r="O3201" s="17"/>
      <c r="P3201" s="17"/>
      <c r="Q3201" s="22"/>
      <c r="R3201" s="23"/>
    </row>
    <row r="3202" spans="1:18" ht="12.75">
      <c r="A3202" s="22"/>
      <c r="D3202" s="19"/>
      <c r="H3202" s="18"/>
      <c r="J3202" s="18"/>
      <c r="N3202" s="16"/>
      <c r="O3202" s="17"/>
      <c r="P3202" s="17"/>
      <c r="Q3202" s="22"/>
      <c r="R3202" s="23"/>
    </row>
    <row r="3203" spans="1:18" ht="12.75">
      <c r="A3203" s="22"/>
      <c r="D3203" s="19"/>
      <c r="H3203" s="18"/>
      <c r="J3203" s="18"/>
      <c r="N3203" s="16"/>
      <c r="O3203" s="17"/>
      <c r="P3203" s="17"/>
      <c r="Q3203" s="22"/>
      <c r="R3203" s="23"/>
    </row>
    <row r="3204" spans="1:18" ht="12.75">
      <c r="A3204" s="22"/>
      <c r="D3204" s="19"/>
      <c r="H3204" s="18"/>
      <c r="J3204" s="18"/>
      <c r="N3204" s="16"/>
      <c r="O3204" s="17"/>
      <c r="P3204" s="17"/>
      <c r="Q3204" s="22"/>
      <c r="R3204" s="23"/>
    </row>
    <row r="3205" spans="1:18" ht="12.75">
      <c r="A3205" s="22"/>
      <c r="D3205" s="19"/>
      <c r="H3205" s="18"/>
      <c r="J3205" s="18"/>
      <c r="N3205" s="16"/>
      <c r="O3205" s="17"/>
      <c r="P3205" s="17"/>
      <c r="Q3205" s="22"/>
      <c r="R3205" s="23"/>
    </row>
    <row r="3206" spans="1:18" ht="12.75">
      <c r="A3206" s="22"/>
      <c r="D3206" s="19"/>
      <c r="H3206" s="18"/>
      <c r="J3206" s="18"/>
      <c r="N3206" s="16"/>
      <c r="O3206" s="17"/>
      <c r="P3206" s="17"/>
      <c r="Q3206" s="22"/>
      <c r="R3206" s="23"/>
    </row>
    <row r="3207" spans="1:18" ht="12.75">
      <c r="A3207" s="22"/>
      <c r="D3207" s="19"/>
      <c r="H3207" s="18"/>
      <c r="J3207" s="18"/>
      <c r="N3207" s="16"/>
      <c r="O3207" s="17"/>
      <c r="P3207" s="17"/>
      <c r="Q3207" s="22"/>
      <c r="R3207" s="23"/>
    </row>
    <row r="3208" spans="1:18" ht="12.75">
      <c r="A3208" s="22"/>
      <c r="D3208" s="19"/>
      <c r="H3208" s="18"/>
      <c r="J3208" s="18"/>
      <c r="N3208" s="16"/>
      <c r="O3208" s="17"/>
      <c r="P3208" s="17"/>
      <c r="Q3208" s="22"/>
      <c r="R3208" s="23"/>
    </row>
    <row r="3209" spans="1:18" ht="12.75">
      <c r="A3209" s="22"/>
      <c r="D3209" s="19"/>
      <c r="H3209" s="18"/>
      <c r="J3209" s="18"/>
      <c r="N3209" s="16"/>
      <c r="O3209" s="17"/>
      <c r="P3209" s="17"/>
      <c r="Q3209" s="22"/>
      <c r="R3209" s="23"/>
    </row>
    <row r="3210" spans="1:18" ht="12.75">
      <c r="A3210" s="22"/>
      <c r="D3210" s="19"/>
      <c r="H3210" s="18"/>
      <c r="J3210" s="18"/>
      <c r="N3210" s="16"/>
      <c r="O3210" s="17"/>
      <c r="P3210" s="17"/>
      <c r="Q3210" s="22"/>
      <c r="R3210" s="23"/>
    </row>
    <row r="3211" spans="1:18" ht="12.75">
      <c r="A3211" s="22"/>
      <c r="D3211" s="19"/>
      <c r="H3211" s="18"/>
      <c r="J3211" s="18"/>
      <c r="N3211" s="16"/>
      <c r="O3211" s="17"/>
      <c r="P3211" s="17"/>
      <c r="Q3211" s="22"/>
      <c r="R3211" s="23"/>
    </row>
    <row r="3212" spans="1:18" ht="12.75">
      <c r="A3212" s="22"/>
      <c r="D3212" s="19"/>
      <c r="H3212" s="18"/>
      <c r="J3212" s="18"/>
      <c r="N3212" s="16"/>
      <c r="O3212" s="17"/>
      <c r="P3212" s="17"/>
      <c r="Q3212" s="22"/>
      <c r="R3212" s="23"/>
    </row>
    <row r="3213" spans="1:18" ht="12.75">
      <c r="A3213" s="22"/>
      <c r="D3213" s="19"/>
      <c r="H3213" s="18"/>
      <c r="J3213" s="18"/>
      <c r="N3213" s="16"/>
      <c r="O3213" s="17"/>
      <c r="P3213" s="17"/>
      <c r="Q3213" s="22"/>
      <c r="R3213" s="23"/>
    </row>
    <row r="3214" spans="1:18" ht="12.75">
      <c r="A3214" s="22"/>
      <c r="D3214" s="19"/>
      <c r="H3214" s="18"/>
      <c r="J3214" s="18"/>
      <c r="N3214" s="16"/>
      <c r="O3214" s="17"/>
      <c r="P3214" s="17"/>
      <c r="Q3214" s="22"/>
      <c r="R3214" s="23"/>
    </row>
    <row r="3215" spans="1:18" ht="12.75">
      <c r="A3215" s="22"/>
      <c r="D3215" s="19"/>
      <c r="H3215" s="18"/>
      <c r="J3215" s="18"/>
      <c r="N3215" s="16"/>
      <c r="O3215" s="17"/>
      <c r="P3215" s="17"/>
      <c r="Q3215" s="22"/>
      <c r="R3215" s="23"/>
    </row>
    <row r="3216" spans="1:18" ht="12.75">
      <c r="A3216" s="22"/>
      <c r="D3216" s="19"/>
      <c r="H3216" s="18"/>
      <c r="J3216" s="18"/>
      <c r="N3216" s="16"/>
      <c r="O3216" s="17"/>
      <c r="P3216" s="17"/>
      <c r="Q3216" s="22"/>
      <c r="R3216" s="23"/>
    </row>
    <row r="3217" spans="1:18" ht="12.75">
      <c r="A3217" s="22"/>
      <c r="D3217" s="19"/>
      <c r="H3217" s="18"/>
      <c r="J3217" s="18"/>
      <c r="N3217" s="16"/>
      <c r="O3217" s="17"/>
      <c r="P3217" s="17"/>
      <c r="Q3217" s="22"/>
      <c r="R3217" s="23"/>
    </row>
    <row r="3218" spans="1:18" ht="12.75">
      <c r="A3218" s="22"/>
      <c r="D3218" s="19"/>
      <c r="H3218" s="18"/>
      <c r="J3218" s="18"/>
      <c r="N3218" s="16"/>
      <c r="O3218" s="17"/>
      <c r="P3218" s="17"/>
      <c r="Q3218" s="22"/>
      <c r="R3218" s="23"/>
    </row>
    <row r="3219" spans="1:18" ht="12.75">
      <c r="A3219" s="22"/>
      <c r="D3219" s="19"/>
      <c r="H3219" s="18"/>
      <c r="J3219" s="18"/>
      <c r="N3219" s="16"/>
      <c r="O3219" s="17"/>
      <c r="P3219" s="17"/>
      <c r="Q3219" s="22"/>
      <c r="R3219" s="23"/>
    </row>
    <row r="3220" spans="1:18" ht="12.75">
      <c r="A3220" s="22"/>
      <c r="D3220" s="19"/>
      <c r="H3220" s="18"/>
      <c r="J3220" s="18"/>
      <c r="N3220" s="16"/>
      <c r="O3220" s="17"/>
      <c r="P3220" s="17"/>
      <c r="Q3220" s="22"/>
      <c r="R3220" s="23"/>
    </row>
    <row r="3221" spans="1:18" ht="12.75">
      <c r="A3221" s="22"/>
      <c r="D3221" s="19"/>
      <c r="H3221" s="18"/>
      <c r="J3221" s="18"/>
      <c r="N3221" s="16"/>
      <c r="O3221" s="17"/>
      <c r="P3221" s="17"/>
      <c r="Q3221" s="22"/>
      <c r="R3221" s="23"/>
    </row>
    <row r="3222" spans="1:18" ht="12.75">
      <c r="A3222" s="22"/>
      <c r="D3222" s="19"/>
      <c r="H3222" s="18"/>
      <c r="J3222" s="18"/>
      <c r="N3222" s="16"/>
      <c r="O3222" s="17"/>
      <c r="P3222" s="17"/>
      <c r="Q3222" s="22"/>
      <c r="R3222" s="23"/>
    </row>
    <row r="3223" spans="1:18" ht="12.75">
      <c r="A3223" s="22"/>
      <c r="D3223" s="19"/>
      <c r="H3223" s="18"/>
      <c r="J3223" s="18"/>
      <c r="N3223" s="16"/>
      <c r="O3223" s="17"/>
      <c r="P3223" s="17"/>
      <c r="Q3223" s="22"/>
      <c r="R3223" s="23"/>
    </row>
    <row r="3224" spans="1:18" ht="12.75">
      <c r="A3224" s="22"/>
      <c r="D3224" s="19"/>
      <c r="H3224" s="18"/>
      <c r="J3224" s="18"/>
      <c r="N3224" s="16"/>
      <c r="O3224" s="17"/>
      <c r="P3224" s="17"/>
      <c r="Q3224" s="22"/>
      <c r="R3224" s="23"/>
    </row>
    <row r="3225" spans="1:18" ht="12.75">
      <c r="A3225" s="22"/>
      <c r="D3225" s="19"/>
      <c r="H3225" s="18"/>
      <c r="J3225" s="18"/>
      <c r="N3225" s="16"/>
      <c r="O3225" s="17"/>
      <c r="P3225" s="17"/>
      <c r="Q3225" s="22"/>
      <c r="R3225" s="23"/>
    </row>
    <row r="3226" spans="1:18" ht="12.75">
      <c r="A3226" s="22"/>
      <c r="D3226" s="19"/>
      <c r="H3226" s="18"/>
      <c r="J3226" s="18"/>
      <c r="N3226" s="16"/>
      <c r="O3226" s="17"/>
      <c r="P3226" s="17"/>
      <c r="Q3226" s="22"/>
      <c r="R3226" s="23"/>
    </row>
    <row r="3227" spans="1:18" ht="12.75">
      <c r="A3227" s="22"/>
      <c r="D3227" s="19"/>
      <c r="H3227" s="18"/>
      <c r="J3227" s="18"/>
      <c r="N3227" s="16"/>
      <c r="O3227" s="17"/>
      <c r="P3227" s="17"/>
      <c r="Q3227" s="22"/>
      <c r="R3227" s="23"/>
    </row>
    <row r="3228" spans="1:18" ht="12.75">
      <c r="A3228" s="22"/>
      <c r="D3228" s="19"/>
      <c r="H3228" s="18"/>
      <c r="J3228" s="18"/>
      <c r="N3228" s="16"/>
      <c r="O3228" s="17"/>
      <c r="P3228" s="17"/>
      <c r="Q3228" s="22"/>
      <c r="R3228" s="23"/>
    </row>
    <row r="3229" spans="1:18" ht="12.75">
      <c r="A3229" s="22"/>
      <c r="D3229" s="19"/>
      <c r="H3229" s="18"/>
      <c r="J3229" s="18"/>
      <c r="N3229" s="16"/>
      <c r="O3229" s="17"/>
      <c r="P3229" s="17"/>
      <c r="Q3229" s="22"/>
      <c r="R3229" s="23"/>
    </row>
    <row r="3230" spans="1:18" ht="12.75">
      <c r="A3230" s="22"/>
      <c r="D3230" s="19"/>
      <c r="H3230" s="18"/>
      <c r="J3230" s="18"/>
      <c r="N3230" s="16"/>
      <c r="O3230" s="17"/>
      <c r="P3230" s="17"/>
      <c r="Q3230" s="22"/>
      <c r="R3230" s="23"/>
    </row>
    <row r="3231" spans="1:18" ht="12.75">
      <c r="A3231" s="22"/>
      <c r="D3231" s="19"/>
      <c r="H3231" s="18"/>
      <c r="J3231" s="18"/>
      <c r="N3231" s="16"/>
      <c r="O3231" s="17"/>
      <c r="P3231" s="17"/>
      <c r="Q3231" s="22"/>
      <c r="R3231" s="23"/>
    </row>
    <row r="3232" spans="1:18" ht="12.75">
      <c r="A3232" s="22"/>
      <c r="D3232" s="19"/>
      <c r="H3232" s="18"/>
      <c r="J3232" s="18"/>
      <c r="N3232" s="16"/>
      <c r="O3232" s="17"/>
      <c r="P3232" s="17"/>
      <c r="Q3232" s="22"/>
      <c r="R3232" s="23"/>
    </row>
    <row r="3233" spans="1:18" ht="12.75">
      <c r="A3233" s="22"/>
      <c r="D3233" s="19"/>
      <c r="H3233" s="18"/>
      <c r="J3233" s="18"/>
      <c r="N3233" s="16"/>
      <c r="O3233" s="17"/>
      <c r="P3233" s="17"/>
      <c r="Q3233" s="22"/>
      <c r="R3233" s="23"/>
    </row>
    <row r="3234" spans="1:18" ht="12.75">
      <c r="A3234" s="22"/>
      <c r="D3234" s="19"/>
      <c r="H3234" s="18"/>
      <c r="J3234" s="18"/>
      <c r="N3234" s="16"/>
      <c r="O3234" s="17"/>
      <c r="P3234" s="17"/>
      <c r="Q3234" s="22"/>
      <c r="R3234" s="23"/>
    </row>
    <row r="3235" spans="1:18" ht="12.75">
      <c r="A3235" s="22"/>
      <c r="D3235" s="19"/>
      <c r="H3235" s="18"/>
      <c r="J3235" s="18"/>
      <c r="N3235" s="16"/>
      <c r="O3235" s="17"/>
      <c r="P3235" s="17"/>
      <c r="Q3235" s="22"/>
      <c r="R3235" s="23"/>
    </row>
    <row r="3236" spans="1:18" ht="12.75">
      <c r="A3236" s="22"/>
      <c r="D3236" s="19"/>
      <c r="H3236" s="18"/>
      <c r="J3236" s="18"/>
      <c r="N3236" s="16"/>
      <c r="O3236" s="17"/>
      <c r="P3236" s="17"/>
      <c r="Q3236" s="22"/>
      <c r="R3236" s="23"/>
    </row>
    <row r="3237" spans="1:18" ht="12.75">
      <c r="A3237" s="22"/>
      <c r="D3237" s="19"/>
      <c r="H3237" s="18"/>
      <c r="J3237" s="18"/>
      <c r="N3237" s="16"/>
      <c r="O3237" s="17"/>
      <c r="P3237" s="17"/>
      <c r="Q3237" s="22"/>
      <c r="R3237" s="23"/>
    </row>
    <row r="3238" spans="1:18" ht="12.75">
      <c r="A3238" s="22"/>
      <c r="D3238" s="19"/>
      <c r="H3238" s="18"/>
      <c r="J3238" s="18"/>
      <c r="N3238" s="16"/>
      <c r="O3238" s="17"/>
      <c r="P3238" s="17"/>
      <c r="Q3238" s="22"/>
      <c r="R3238" s="23"/>
    </row>
    <row r="3239" spans="1:18" ht="12.75">
      <c r="A3239" s="22"/>
      <c r="D3239" s="19"/>
      <c r="H3239" s="18"/>
      <c r="J3239" s="18"/>
      <c r="N3239" s="16"/>
      <c r="O3239" s="17"/>
      <c r="P3239" s="17"/>
      <c r="Q3239" s="22"/>
      <c r="R3239" s="23"/>
    </row>
    <row r="3240" spans="1:18" ht="12.75">
      <c r="A3240" s="22"/>
      <c r="D3240" s="19"/>
      <c r="H3240" s="18"/>
      <c r="J3240" s="18"/>
      <c r="N3240" s="16"/>
      <c r="O3240" s="17"/>
      <c r="P3240" s="17"/>
      <c r="Q3240" s="22"/>
      <c r="R3240" s="23"/>
    </row>
    <row r="3241" spans="1:18" ht="12.75">
      <c r="A3241" s="22"/>
      <c r="D3241" s="19"/>
      <c r="H3241" s="18"/>
      <c r="J3241" s="18"/>
      <c r="N3241" s="16"/>
      <c r="O3241" s="17"/>
      <c r="P3241" s="17"/>
      <c r="Q3241" s="22"/>
      <c r="R3241" s="23"/>
    </row>
    <row r="3242" spans="1:18" ht="12.75">
      <c r="A3242" s="22"/>
      <c r="D3242" s="19"/>
      <c r="H3242" s="18"/>
      <c r="J3242" s="18"/>
      <c r="N3242" s="16"/>
      <c r="O3242" s="17"/>
      <c r="P3242" s="17"/>
      <c r="Q3242" s="22"/>
      <c r="R3242" s="23"/>
    </row>
    <row r="3243" spans="1:18" ht="12.75">
      <c r="A3243" s="22"/>
      <c r="D3243" s="19"/>
      <c r="H3243" s="18"/>
      <c r="J3243" s="18"/>
      <c r="N3243" s="16"/>
      <c r="O3243" s="17"/>
      <c r="P3243" s="17"/>
      <c r="Q3243" s="22"/>
      <c r="R3243" s="23"/>
    </row>
    <row r="3244" spans="1:18" ht="12.75">
      <c r="A3244" s="22"/>
      <c r="D3244" s="19"/>
      <c r="H3244" s="18"/>
      <c r="J3244" s="18"/>
      <c r="N3244" s="16"/>
      <c r="O3244" s="17"/>
      <c r="P3244" s="17"/>
      <c r="Q3244" s="22"/>
      <c r="R3244" s="23"/>
    </row>
    <row r="3245" spans="1:18" ht="12.75">
      <c r="A3245" s="22"/>
      <c r="D3245" s="19"/>
      <c r="H3245" s="18"/>
      <c r="J3245" s="18"/>
      <c r="N3245" s="16"/>
      <c r="O3245" s="17"/>
      <c r="P3245" s="17"/>
      <c r="Q3245" s="22"/>
      <c r="R3245" s="23"/>
    </row>
    <row r="3246" spans="1:18" ht="12.75">
      <c r="A3246" s="22"/>
      <c r="D3246" s="19"/>
      <c r="H3246" s="18"/>
      <c r="J3246" s="18"/>
      <c r="N3246" s="16"/>
      <c r="O3246" s="17"/>
      <c r="P3246" s="17"/>
      <c r="Q3246" s="22"/>
      <c r="R3246" s="23"/>
    </row>
    <row r="3247" spans="1:18" ht="12.75">
      <c r="A3247" s="22"/>
      <c r="D3247" s="19"/>
      <c r="H3247" s="18"/>
      <c r="J3247" s="18"/>
      <c r="N3247" s="16"/>
      <c r="O3247" s="17"/>
      <c r="P3247" s="17"/>
      <c r="Q3247" s="22"/>
      <c r="R3247" s="23"/>
    </row>
    <row r="3248" spans="1:18" ht="12.75">
      <c r="A3248" s="22"/>
      <c r="D3248" s="19"/>
      <c r="H3248" s="18"/>
      <c r="J3248" s="18"/>
      <c r="N3248" s="16"/>
      <c r="O3248" s="17"/>
      <c r="P3248" s="17"/>
      <c r="Q3248" s="22"/>
      <c r="R3248" s="23"/>
    </row>
    <row r="3249" spans="1:18" ht="12.75">
      <c r="A3249" s="22"/>
      <c r="D3249" s="19"/>
      <c r="H3249" s="18"/>
      <c r="J3249" s="18"/>
      <c r="N3249" s="16"/>
      <c r="O3249" s="17"/>
      <c r="P3249" s="17"/>
      <c r="Q3249" s="22"/>
      <c r="R3249" s="23"/>
    </row>
    <row r="3250" spans="1:18" ht="12.75">
      <c r="A3250" s="22"/>
      <c r="D3250" s="19"/>
      <c r="H3250" s="18"/>
      <c r="J3250" s="18"/>
      <c r="N3250" s="16"/>
      <c r="O3250" s="17"/>
      <c r="P3250" s="17"/>
      <c r="Q3250" s="22"/>
      <c r="R3250" s="23"/>
    </row>
    <row r="3251" spans="1:18" ht="12.75">
      <c r="A3251" s="22"/>
      <c r="D3251" s="19"/>
      <c r="H3251" s="18"/>
      <c r="J3251" s="18"/>
      <c r="N3251" s="16"/>
      <c r="O3251" s="17"/>
      <c r="P3251" s="17"/>
      <c r="Q3251" s="22"/>
      <c r="R3251" s="23"/>
    </row>
    <row r="3252" spans="1:18" ht="12.75">
      <c r="A3252" s="22"/>
      <c r="D3252" s="19"/>
      <c r="H3252" s="18"/>
      <c r="J3252" s="18"/>
      <c r="N3252" s="16"/>
      <c r="O3252" s="17"/>
      <c r="P3252" s="17"/>
      <c r="Q3252" s="22"/>
      <c r="R3252" s="23"/>
    </row>
    <row r="3253" spans="1:18" ht="12.75">
      <c r="A3253" s="22"/>
      <c r="D3253" s="19"/>
      <c r="H3253" s="18"/>
      <c r="J3253" s="18"/>
      <c r="N3253" s="16"/>
      <c r="O3253" s="17"/>
      <c r="P3253" s="17"/>
      <c r="Q3253" s="22"/>
      <c r="R3253" s="23"/>
    </row>
    <row r="3254" spans="1:18" ht="12.75">
      <c r="A3254" s="22"/>
      <c r="D3254" s="19"/>
      <c r="H3254" s="18"/>
      <c r="J3254" s="18"/>
      <c r="N3254" s="16"/>
      <c r="O3254" s="17"/>
      <c r="P3254" s="17"/>
      <c r="Q3254" s="22"/>
      <c r="R3254" s="23"/>
    </row>
    <row r="3255" spans="1:18" ht="12.75">
      <c r="A3255" s="22"/>
      <c r="D3255" s="19"/>
      <c r="H3255" s="18"/>
      <c r="J3255" s="18"/>
      <c r="N3255" s="16"/>
      <c r="O3255" s="17"/>
      <c r="P3255" s="17"/>
      <c r="Q3255" s="22"/>
      <c r="R3255" s="23"/>
    </row>
    <row r="3256" spans="1:18" ht="12.75">
      <c r="A3256" s="22"/>
      <c r="D3256" s="19"/>
      <c r="H3256" s="18"/>
      <c r="J3256" s="18"/>
      <c r="N3256" s="16"/>
      <c r="O3256" s="17"/>
      <c r="P3256" s="17"/>
      <c r="Q3256" s="22"/>
      <c r="R3256" s="23"/>
    </row>
    <row r="3257" spans="1:18" ht="12.75">
      <c r="A3257" s="22"/>
      <c r="D3257" s="19"/>
      <c r="H3257" s="18"/>
      <c r="J3257" s="18"/>
      <c r="N3257" s="16"/>
      <c r="O3257" s="17"/>
      <c r="P3257" s="17"/>
      <c r="Q3257" s="22"/>
      <c r="R3257" s="23"/>
    </row>
    <row r="3258" spans="1:18" ht="12.75">
      <c r="A3258" s="22"/>
      <c r="D3258" s="19"/>
      <c r="H3258" s="18"/>
      <c r="J3258" s="18"/>
      <c r="N3258" s="16"/>
      <c r="O3258" s="17"/>
      <c r="P3258" s="17"/>
      <c r="Q3258" s="22"/>
      <c r="R3258" s="23"/>
    </row>
    <row r="3259" spans="1:18" ht="12.75">
      <c r="A3259" s="22"/>
      <c r="D3259" s="19"/>
      <c r="H3259" s="18"/>
      <c r="J3259" s="18"/>
      <c r="N3259" s="16"/>
      <c r="O3259" s="17"/>
      <c r="P3259" s="17"/>
      <c r="Q3259" s="22"/>
      <c r="R3259" s="23"/>
    </row>
    <row r="3260" spans="1:18" ht="12.75">
      <c r="A3260" s="22"/>
      <c r="D3260" s="19"/>
      <c r="H3260" s="18"/>
      <c r="J3260" s="18"/>
      <c r="N3260" s="16"/>
      <c r="O3260" s="17"/>
      <c r="P3260" s="17"/>
      <c r="Q3260" s="22"/>
      <c r="R3260" s="23"/>
    </row>
    <row r="3261" spans="1:18" ht="12.75">
      <c r="A3261" s="22"/>
      <c r="D3261" s="19"/>
      <c r="H3261" s="18"/>
      <c r="J3261" s="18"/>
      <c r="N3261" s="16"/>
      <c r="O3261" s="17"/>
      <c r="P3261" s="17"/>
      <c r="Q3261" s="22"/>
      <c r="R3261" s="23"/>
    </row>
    <row r="3262" spans="1:18" ht="12.75">
      <c r="A3262" s="22"/>
      <c r="D3262" s="19"/>
      <c r="H3262" s="18"/>
      <c r="J3262" s="18"/>
      <c r="N3262" s="16"/>
      <c r="O3262" s="17"/>
      <c r="P3262" s="17"/>
      <c r="Q3262" s="22"/>
      <c r="R3262" s="23"/>
    </row>
    <row r="3263" spans="1:18" ht="12.75">
      <c r="A3263" s="22"/>
      <c r="D3263" s="19"/>
      <c r="H3263" s="18"/>
      <c r="J3263" s="18"/>
      <c r="N3263" s="16"/>
      <c r="O3263" s="17"/>
      <c r="P3263" s="17"/>
      <c r="Q3263" s="22"/>
      <c r="R3263" s="23"/>
    </row>
    <row r="3264" spans="1:18" ht="12.75">
      <c r="A3264" s="22"/>
      <c r="D3264" s="19"/>
      <c r="H3264" s="18"/>
      <c r="J3264" s="18"/>
      <c r="N3264" s="16"/>
      <c r="O3264" s="17"/>
      <c r="P3264" s="17"/>
      <c r="Q3264" s="22"/>
      <c r="R3264" s="23"/>
    </row>
    <row r="3265" spans="1:18" ht="12.75">
      <c r="A3265" s="22"/>
      <c r="D3265" s="19"/>
      <c r="H3265" s="18"/>
      <c r="J3265" s="18"/>
      <c r="N3265" s="16"/>
      <c r="O3265" s="17"/>
      <c r="P3265" s="17"/>
      <c r="Q3265" s="22"/>
      <c r="R3265" s="23"/>
    </row>
    <row r="3266" spans="1:18" ht="12.75">
      <c r="A3266" s="22"/>
      <c r="D3266" s="19"/>
      <c r="H3266" s="18"/>
      <c r="J3266" s="18"/>
      <c r="N3266" s="16"/>
      <c r="O3266" s="17"/>
      <c r="P3266" s="17"/>
      <c r="Q3266" s="22"/>
      <c r="R3266" s="23"/>
    </row>
    <row r="3267" spans="1:18" ht="12.75">
      <c r="A3267" s="22"/>
      <c r="D3267" s="19"/>
      <c r="H3267" s="18"/>
      <c r="J3267" s="18"/>
      <c r="N3267" s="16"/>
      <c r="O3267" s="17"/>
      <c r="P3267" s="17"/>
      <c r="Q3267" s="22"/>
      <c r="R3267" s="23"/>
    </row>
    <row r="3268" spans="1:18" ht="12.75">
      <c r="A3268" s="22"/>
      <c r="D3268" s="19"/>
      <c r="H3268" s="18"/>
      <c r="J3268" s="18"/>
      <c r="N3268" s="16"/>
      <c r="O3268" s="17"/>
      <c r="P3268" s="17"/>
      <c r="Q3268" s="22"/>
      <c r="R3268" s="23"/>
    </row>
    <row r="3269" spans="1:18" ht="12.75">
      <c r="A3269" s="22"/>
      <c r="D3269" s="19"/>
      <c r="H3269" s="18"/>
      <c r="J3269" s="18"/>
      <c r="N3269" s="16"/>
      <c r="O3269" s="17"/>
      <c r="P3269" s="17"/>
      <c r="Q3269" s="22"/>
      <c r="R3269" s="23"/>
    </row>
    <row r="3270" spans="1:18" ht="12.75">
      <c r="A3270" s="22"/>
      <c r="D3270" s="19"/>
      <c r="H3270" s="18"/>
      <c r="J3270" s="18"/>
      <c r="N3270" s="16"/>
      <c r="O3270" s="17"/>
      <c r="P3270" s="17"/>
      <c r="Q3270" s="22"/>
      <c r="R3270" s="23"/>
    </row>
    <row r="3271" spans="1:18" ht="12.75">
      <c r="A3271" s="22"/>
      <c r="D3271" s="19"/>
      <c r="H3271" s="18"/>
      <c r="J3271" s="18"/>
      <c r="N3271" s="16"/>
      <c r="O3271" s="17"/>
      <c r="P3271" s="17"/>
      <c r="Q3271" s="22"/>
      <c r="R3271" s="23"/>
    </row>
    <row r="3272" spans="1:18" ht="12.75">
      <c r="A3272" s="22"/>
      <c r="D3272" s="19"/>
      <c r="H3272" s="18"/>
      <c r="J3272" s="18"/>
      <c r="N3272" s="16"/>
      <c r="O3272" s="17"/>
      <c r="P3272" s="17"/>
      <c r="Q3272" s="22"/>
      <c r="R3272" s="23"/>
    </row>
    <row r="3273" spans="1:18" ht="12.75">
      <c r="A3273" s="22"/>
      <c r="D3273" s="19"/>
      <c r="H3273" s="18"/>
      <c r="J3273" s="18"/>
      <c r="N3273" s="16"/>
      <c r="O3273" s="17"/>
      <c r="P3273" s="17"/>
      <c r="Q3273" s="22"/>
      <c r="R3273" s="23"/>
    </row>
    <row r="3274" spans="1:18" ht="12.75">
      <c r="A3274" s="22"/>
      <c r="D3274" s="19"/>
      <c r="H3274" s="18"/>
      <c r="J3274" s="18"/>
      <c r="N3274" s="16"/>
      <c r="O3274" s="17"/>
      <c r="P3274" s="17"/>
      <c r="Q3274" s="22"/>
      <c r="R3274" s="23"/>
    </row>
    <row r="3275" spans="1:18" ht="12.75">
      <c r="A3275" s="22"/>
      <c r="D3275" s="19"/>
      <c r="H3275" s="18"/>
      <c r="J3275" s="18"/>
      <c r="N3275" s="16"/>
      <c r="O3275" s="17"/>
      <c r="P3275" s="17"/>
      <c r="Q3275" s="22"/>
      <c r="R3275" s="23"/>
    </row>
    <row r="3276" spans="1:18" ht="12.75">
      <c r="A3276" s="22"/>
      <c r="D3276" s="19"/>
      <c r="H3276" s="18"/>
      <c r="J3276" s="18"/>
      <c r="N3276" s="16"/>
      <c r="O3276" s="17"/>
      <c r="P3276" s="17"/>
      <c r="Q3276" s="22"/>
      <c r="R3276" s="23"/>
    </row>
    <row r="3277" spans="1:18" ht="12.75">
      <c r="A3277" s="22"/>
      <c r="D3277" s="19"/>
      <c r="H3277" s="18"/>
      <c r="J3277" s="18"/>
      <c r="N3277" s="16"/>
      <c r="O3277" s="17"/>
      <c r="P3277" s="17"/>
      <c r="Q3277" s="22"/>
      <c r="R3277" s="23"/>
    </row>
    <row r="3278" spans="1:18" ht="12.75">
      <c r="A3278" s="22"/>
      <c r="D3278" s="19"/>
      <c r="H3278" s="18"/>
      <c r="J3278" s="18"/>
      <c r="N3278" s="16"/>
      <c r="O3278" s="17"/>
      <c r="P3278" s="17"/>
      <c r="Q3278" s="22"/>
      <c r="R3278" s="23"/>
    </row>
    <row r="3279" spans="1:18" ht="12.75">
      <c r="A3279" s="22"/>
      <c r="D3279" s="19"/>
      <c r="H3279" s="18"/>
      <c r="J3279" s="18"/>
      <c r="N3279" s="16"/>
      <c r="O3279" s="17"/>
      <c r="P3279" s="17"/>
      <c r="Q3279" s="22"/>
      <c r="R3279" s="23"/>
    </row>
    <row r="3280" spans="1:18" ht="12.75">
      <c r="A3280" s="22"/>
      <c r="D3280" s="19"/>
      <c r="H3280" s="18"/>
      <c r="J3280" s="18"/>
      <c r="N3280" s="16"/>
      <c r="O3280" s="17"/>
      <c r="P3280" s="17"/>
      <c r="Q3280" s="22"/>
      <c r="R3280" s="23"/>
    </row>
    <row r="3281" spans="1:18" ht="12.75">
      <c r="A3281" s="22"/>
      <c r="D3281" s="19"/>
      <c r="H3281" s="18"/>
      <c r="J3281" s="18"/>
      <c r="N3281" s="16"/>
      <c r="O3281" s="17"/>
      <c r="P3281" s="17"/>
      <c r="Q3281" s="22"/>
      <c r="R3281" s="23"/>
    </row>
    <row r="3282" spans="1:18" ht="12.75">
      <c r="A3282" s="22"/>
      <c r="D3282" s="19"/>
      <c r="H3282" s="18"/>
      <c r="J3282" s="18"/>
      <c r="N3282" s="16"/>
      <c r="O3282" s="17"/>
      <c r="P3282" s="17"/>
      <c r="Q3282" s="22"/>
      <c r="R3282" s="23"/>
    </row>
    <row r="3283" spans="1:18" ht="12.75">
      <c r="A3283" s="22"/>
      <c r="D3283" s="19"/>
      <c r="H3283" s="18"/>
      <c r="J3283" s="18"/>
      <c r="N3283" s="16"/>
      <c r="O3283" s="17"/>
      <c r="P3283" s="17"/>
      <c r="Q3283" s="22"/>
      <c r="R3283" s="23"/>
    </row>
    <row r="3284" spans="1:18" ht="12.75">
      <c r="A3284" s="22"/>
      <c r="D3284" s="19"/>
      <c r="H3284" s="18"/>
      <c r="J3284" s="18"/>
      <c r="N3284" s="16"/>
      <c r="O3284" s="17"/>
      <c r="P3284" s="17"/>
      <c r="Q3284" s="22"/>
      <c r="R3284" s="23"/>
    </row>
    <row r="3285" spans="1:18" ht="12.75">
      <c r="A3285" s="22"/>
      <c r="D3285" s="19"/>
      <c r="H3285" s="18"/>
      <c r="J3285" s="18"/>
      <c r="N3285" s="16"/>
      <c r="O3285" s="17"/>
      <c r="P3285" s="17"/>
      <c r="Q3285" s="22"/>
      <c r="R3285" s="23"/>
    </row>
    <row r="3286" spans="1:18" ht="12.75">
      <c r="A3286" s="22"/>
      <c r="D3286" s="19"/>
      <c r="H3286" s="18"/>
      <c r="J3286" s="18"/>
      <c r="N3286" s="16"/>
      <c r="O3286" s="17"/>
      <c r="P3286" s="17"/>
      <c r="Q3286" s="22"/>
      <c r="R3286" s="23"/>
    </row>
    <row r="3287" spans="1:18" ht="12.75">
      <c r="A3287" s="22"/>
      <c r="D3287" s="19"/>
      <c r="H3287" s="18"/>
      <c r="J3287" s="18"/>
      <c r="N3287" s="16"/>
      <c r="O3287" s="17"/>
      <c r="P3287" s="17"/>
      <c r="Q3287" s="22"/>
      <c r="R3287" s="23"/>
    </row>
    <row r="3288" spans="1:18" ht="12.75">
      <c r="A3288" s="22"/>
      <c r="D3288" s="19"/>
      <c r="H3288" s="18"/>
      <c r="J3288" s="18"/>
      <c r="N3288" s="16"/>
      <c r="O3288" s="17"/>
      <c r="P3288" s="17"/>
      <c r="Q3288" s="22"/>
      <c r="R3288" s="23"/>
    </row>
    <row r="3289" spans="1:18" ht="12.75">
      <c r="A3289" s="22"/>
      <c r="D3289" s="19"/>
      <c r="H3289" s="18"/>
      <c r="J3289" s="18"/>
      <c r="N3289" s="16"/>
      <c r="O3289" s="17"/>
      <c r="P3289" s="17"/>
      <c r="Q3289" s="22"/>
      <c r="R3289" s="23"/>
    </row>
    <row r="3290" spans="1:18" ht="12.75">
      <c r="A3290" s="22"/>
      <c r="D3290" s="19"/>
      <c r="H3290" s="18"/>
      <c r="J3290" s="18"/>
      <c r="N3290" s="16"/>
      <c r="O3290" s="17"/>
      <c r="P3290" s="17"/>
      <c r="Q3290" s="22"/>
      <c r="R3290" s="23"/>
    </row>
    <row r="3291" spans="1:18" ht="12.75">
      <c r="A3291" s="22"/>
      <c r="D3291" s="19"/>
      <c r="H3291" s="18"/>
      <c r="J3291" s="18"/>
      <c r="N3291" s="16"/>
      <c r="O3291" s="17"/>
      <c r="P3291" s="17"/>
      <c r="Q3291" s="22"/>
      <c r="R3291" s="23"/>
    </row>
    <row r="3292" spans="1:18" ht="12.75">
      <c r="A3292" s="22"/>
      <c r="D3292" s="19"/>
      <c r="H3292" s="18"/>
      <c r="J3292" s="18"/>
      <c r="N3292" s="16"/>
      <c r="O3292" s="17"/>
      <c r="P3292" s="17"/>
      <c r="Q3292" s="22"/>
      <c r="R3292" s="23"/>
    </row>
    <row r="3293" spans="1:18" ht="12.75">
      <c r="A3293" s="22"/>
      <c r="D3293" s="19"/>
      <c r="H3293" s="18"/>
      <c r="J3293" s="18"/>
      <c r="N3293" s="16"/>
      <c r="O3293" s="17"/>
      <c r="P3293" s="17"/>
      <c r="Q3293" s="22"/>
      <c r="R3293" s="23"/>
    </row>
    <row r="3294" spans="1:18" ht="12.75">
      <c r="A3294" s="22"/>
      <c r="D3294" s="19"/>
      <c r="H3294" s="18"/>
      <c r="J3294" s="18"/>
      <c r="N3294" s="16"/>
      <c r="O3294" s="17"/>
      <c r="P3294" s="17"/>
      <c r="Q3294" s="22"/>
      <c r="R3294" s="23"/>
    </row>
    <row r="3295" spans="1:18" ht="12.75">
      <c r="A3295" s="22"/>
      <c r="D3295" s="19"/>
      <c r="H3295" s="18"/>
      <c r="J3295" s="18"/>
      <c r="N3295" s="16"/>
      <c r="O3295" s="17"/>
      <c r="P3295" s="17"/>
      <c r="Q3295" s="22"/>
      <c r="R3295" s="23"/>
    </row>
    <row r="3296" spans="1:18" ht="12.75">
      <c r="A3296" s="22"/>
      <c r="D3296" s="19"/>
      <c r="H3296" s="18"/>
      <c r="J3296" s="18"/>
      <c r="N3296" s="16"/>
      <c r="O3296" s="17"/>
      <c r="P3296" s="17"/>
      <c r="Q3296" s="22"/>
      <c r="R3296" s="23"/>
    </row>
    <row r="3297" spans="1:18" ht="12.75">
      <c r="A3297" s="22"/>
      <c r="D3297" s="19"/>
      <c r="H3297" s="18"/>
      <c r="J3297" s="18"/>
      <c r="N3297" s="16"/>
      <c r="O3297" s="17"/>
      <c r="P3297" s="17"/>
      <c r="Q3297" s="22"/>
      <c r="R3297" s="23"/>
    </row>
    <row r="3298" spans="1:18" ht="12.75">
      <c r="A3298" s="22"/>
      <c r="D3298" s="19"/>
      <c r="H3298" s="18"/>
      <c r="J3298" s="18"/>
      <c r="N3298" s="16"/>
      <c r="O3298" s="17"/>
      <c r="P3298" s="17"/>
      <c r="Q3298" s="22"/>
      <c r="R3298" s="23"/>
    </row>
    <row r="3299" spans="1:18" ht="12.75">
      <c r="A3299" s="22"/>
      <c r="D3299" s="19"/>
      <c r="H3299" s="18"/>
      <c r="J3299" s="18"/>
      <c r="N3299" s="16"/>
      <c r="O3299" s="17"/>
      <c r="P3299" s="17"/>
      <c r="Q3299" s="22"/>
      <c r="R3299" s="23"/>
    </row>
    <row r="3300" spans="1:18" ht="12.75">
      <c r="A3300" s="22"/>
      <c r="D3300" s="19"/>
      <c r="H3300" s="18"/>
      <c r="J3300" s="18"/>
      <c r="N3300" s="16"/>
      <c r="O3300" s="17"/>
      <c r="P3300" s="17"/>
      <c r="Q3300" s="22"/>
      <c r="R3300" s="23"/>
    </row>
    <row r="3301" spans="1:18" ht="12.75">
      <c r="A3301" s="22"/>
      <c r="D3301" s="19"/>
      <c r="H3301" s="18"/>
      <c r="J3301" s="18"/>
      <c r="N3301" s="16"/>
      <c r="O3301" s="17"/>
      <c r="P3301" s="17"/>
      <c r="Q3301" s="22"/>
      <c r="R3301" s="23"/>
    </row>
    <row r="3302" spans="1:18" ht="12.75">
      <c r="A3302" s="22"/>
      <c r="D3302" s="19"/>
      <c r="H3302" s="18"/>
      <c r="J3302" s="18"/>
      <c r="N3302" s="16"/>
      <c r="O3302" s="17"/>
      <c r="P3302" s="17"/>
      <c r="Q3302" s="22"/>
      <c r="R3302" s="23"/>
    </row>
    <row r="3303" spans="1:18" ht="12.75">
      <c r="A3303" s="22"/>
      <c r="D3303" s="19"/>
      <c r="H3303" s="18"/>
      <c r="J3303" s="18"/>
      <c r="N3303" s="16"/>
      <c r="O3303" s="17"/>
      <c r="P3303" s="17"/>
      <c r="Q3303" s="22"/>
      <c r="R3303" s="23"/>
    </row>
    <row r="3304" spans="1:18" ht="12.75">
      <c r="A3304" s="22"/>
      <c r="D3304" s="19"/>
      <c r="H3304" s="18"/>
      <c r="J3304" s="18"/>
      <c r="N3304" s="16"/>
      <c r="O3304" s="17"/>
      <c r="P3304" s="17"/>
      <c r="Q3304" s="22"/>
      <c r="R3304" s="23"/>
    </row>
    <row r="3305" spans="1:18" ht="12.75">
      <c r="A3305" s="22"/>
      <c r="D3305" s="19"/>
      <c r="H3305" s="18"/>
      <c r="J3305" s="18"/>
      <c r="N3305" s="16"/>
      <c r="O3305" s="17"/>
      <c r="P3305" s="17"/>
      <c r="Q3305" s="22"/>
      <c r="R3305" s="23"/>
    </row>
    <row r="3306" spans="1:18" ht="12.75">
      <c r="A3306" s="22"/>
      <c r="D3306" s="19"/>
      <c r="H3306" s="18"/>
      <c r="J3306" s="18"/>
      <c r="N3306" s="16"/>
      <c r="O3306" s="17"/>
      <c r="P3306" s="17"/>
      <c r="Q3306" s="22"/>
      <c r="R3306" s="23"/>
    </row>
    <row r="3307" spans="1:18" ht="12.75">
      <c r="A3307" s="22"/>
      <c r="D3307" s="19"/>
      <c r="H3307" s="18"/>
      <c r="J3307" s="18"/>
      <c r="N3307" s="16"/>
      <c r="O3307" s="17"/>
      <c r="P3307" s="17"/>
      <c r="Q3307" s="22"/>
      <c r="R3307" s="23"/>
    </row>
    <row r="3308" spans="1:18" ht="12.75">
      <c r="A3308" s="22"/>
      <c r="D3308" s="19"/>
      <c r="H3308" s="18"/>
      <c r="J3308" s="18"/>
      <c r="N3308" s="16"/>
      <c r="O3308" s="17"/>
      <c r="P3308" s="17"/>
      <c r="Q3308" s="22"/>
      <c r="R3308" s="23"/>
    </row>
    <row r="3309" spans="1:18" ht="12.75">
      <c r="A3309" s="22"/>
      <c r="D3309" s="19"/>
      <c r="H3309" s="18"/>
      <c r="J3309" s="18"/>
      <c r="N3309" s="16"/>
      <c r="O3309" s="17"/>
      <c r="P3309" s="17"/>
      <c r="Q3309" s="22"/>
      <c r="R3309" s="23"/>
    </row>
    <row r="3310" spans="1:18" ht="12.75">
      <c r="A3310" s="22"/>
      <c r="D3310" s="19"/>
      <c r="H3310" s="18"/>
      <c r="J3310" s="18"/>
      <c r="N3310" s="16"/>
      <c r="O3310" s="17"/>
      <c r="P3310" s="17"/>
      <c r="Q3310" s="22"/>
      <c r="R3310" s="23"/>
    </row>
    <row r="3311" spans="1:18" ht="12.75">
      <c r="A3311" s="22"/>
      <c r="D3311" s="19"/>
      <c r="H3311" s="18"/>
      <c r="J3311" s="18"/>
      <c r="N3311" s="16"/>
      <c r="O3311" s="17"/>
      <c r="P3311" s="17"/>
      <c r="Q3311" s="22"/>
      <c r="R3311" s="23"/>
    </row>
    <row r="3312" spans="1:18" ht="12.75">
      <c r="A3312" s="22"/>
      <c r="D3312" s="19"/>
      <c r="H3312" s="18"/>
      <c r="J3312" s="18"/>
      <c r="N3312" s="16"/>
      <c r="O3312" s="17"/>
      <c r="P3312" s="17"/>
      <c r="Q3312" s="22"/>
      <c r="R3312" s="23"/>
    </row>
    <row r="3313" spans="1:18" ht="12.75">
      <c r="A3313" s="22"/>
      <c r="D3313" s="19"/>
      <c r="H3313" s="18"/>
      <c r="J3313" s="18"/>
      <c r="N3313" s="16"/>
      <c r="O3313" s="17"/>
      <c r="P3313" s="17"/>
      <c r="Q3313" s="22"/>
      <c r="R3313" s="23"/>
    </row>
    <row r="3314" spans="1:18" ht="12.75">
      <c r="A3314" s="22"/>
      <c r="D3314" s="19"/>
      <c r="H3314" s="18"/>
      <c r="J3314" s="18"/>
      <c r="N3314" s="16"/>
      <c r="O3314" s="17"/>
      <c r="P3314" s="17"/>
      <c r="Q3314" s="22"/>
      <c r="R3314" s="23"/>
    </row>
    <row r="3315" spans="1:18" ht="12.75">
      <c r="A3315" s="22"/>
      <c r="D3315" s="19"/>
      <c r="H3315" s="18"/>
      <c r="J3315" s="18"/>
      <c r="N3315" s="16"/>
      <c r="O3315" s="17"/>
      <c r="P3315" s="17"/>
      <c r="Q3315" s="22"/>
      <c r="R3315" s="23"/>
    </row>
    <row r="3316" spans="1:18" ht="12.75">
      <c r="A3316" s="22"/>
      <c r="D3316" s="19"/>
      <c r="H3316" s="18"/>
      <c r="J3316" s="18"/>
      <c r="N3316" s="16"/>
      <c r="O3316" s="17"/>
      <c r="P3316" s="17"/>
      <c r="Q3316" s="22"/>
      <c r="R3316" s="23"/>
    </row>
    <row r="3317" spans="1:18" ht="12.75">
      <c r="A3317" s="22"/>
      <c r="D3317" s="19"/>
      <c r="H3317" s="18"/>
      <c r="J3317" s="18"/>
      <c r="N3317" s="16"/>
      <c r="O3317" s="17"/>
      <c r="P3317" s="17"/>
      <c r="Q3317" s="22"/>
      <c r="R3317" s="23"/>
    </row>
    <row r="3318" spans="1:18" ht="12.75">
      <c r="A3318" s="22"/>
      <c r="D3318" s="19"/>
      <c r="H3318" s="18"/>
      <c r="J3318" s="18"/>
      <c r="N3318" s="16"/>
      <c r="O3318" s="17"/>
      <c r="P3318" s="17"/>
      <c r="Q3318" s="22"/>
      <c r="R3318" s="23"/>
    </row>
    <row r="3319" spans="1:18" ht="12.75">
      <c r="A3319" s="22"/>
      <c r="D3319" s="19"/>
      <c r="H3319" s="18"/>
      <c r="J3319" s="18"/>
      <c r="N3319" s="16"/>
      <c r="O3319" s="17"/>
      <c r="P3319" s="17"/>
      <c r="Q3319" s="22"/>
      <c r="R3319" s="23"/>
    </row>
    <row r="3320" spans="1:18" ht="12.75">
      <c r="A3320" s="22"/>
      <c r="D3320" s="19"/>
      <c r="H3320" s="18"/>
      <c r="J3320" s="18"/>
      <c r="N3320" s="16"/>
      <c r="O3320" s="17"/>
      <c r="P3320" s="17"/>
      <c r="Q3320" s="22"/>
      <c r="R3320" s="23"/>
    </row>
    <row r="3321" spans="1:18" ht="12.75">
      <c r="A3321" s="22"/>
      <c r="D3321" s="19"/>
      <c r="H3321" s="18"/>
      <c r="J3321" s="18"/>
      <c r="N3321" s="16"/>
      <c r="O3321" s="17"/>
      <c r="P3321" s="17"/>
      <c r="Q3321" s="22"/>
      <c r="R3321" s="23"/>
    </row>
    <row r="3322" spans="1:18" ht="12.75">
      <c r="A3322" s="22"/>
      <c r="D3322" s="19"/>
      <c r="H3322" s="18"/>
      <c r="J3322" s="18"/>
      <c r="N3322" s="16"/>
      <c r="O3322" s="17"/>
      <c r="P3322" s="17"/>
      <c r="Q3322" s="22"/>
      <c r="R3322" s="23"/>
    </row>
    <row r="3323" spans="1:18" ht="12.75">
      <c r="A3323" s="22"/>
      <c r="D3323" s="19"/>
      <c r="H3323" s="18"/>
      <c r="J3323" s="18"/>
      <c r="N3323" s="16"/>
      <c r="O3323" s="17"/>
      <c r="P3323" s="17"/>
      <c r="Q3323" s="22"/>
      <c r="R3323" s="23"/>
    </row>
    <row r="3324" spans="1:18" ht="12.75">
      <c r="A3324" s="22"/>
      <c r="D3324" s="19"/>
      <c r="H3324" s="18"/>
      <c r="J3324" s="18"/>
      <c r="N3324" s="16"/>
      <c r="O3324" s="17"/>
      <c r="P3324" s="17"/>
      <c r="Q3324" s="22"/>
      <c r="R3324" s="23"/>
    </row>
    <row r="3325" spans="1:18" ht="12.75">
      <c r="A3325" s="22"/>
      <c r="D3325" s="19"/>
      <c r="H3325" s="18"/>
      <c r="J3325" s="18"/>
      <c r="N3325" s="16"/>
      <c r="O3325" s="17"/>
      <c r="P3325" s="17"/>
      <c r="Q3325" s="22"/>
      <c r="R3325" s="23"/>
    </row>
    <row r="3326" spans="1:18" ht="12.75">
      <c r="A3326" s="22"/>
      <c r="D3326" s="19"/>
      <c r="H3326" s="18"/>
      <c r="J3326" s="18"/>
      <c r="N3326" s="16"/>
      <c r="O3326" s="17"/>
      <c r="P3326" s="17"/>
      <c r="Q3326" s="22"/>
      <c r="R3326" s="23"/>
    </row>
    <row r="3327" spans="1:18" ht="12.75">
      <c r="A3327" s="22"/>
      <c r="D3327" s="19"/>
      <c r="H3327" s="18"/>
      <c r="J3327" s="18"/>
      <c r="N3327" s="16"/>
      <c r="O3327" s="17"/>
      <c r="P3327" s="17"/>
      <c r="Q3327" s="22"/>
      <c r="R3327" s="23"/>
    </row>
    <row r="3328" spans="1:18" ht="12.75">
      <c r="A3328" s="22"/>
      <c r="D3328" s="19"/>
      <c r="H3328" s="18"/>
      <c r="J3328" s="18"/>
      <c r="N3328" s="16"/>
      <c r="O3328" s="17"/>
      <c r="P3328" s="17"/>
      <c r="Q3328" s="22"/>
      <c r="R3328" s="23"/>
    </row>
    <row r="3329" spans="1:18" ht="12.75">
      <c r="A3329" s="22"/>
      <c r="D3329" s="19"/>
      <c r="H3329" s="18"/>
      <c r="J3329" s="18"/>
      <c r="N3329" s="16"/>
      <c r="O3329" s="17"/>
      <c r="P3329" s="17"/>
      <c r="Q3329" s="22"/>
      <c r="R3329" s="23"/>
    </row>
    <row r="3330" spans="1:18" ht="12.75">
      <c r="A3330" s="22"/>
      <c r="D3330" s="19"/>
      <c r="H3330" s="18"/>
      <c r="J3330" s="18"/>
      <c r="N3330" s="16"/>
      <c r="O3330" s="17"/>
      <c r="P3330" s="17"/>
      <c r="Q3330" s="22"/>
      <c r="R3330" s="23"/>
    </row>
    <row r="3331" spans="1:18" ht="12.75">
      <c r="A3331" s="22"/>
      <c r="D3331" s="19"/>
      <c r="H3331" s="18"/>
      <c r="J3331" s="18"/>
      <c r="N3331" s="16"/>
      <c r="O3331" s="17"/>
      <c r="P3331" s="17"/>
      <c r="Q3331" s="22"/>
      <c r="R3331" s="23"/>
    </row>
    <row r="3332" spans="1:18" ht="12.75">
      <c r="A3332" s="22"/>
      <c r="D3332" s="19"/>
      <c r="H3332" s="18"/>
      <c r="J3332" s="18"/>
      <c r="N3332" s="16"/>
      <c r="O3332" s="17"/>
      <c r="P3332" s="17"/>
      <c r="Q3332" s="22"/>
      <c r="R3332" s="23"/>
    </row>
    <row r="3333" spans="1:18" ht="12.75">
      <c r="A3333" s="22"/>
      <c r="D3333" s="19"/>
      <c r="H3333" s="18"/>
      <c r="J3333" s="18"/>
      <c r="N3333" s="16"/>
      <c r="O3333" s="17"/>
      <c r="P3333" s="17"/>
      <c r="Q3333" s="22"/>
      <c r="R3333" s="23"/>
    </row>
    <row r="3334" spans="1:18" ht="12.75">
      <c r="A3334" s="22"/>
      <c r="D3334" s="19"/>
      <c r="H3334" s="18"/>
      <c r="J3334" s="18"/>
      <c r="N3334" s="16"/>
      <c r="O3334" s="17"/>
      <c r="P3334" s="17"/>
      <c r="Q3334" s="22"/>
      <c r="R3334" s="23"/>
    </row>
    <row r="3335" spans="1:18" ht="12.75">
      <c r="A3335" s="22"/>
      <c r="D3335" s="19"/>
      <c r="H3335" s="18"/>
      <c r="J3335" s="18"/>
      <c r="N3335" s="16"/>
      <c r="O3335" s="17"/>
      <c r="P3335" s="17"/>
      <c r="Q3335" s="22"/>
      <c r="R3335" s="23"/>
    </row>
    <row r="3336" spans="1:18" ht="12.75">
      <c r="A3336" s="22"/>
      <c r="D3336" s="19"/>
      <c r="H3336" s="18"/>
      <c r="J3336" s="18"/>
      <c r="N3336" s="16"/>
      <c r="O3336" s="17"/>
      <c r="P3336" s="17"/>
      <c r="Q3336" s="22"/>
      <c r="R3336" s="23"/>
    </row>
    <row r="3337" spans="1:18" ht="12.75">
      <c r="A3337" s="22"/>
      <c r="D3337" s="19"/>
      <c r="H3337" s="18"/>
      <c r="J3337" s="18"/>
      <c r="N3337" s="16"/>
      <c r="O3337" s="17"/>
      <c r="P3337" s="17"/>
      <c r="Q3337" s="22"/>
      <c r="R3337" s="23"/>
    </row>
    <row r="3338" spans="1:18" ht="12.75">
      <c r="A3338" s="22"/>
      <c r="D3338" s="19"/>
      <c r="H3338" s="18"/>
      <c r="J3338" s="18"/>
      <c r="N3338" s="16"/>
      <c r="O3338" s="17"/>
      <c r="P3338" s="17"/>
      <c r="Q3338" s="22"/>
      <c r="R3338" s="23"/>
    </row>
    <row r="3339" spans="1:18" ht="12.75">
      <c r="A3339" s="22"/>
      <c r="D3339" s="19"/>
      <c r="H3339" s="18"/>
      <c r="J3339" s="18"/>
      <c r="N3339" s="16"/>
      <c r="O3339" s="17"/>
      <c r="P3339" s="17"/>
      <c r="Q3339" s="22"/>
      <c r="R3339" s="23"/>
    </row>
    <row r="3340" spans="1:18" ht="12.75">
      <c r="A3340" s="22"/>
      <c r="D3340" s="19"/>
      <c r="H3340" s="18"/>
      <c r="J3340" s="18"/>
      <c r="N3340" s="16"/>
      <c r="O3340" s="17"/>
      <c r="P3340" s="17"/>
      <c r="Q3340" s="22"/>
      <c r="R3340" s="23"/>
    </row>
    <row r="3341" spans="1:18" ht="12.75">
      <c r="A3341" s="22"/>
      <c r="D3341" s="19"/>
      <c r="H3341" s="18"/>
      <c r="J3341" s="18"/>
      <c r="N3341" s="16"/>
      <c r="O3341" s="17"/>
      <c r="P3341" s="17"/>
      <c r="Q3341" s="22"/>
      <c r="R3341" s="23"/>
    </row>
    <row r="3342" spans="1:18" ht="12.75">
      <c r="A3342" s="22"/>
      <c r="D3342" s="19"/>
      <c r="H3342" s="18"/>
      <c r="J3342" s="18"/>
      <c r="N3342" s="16"/>
      <c r="O3342" s="17"/>
      <c r="P3342" s="17"/>
      <c r="Q3342" s="22"/>
      <c r="R3342" s="23"/>
    </row>
    <row r="3343" spans="1:18" ht="12.75">
      <c r="A3343" s="22"/>
      <c r="D3343" s="19"/>
      <c r="H3343" s="18"/>
      <c r="J3343" s="18"/>
      <c r="N3343" s="16"/>
      <c r="O3343" s="17"/>
      <c r="P3343" s="17"/>
      <c r="Q3343" s="22"/>
      <c r="R3343" s="23"/>
    </row>
    <row r="3344" spans="1:18" ht="12.75">
      <c r="A3344" s="22"/>
      <c r="D3344" s="19"/>
      <c r="H3344" s="18"/>
      <c r="J3344" s="18"/>
      <c r="N3344" s="16"/>
      <c r="O3344" s="17"/>
      <c r="P3344" s="17"/>
      <c r="Q3344" s="22"/>
      <c r="R3344" s="23"/>
    </row>
    <row r="3345" spans="1:18" ht="12.75">
      <c r="A3345" s="22"/>
      <c r="D3345" s="19"/>
      <c r="H3345" s="18"/>
      <c r="J3345" s="18"/>
      <c r="N3345" s="16"/>
      <c r="O3345" s="17"/>
      <c r="P3345" s="17"/>
      <c r="Q3345" s="22"/>
      <c r="R3345" s="23"/>
    </row>
    <row r="3346" spans="1:18" ht="12.75">
      <c r="A3346" s="22"/>
      <c r="D3346" s="19"/>
      <c r="H3346" s="18"/>
      <c r="J3346" s="18"/>
      <c r="N3346" s="16"/>
      <c r="O3346" s="17"/>
      <c r="P3346" s="17"/>
      <c r="Q3346" s="22"/>
      <c r="R3346" s="23"/>
    </row>
    <row r="3347" spans="1:18" ht="12.75">
      <c r="A3347" s="22"/>
      <c r="D3347" s="19"/>
      <c r="H3347" s="18"/>
      <c r="J3347" s="18"/>
      <c r="N3347" s="16"/>
      <c r="O3347" s="17"/>
      <c r="P3347" s="17"/>
      <c r="Q3347" s="22"/>
      <c r="R3347" s="23"/>
    </row>
    <row r="3348" spans="1:18" ht="12.75">
      <c r="A3348" s="22"/>
      <c r="D3348" s="19"/>
      <c r="H3348" s="18"/>
      <c r="J3348" s="18"/>
      <c r="N3348" s="16"/>
      <c r="O3348" s="17"/>
      <c r="P3348" s="17"/>
      <c r="Q3348" s="22"/>
      <c r="R3348" s="23"/>
    </row>
    <row r="3349" spans="1:18" ht="12.75">
      <c r="A3349" s="22"/>
      <c r="D3349" s="19"/>
      <c r="H3349" s="18"/>
      <c r="J3349" s="18"/>
      <c r="N3349" s="16"/>
      <c r="O3349" s="17"/>
      <c r="P3349" s="17"/>
      <c r="Q3349" s="22"/>
      <c r="R3349" s="23"/>
    </row>
    <row r="3350" spans="1:18" ht="12.75">
      <c r="A3350" s="22"/>
      <c r="D3350" s="19"/>
      <c r="H3350" s="18"/>
      <c r="J3350" s="18"/>
      <c r="N3350" s="16"/>
      <c r="O3350" s="17"/>
      <c r="P3350" s="17"/>
      <c r="Q3350" s="22"/>
      <c r="R3350" s="23"/>
    </row>
    <row r="3351" spans="1:18" ht="12.75">
      <c r="A3351" s="22"/>
      <c r="D3351" s="19"/>
      <c r="H3351" s="18"/>
      <c r="J3351" s="18"/>
      <c r="N3351" s="16"/>
      <c r="O3351" s="17"/>
      <c r="P3351" s="17"/>
      <c r="Q3351" s="22"/>
      <c r="R3351" s="23"/>
    </row>
    <row r="3352" spans="1:18" ht="12.75">
      <c r="A3352" s="22"/>
      <c r="D3352" s="19"/>
      <c r="H3352" s="18"/>
      <c r="J3352" s="18"/>
      <c r="N3352" s="16"/>
      <c r="O3352" s="17"/>
      <c r="P3352" s="17"/>
      <c r="Q3352" s="22"/>
      <c r="R3352" s="23"/>
    </row>
    <row r="3353" spans="1:18" ht="12.75">
      <c r="A3353" s="22"/>
      <c r="D3353" s="19"/>
      <c r="H3353" s="18"/>
      <c r="J3353" s="18"/>
      <c r="N3353" s="16"/>
      <c r="O3353" s="17"/>
      <c r="P3353" s="17"/>
      <c r="Q3353" s="22"/>
      <c r="R3353" s="23"/>
    </row>
    <row r="3354" spans="1:18" ht="12.75">
      <c r="A3354" s="22"/>
      <c r="D3354" s="19"/>
      <c r="H3354" s="18"/>
      <c r="J3354" s="18"/>
      <c r="N3354" s="16"/>
      <c r="O3354" s="17"/>
      <c r="P3354" s="17"/>
      <c r="Q3354" s="22"/>
      <c r="R3354" s="23"/>
    </row>
    <row r="3355" spans="1:18" ht="12.75">
      <c r="A3355" s="22"/>
      <c r="D3355" s="19"/>
      <c r="H3355" s="18"/>
      <c r="J3355" s="18"/>
      <c r="N3355" s="16"/>
      <c r="O3355" s="17"/>
      <c r="P3355" s="17"/>
      <c r="Q3355" s="22"/>
      <c r="R3355" s="23"/>
    </row>
    <row r="3356" spans="1:18" ht="12.75">
      <c r="A3356" s="22"/>
      <c r="D3356" s="19"/>
      <c r="H3356" s="18"/>
      <c r="J3356" s="18"/>
      <c r="N3356" s="16"/>
      <c r="O3356" s="17"/>
      <c r="P3356" s="17"/>
      <c r="Q3356" s="22"/>
      <c r="R3356" s="23"/>
    </row>
    <row r="3357" spans="1:18" ht="12.75">
      <c r="A3357" s="22"/>
      <c r="D3357" s="19"/>
      <c r="H3357" s="18"/>
      <c r="J3357" s="18"/>
      <c r="N3357" s="16"/>
      <c r="O3357" s="17"/>
      <c r="P3357" s="17"/>
      <c r="Q3357" s="22"/>
      <c r="R3357" s="23"/>
    </row>
    <row r="3358" spans="1:18" ht="12.75">
      <c r="A3358" s="22"/>
      <c r="D3358" s="19"/>
      <c r="H3358" s="18"/>
      <c r="J3358" s="18"/>
      <c r="N3358" s="16"/>
      <c r="O3358" s="17"/>
      <c r="P3358" s="17"/>
      <c r="Q3358" s="22"/>
      <c r="R3358" s="23"/>
    </row>
    <row r="3359" spans="1:18" ht="12.75">
      <c r="A3359" s="22"/>
      <c r="D3359" s="19"/>
      <c r="H3359" s="18"/>
      <c r="J3359" s="18"/>
      <c r="N3359" s="16"/>
      <c r="O3359" s="17"/>
      <c r="P3359" s="17"/>
      <c r="Q3359" s="22"/>
      <c r="R3359" s="23"/>
    </row>
    <row r="3360" spans="1:18" ht="12.75">
      <c r="A3360" s="22"/>
      <c r="D3360" s="19"/>
      <c r="H3360" s="18"/>
      <c r="J3360" s="18"/>
      <c r="N3360" s="16"/>
      <c r="O3360" s="17"/>
      <c r="P3360" s="17"/>
      <c r="Q3360" s="22"/>
      <c r="R3360" s="23"/>
    </row>
    <row r="3361" spans="1:18" ht="12.75">
      <c r="A3361" s="22"/>
      <c r="D3361" s="19"/>
      <c r="H3361" s="18"/>
      <c r="J3361" s="18"/>
      <c r="N3361" s="16"/>
      <c r="O3361" s="17"/>
      <c r="P3361" s="17"/>
      <c r="Q3361" s="22"/>
      <c r="R3361" s="23"/>
    </row>
    <row r="3362" spans="1:18" ht="12.75">
      <c r="A3362" s="22"/>
      <c r="D3362" s="19"/>
      <c r="H3362" s="18"/>
      <c r="J3362" s="18"/>
      <c r="N3362" s="16"/>
      <c r="O3362" s="17"/>
      <c r="P3362" s="17"/>
      <c r="Q3362" s="22"/>
      <c r="R3362" s="23"/>
    </row>
    <row r="3363" spans="1:18" ht="12.75">
      <c r="A3363" s="22"/>
      <c r="D3363" s="19"/>
      <c r="H3363" s="18"/>
      <c r="J3363" s="18"/>
      <c r="N3363" s="16"/>
      <c r="O3363" s="17"/>
      <c r="P3363" s="17"/>
      <c r="Q3363" s="22"/>
      <c r="R3363" s="23"/>
    </row>
    <row r="3364" spans="1:18" ht="12.75">
      <c r="A3364" s="22"/>
      <c r="D3364" s="19"/>
      <c r="H3364" s="18"/>
      <c r="J3364" s="18"/>
      <c r="N3364" s="16"/>
      <c r="O3364" s="17"/>
      <c r="P3364" s="17"/>
      <c r="Q3364" s="22"/>
      <c r="R3364" s="23"/>
    </row>
    <row r="3365" spans="1:18" ht="12.75">
      <c r="A3365" s="22"/>
      <c r="D3365" s="19"/>
      <c r="H3365" s="18"/>
      <c r="J3365" s="18"/>
      <c r="N3365" s="16"/>
      <c r="O3365" s="17"/>
      <c r="P3365" s="17"/>
      <c r="Q3365" s="22"/>
      <c r="R3365" s="23"/>
    </row>
    <row r="3366" spans="1:18" ht="12.75">
      <c r="A3366" s="22"/>
      <c r="D3366" s="19"/>
      <c r="H3366" s="18"/>
      <c r="J3366" s="18"/>
      <c r="N3366" s="16"/>
      <c r="O3366" s="17"/>
      <c r="P3366" s="17"/>
      <c r="Q3366" s="22"/>
      <c r="R3366" s="23"/>
    </row>
    <row r="3367" spans="1:18" ht="12.75">
      <c r="A3367" s="22"/>
      <c r="D3367" s="19"/>
      <c r="H3367" s="18"/>
      <c r="J3367" s="18"/>
      <c r="N3367" s="16"/>
      <c r="O3367" s="17"/>
      <c r="P3367" s="17"/>
      <c r="Q3367" s="22"/>
      <c r="R3367" s="23"/>
    </row>
    <row r="3368" spans="1:18" ht="12.75">
      <c r="A3368" s="22"/>
      <c r="D3368" s="19"/>
      <c r="H3368" s="18"/>
      <c r="J3368" s="18"/>
      <c r="N3368" s="16"/>
      <c r="O3368" s="17"/>
      <c r="P3368" s="17"/>
      <c r="Q3368" s="22"/>
      <c r="R3368" s="23"/>
    </row>
    <row r="3369" spans="1:18" ht="12.75">
      <c r="A3369" s="22"/>
      <c r="D3369" s="19"/>
      <c r="H3369" s="18"/>
      <c r="J3369" s="18"/>
      <c r="N3369" s="16"/>
      <c r="O3369" s="17"/>
      <c r="P3369" s="17"/>
      <c r="Q3369" s="22"/>
      <c r="R3369" s="23"/>
    </row>
    <row r="3370" spans="1:18" ht="12.75">
      <c r="A3370" s="22"/>
      <c r="D3370" s="19"/>
      <c r="H3370" s="18"/>
      <c r="J3370" s="18"/>
      <c r="N3370" s="16"/>
      <c r="O3370" s="17"/>
      <c r="P3370" s="17"/>
      <c r="Q3370" s="22"/>
      <c r="R3370" s="23"/>
    </row>
    <row r="3371" spans="1:18" ht="12.75">
      <c r="A3371" s="22"/>
      <c r="D3371" s="19"/>
      <c r="H3371" s="18"/>
      <c r="J3371" s="18"/>
      <c r="N3371" s="16"/>
      <c r="O3371" s="17"/>
      <c r="P3371" s="17"/>
      <c r="Q3371" s="22"/>
      <c r="R3371" s="23"/>
    </row>
    <row r="3372" spans="1:18" ht="12.75">
      <c r="A3372" s="22"/>
      <c r="D3372" s="19"/>
      <c r="H3372" s="18"/>
      <c r="J3372" s="18"/>
      <c r="N3372" s="16"/>
      <c r="O3372" s="17"/>
      <c r="P3372" s="17"/>
      <c r="Q3372" s="22"/>
      <c r="R3372" s="23"/>
    </row>
    <row r="3373" spans="1:18" ht="12.75">
      <c r="A3373" s="22"/>
      <c r="D3373" s="19"/>
      <c r="H3373" s="18"/>
      <c r="J3373" s="18"/>
      <c r="N3373" s="16"/>
      <c r="O3373" s="17"/>
      <c r="P3373" s="17"/>
      <c r="Q3373" s="22"/>
      <c r="R3373" s="23"/>
    </row>
    <row r="3374" spans="1:18" ht="12.75">
      <c r="A3374" s="22"/>
      <c r="D3374" s="19"/>
      <c r="H3374" s="18"/>
      <c r="J3374" s="18"/>
      <c r="N3374" s="16"/>
      <c r="O3374" s="17"/>
      <c r="P3374" s="17"/>
      <c r="Q3374" s="22"/>
      <c r="R3374" s="23"/>
    </row>
    <row r="3375" spans="1:18" ht="12.75">
      <c r="A3375" s="22"/>
      <c r="D3375" s="19"/>
      <c r="H3375" s="18"/>
      <c r="J3375" s="18"/>
      <c r="N3375" s="16"/>
      <c r="O3375" s="17"/>
      <c r="P3375" s="17"/>
      <c r="Q3375" s="22"/>
      <c r="R3375" s="23"/>
    </row>
    <row r="3376" spans="1:18" ht="12.75">
      <c r="A3376" s="22"/>
      <c r="D3376" s="19"/>
      <c r="H3376" s="18"/>
      <c r="J3376" s="18"/>
      <c r="N3376" s="16"/>
      <c r="O3376" s="17"/>
      <c r="P3376" s="17"/>
      <c r="Q3376" s="22"/>
      <c r="R3376" s="23"/>
    </row>
    <row r="3377" spans="1:18" ht="12.75">
      <c r="A3377" s="22"/>
      <c r="D3377" s="19"/>
      <c r="H3377" s="18"/>
      <c r="J3377" s="18"/>
      <c r="N3377" s="16"/>
      <c r="O3377" s="17"/>
      <c r="P3377" s="17"/>
      <c r="Q3377" s="22"/>
      <c r="R3377" s="23"/>
    </row>
    <row r="3378" spans="1:18" ht="12.75">
      <c r="A3378" s="22"/>
      <c r="D3378" s="19"/>
      <c r="H3378" s="18"/>
      <c r="J3378" s="18"/>
      <c r="N3378" s="16"/>
      <c r="O3378" s="17"/>
      <c r="P3378" s="17"/>
      <c r="Q3378" s="22"/>
      <c r="R3378" s="23"/>
    </row>
    <row r="3379" spans="1:18" ht="12.75">
      <c r="A3379" s="22"/>
      <c r="D3379" s="19"/>
      <c r="H3379" s="18"/>
      <c r="J3379" s="18"/>
      <c r="N3379" s="16"/>
      <c r="O3379" s="17"/>
      <c r="P3379" s="17"/>
      <c r="Q3379" s="22"/>
      <c r="R3379" s="23"/>
    </row>
    <row r="3380" spans="1:18" ht="12.75">
      <c r="A3380" s="22"/>
      <c r="D3380" s="19"/>
      <c r="H3380" s="18"/>
      <c r="J3380" s="18"/>
      <c r="N3380" s="16"/>
      <c r="O3380" s="17"/>
      <c r="P3380" s="17"/>
      <c r="Q3380" s="22"/>
      <c r="R3380" s="23"/>
    </row>
    <row r="3381" spans="1:18" ht="12.75">
      <c r="A3381" s="22"/>
      <c r="D3381" s="19"/>
      <c r="H3381" s="18"/>
      <c r="J3381" s="18"/>
      <c r="N3381" s="16"/>
      <c r="O3381" s="17"/>
      <c r="P3381" s="17"/>
      <c r="Q3381" s="22"/>
      <c r="R3381" s="23"/>
    </row>
    <row r="3382" spans="1:18" ht="12.75">
      <c r="A3382" s="22"/>
      <c r="D3382" s="19"/>
      <c r="H3382" s="18"/>
      <c r="J3382" s="18"/>
      <c r="N3382" s="16"/>
      <c r="O3382" s="17"/>
      <c r="P3382" s="17"/>
      <c r="Q3382" s="22"/>
      <c r="R3382" s="23"/>
    </row>
    <row r="3383" spans="1:18" ht="12.75">
      <c r="A3383" s="22"/>
      <c r="D3383" s="19"/>
      <c r="H3383" s="18"/>
      <c r="J3383" s="18"/>
      <c r="N3383" s="16"/>
      <c r="O3383" s="17"/>
      <c r="P3383" s="17"/>
      <c r="Q3383" s="22"/>
      <c r="R3383" s="23"/>
    </row>
    <row r="3384" spans="1:18" ht="12.75">
      <c r="A3384" s="22"/>
      <c r="D3384" s="19"/>
      <c r="H3384" s="18"/>
      <c r="J3384" s="18"/>
      <c r="N3384" s="16"/>
      <c r="O3384" s="17"/>
      <c r="P3384" s="17"/>
      <c r="Q3384" s="22"/>
      <c r="R3384" s="23"/>
    </row>
    <row r="3385" spans="1:18" ht="12.75">
      <c r="A3385" s="22"/>
      <c r="D3385" s="19"/>
      <c r="H3385" s="18"/>
      <c r="J3385" s="18"/>
      <c r="N3385" s="16"/>
      <c r="O3385" s="17"/>
      <c r="P3385" s="17"/>
      <c r="Q3385" s="22"/>
      <c r="R3385" s="23"/>
    </row>
    <row r="3386" spans="1:18" ht="12.75">
      <c r="A3386" s="22"/>
      <c r="D3386" s="19"/>
      <c r="H3386" s="18"/>
      <c r="J3386" s="18"/>
      <c r="N3386" s="16"/>
      <c r="O3386" s="17"/>
      <c r="P3386" s="17"/>
      <c r="Q3386" s="22"/>
      <c r="R3386" s="23"/>
    </row>
    <row r="3387" spans="1:18" ht="12.75">
      <c r="A3387" s="22"/>
      <c r="D3387" s="19"/>
      <c r="H3387" s="18"/>
      <c r="J3387" s="18"/>
      <c r="N3387" s="16"/>
      <c r="O3387" s="17"/>
      <c r="P3387" s="17"/>
      <c r="Q3387" s="22"/>
      <c r="R3387" s="23"/>
    </row>
    <row r="3388" spans="1:18" ht="12.75">
      <c r="A3388" s="22"/>
      <c r="D3388" s="19"/>
      <c r="H3388" s="18"/>
      <c r="J3388" s="18"/>
      <c r="N3388" s="16"/>
      <c r="O3388" s="17"/>
      <c r="P3388" s="17"/>
      <c r="Q3388" s="22"/>
      <c r="R3388" s="23"/>
    </row>
    <row r="3389" spans="1:18" ht="12.75">
      <c r="A3389" s="22"/>
      <c r="D3389" s="19"/>
      <c r="H3389" s="18"/>
      <c r="J3389" s="18"/>
      <c r="N3389" s="16"/>
      <c r="O3389" s="17"/>
      <c r="P3389" s="17"/>
      <c r="Q3389" s="22"/>
      <c r="R3389" s="23"/>
    </row>
    <row r="3390" spans="1:18" ht="12.75">
      <c r="A3390" s="22"/>
      <c r="D3390" s="19"/>
      <c r="H3390" s="18"/>
      <c r="J3390" s="18"/>
      <c r="N3390" s="16"/>
      <c r="O3390" s="17"/>
      <c r="P3390" s="17"/>
      <c r="Q3390" s="22"/>
      <c r="R3390" s="23"/>
    </row>
    <row r="3391" spans="1:18" ht="12.75">
      <c r="A3391" s="22"/>
      <c r="D3391" s="19"/>
      <c r="H3391" s="18"/>
      <c r="J3391" s="18"/>
      <c r="N3391" s="16"/>
      <c r="O3391" s="17"/>
      <c r="P3391" s="17"/>
      <c r="Q3391" s="22"/>
      <c r="R3391" s="23"/>
    </row>
    <row r="3392" spans="1:18" ht="12.75">
      <c r="A3392" s="22"/>
      <c r="D3392" s="19"/>
      <c r="H3392" s="18"/>
      <c r="J3392" s="18"/>
      <c r="N3392" s="16"/>
      <c r="O3392" s="17"/>
      <c r="P3392" s="17"/>
      <c r="Q3392" s="22"/>
      <c r="R3392" s="23"/>
    </row>
    <row r="3393" spans="1:18" ht="12.75">
      <c r="A3393" s="22"/>
      <c r="D3393" s="19"/>
      <c r="H3393" s="18"/>
      <c r="J3393" s="18"/>
      <c r="N3393" s="16"/>
      <c r="O3393" s="17"/>
      <c r="P3393" s="17"/>
      <c r="Q3393" s="22"/>
      <c r="R3393" s="23"/>
    </row>
    <row r="3394" spans="1:18" ht="12.75">
      <c r="A3394" s="22"/>
      <c r="D3394" s="19"/>
      <c r="H3394" s="18"/>
      <c r="J3394" s="18"/>
      <c r="N3394" s="16"/>
      <c r="O3394" s="17"/>
      <c r="P3394" s="17"/>
      <c r="Q3394" s="22"/>
      <c r="R3394" s="23"/>
    </row>
    <row r="3395" spans="1:18" ht="12.75">
      <c r="A3395" s="22"/>
      <c r="D3395" s="19"/>
      <c r="H3395" s="18"/>
      <c r="J3395" s="18"/>
      <c r="N3395" s="16"/>
      <c r="O3395" s="17"/>
      <c r="P3395" s="17"/>
      <c r="Q3395" s="22"/>
      <c r="R3395" s="23"/>
    </row>
    <row r="3396" spans="1:18" ht="12.75">
      <c r="A3396" s="22"/>
      <c r="D3396" s="19"/>
      <c r="H3396" s="18"/>
      <c r="J3396" s="18"/>
      <c r="N3396" s="16"/>
      <c r="O3396" s="17"/>
      <c r="P3396" s="17"/>
      <c r="Q3396" s="22"/>
      <c r="R3396" s="23"/>
    </row>
    <row r="3397" spans="1:18" ht="12.75">
      <c r="A3397" s="22"/>
      <c r="D3397" s="19"/>
      <c r="H3397" s="18"/>
      <c r="J3397" s="18"/>
      <c r="N3397" s="16"/>
      <c r="O3397" s="17"/>
      <c r="P3397" s="17"/>
      <c r="Q3397" s="22"/>
      <c r="R3397" s="23"/>
    </row>
    <row r="3398" spans="1:18" ht="12.75">
      <c r="A3398" s="22"/>
      <c r="D3398" s="19"/>
      <c r="H3398" s="18"/>
      <c r="J3398" s="18"/>
      <c r="N3398" s="16"/>
      <c r="O3398" s="17"/>
      <c r="P3398" s="17"/>
      <c r="Q3398" s="22"/>
      <c r="R3398" s="23"/>
    </row>
    <row r="3399" spans="1:18" ht="12.75">
      <c r="A3399" s="22"/>
      <c r="D3399" s="19"/>
      <c r="H3399" s="18"/>
      <c r="J3399" s="18"/>
      <c r="N3399" s="16"/>
      <c r="O3399" s="17"/>
      <c r="P3399" s="17"/>
      <c r="Q3399" s="22"/>
      <c r="R3399" s="23"/>
    </row>
    <row r="3400" spans="1:18" ht="12.75">
      <c r="A3400" s="22"/>
      <c r="D3400" s="19"/>
      <c r="H3400" s="18"/>
      <c r="J3400" s="18"/>
      <c r="N3400" s="16"/>
      <c r="O3400" s="17"/>
      <c r="P3400" s="17"/>
      <c r="Q3400" s="22"/>
      <c r="R3400" s="23"/>
    </row>
    <row r="3401" spans="1:18" ht="12.75">
      <c r="A3401" s="22"/>
      <c r="D3401" s="19"/>
      <c r="H3401" s="18"/>
      <c r="J3401" s="18"/>
      <c r="N3401" s="16"/>
      <c r="O3401" s="17"/>
      <c r="P3401" s="17"/>
      <c r="Q3401" s="22"/>
      <c r="R3401" s="23"/>
    </row>
    <row r="3402" spans="1:18" ht="12.75">
      <c r="A3402" s="22"/>
      <c r="D3402" s="19"/>
      <c r="H3402" s="18"/>
      <c r="J3402" s="18"/>
      <c r="N3402" s="16"/>
      <c r="O3402" s="17"/>
      <c r="P3402" s="17"/>
      <c r="Q3402" s="22"/>
      <c r="R3402" s="23"/>
    </row>
    <row r="3403" spans="1:18" ht="12.75">
      <c r="A3403" s="22"/>
      <c r="D3403" s="19"/>
      <c r="H3403" s="18"/>
      <c r="J3403" s="18"/>
      <c r="N3403" s="16"/>
      <c r="O3403" s="17"/>
      <c r="P3403" s="17"/>
      <c r="Q3403" s="22"/>
      <c r="R3403" s="23"/>
    </row>
    <row r="3404" spans="1:18" ht="12.75">
      <c r="A3404" s="22"/>
      <c r="D3404" s="19"/>
      <c r="H3404" s="18"/>
      <c r="J3404" s="18"/>
      <c r="N3404" s="16"/>
      <c r="O3404" s="17"/>
      <c r="P3404" s="17"/>
      <c r="Q3404" s="22"/>
      <c r="R3404" s="23"/>
    </row>
    <row r="3405" spans="1:18" ht="12.75">
      <c r="A3405" s="22"/>
      <c r="D3405" s="19"/>
      <c r="H3405" s="18"/>
      <c r="J3405" s="18"/>
      <c r="N3405" s="16"/>
      <c r="O3405" s="17"/>
      <c r="P3405" s="17"/>
      <c r="Q3405" s="22"/>
      <c r="R3405" s="23"/>
    </row>
    <row r="3406" spans="1:18" ht="12.75">
      <c r="A3406" s="22"/>
      <c r="D3406" s="19"/>
      <c r="H3406" s="18"/>
      <c r="J3406" s="18"/>
      <c r="N3406" s="16"/>
      <c r="O3406" s="17"/>
      <c r="P3406" s="17"/>
      <c r="Q3406" s="22"/>
      <c r="R3406" s="23"/>
    </row>
    <row r="3407" spans="1:18" ht="12.75">
      <c r="A3407" s="22"/>
      <c r="D3407" s="19"/>
      <c r="H3407" s="18"/>
      <c r="J3407" s="18"/>
      <c r="N3407" s="16"/>
      <c r="O3407" s="17"/>
      <c r="P3407" s="17"/>
      <c r="Q3407" s="22"/>
      <c r="R3407" s="23"/>
    </row>
    <row r="3408" spans="1:18" ht="12.75">
      <c r="A3408" s="22"/>
      <c r="D3408" s="19"/>
      <c r="H3408" s="18"/>
      <c r="J3408" s="18"/>
      <c r="N3408" s="16"/>
      <c r="O3408" s="17"/>
      <c r="P3408" s="17"/>
      <c r="Q3408" s="22"/>
      <c r="R3408" s="23"/>
    </row>
    <row r="3409" spans="1:18" ht="12.75">
      <c r="A3409" s="22"/>
      <c r="D3409" s="19"/>
      <c r="H3409" s="18"/>
      <c r="J3409" s="18"/>
      <c r="N3409" s="16"/>
      <c r="O3409" s="17"/>
      <c r="P3409" s="17"/>
      <c r="Q3409" s="22"/>
      <c r="R3409" s="23"/>
    </row>
    <row r="3410" spans="1:18" ht="12.75">
      <c r="A3410" s="22"/>
      <c r="D3410" s="19"/>
      <c r="H3410" s="18"/>
      <c r="J3410" s="18"/>
      <c r="N3410" s="16"/>
      <c r="O3410" s="17"/>
      <c r="P3410" s="17"/>
      <c r="Q3410" s="22"/>
      <c r="R3410" s="23"/>
    </row>
    <row r="3411" spans="1:18" ht="12.75">
      <c r="A3411" s="22"/>
      <c r="D3411" s="19"/>
      <c r="H3411" s="18"/>
      <c r="J3411" s="18"/>
      <c r="N3411" s="16"/>
      <c r="O3411" s="17"/>
      <c r="P3411" s="17"/>
      <c r="Q3411" s="22"/>
      <c r="R3411" s="23"/>
    </row>
    <row r="3412" spans="1:18" ht="12.75">
      <c r="A3412" s="22"/>
      <c r="D3412" s="19"/>
      <c r="H3412" s="18"/>
      <c r="J3412" s="18"/>
      <c r="N3412" s="16"/>
      <c r="O3412" s="17"/>
      <c r="P3412" s="17"/>
      <c r="Q3412" s="22"/>
      <c r="R3412" s="23"/>
    </row>
    <row r="3413" spans="1:18" ht="12.75">
      <c r="A3413" s="22"/>
      <c r="D3413" s="19"/>
      <c r="H3413" s="18"/>
      <c r="J3413" s="18"/>
      <c r="N3413" s="16"/>
      <c r="O3413" s="17"/>
      <c r="P3413" s="17"/>
      <c r="Q3413" s="22"/>
      <c r="R3413" s="23"/>
    </row>
    <row r="3414" spans="1:18" ht="12.75">
      <c r="A3414" s="22"/>
      <c r="D3414" s="19"/>
      <c r="H3414" s="18"/>
      <c r="J3414" s="18"/>
      <c r="N3414" s="16"/>
      <c r="O3414" s="17"/>
      <c r="P3414" s="17"/>
      <c r="Q3414" s="22"/>
      <c r="R3414" s="23"/>
    </row>
    <row r="3415" spans="1:18" ht="12.75">
      <c r="A3415" s="22"/>
      <c r="D3415" s="19"/>
      <c r="H3415" s="18"/>
      <c r="J3415" s="18"/>
      <c r="N3415" s="16"/>
      <c r="O3415" s="17"/>
      <c r="P3415" s="17"/>
      <c r="Q3415" s="22"/>
      <c r="R3415" s="23"/>
    </row>
    <row r="3416" spans="1:18" ht="12.75">
      <c r="A3416" s="22"/>
      <c r="D3416" s="19"/>
      <c r="H3416" s="18"/>
      <c r="J3416" s="18"/>
      <c r="N3416" s="16"/>
      <c r="O3416" s="17"/>
      <c r="P3416" s="17"/>
      <c r="Q3416" s="22"/>
      <c r="R3416" s="23"/>
    </row>
    <row r="3417" spans="1:18" ht="12.75">
      <c r="A3417" s="22"/>
      <c r="D3417" s="19"/>
      <c r="H3417" s="18"/>
      <c r="J3417" s="18"/>
      <c r="N3417" s="16"/>
      <c r="O3417" s="17"/>
      <c r="P3417" s="17"/>
      <c r="Q3417" s="22"/>
      <c r="R3417" s="23"/>
    </row>
    <row r="3418" spans="1:18" ht="12.75">
      <c r="A3418" s="22"/>
      <c r="D3418" s="19"/>
      <c r="H3418" s="18"/>
      <c r="J3418" s="18"/>
      <c r="N3418" s="16"/>
      <c r="O3418" s="17"/>
      <c r="P3418" s="17"/>
      <c r="Q3418" s="22"/>
      <c r="R3418" s="23"/>
    </row>
    <row r="3419" spans="1:18" ht="12.75">
      <c r="A3419" s="22"/>
      <c r="D3419" s="19"/>
      <c r="H3419" s="18"/>
      <c r="J3419" s="18"/>
      <c r="N3419" s="16"/>
      <c r="O3419" s="17"/>
      <c r="P3419" s="17"/>
      <c r="Q3419" s="22"/>
      <c r="R3419" s="23"/>
    </row>
    <row r="3420" spans="1:18" ht="12.75">
      <c r="A3420" s="22"/>
      <c r="D3420" s="19"/>
      <c r="H3420" s="18"/>
      <c r="J3420" s="18"/>
      <c r="N3420" s="16"/>
      <c r="O3420" s="17"/>
      <c r="P3420" s="17"/>
      <c r="Q3420" s="22"/>
      <c r="R3420" s="23"/>
    </row>
    <row r="3421" spans="1:18" ht="12.75">
      <c r="A3421" s="22"/>
      <c r="D3421" s="19"/>
      <c r="H3421" s="18"/>
      <c r="J3421" s="18"/>
      <c r="N3421" s="16"/>
      <c r="O3421" s="17"/>
      <c r="P3421" s="17"/>
      <c r="Q3421" s="22"/>
      <c r="R3421" s="23"/>
    </row>
    <row r="3422" spans="1:18" ht="12.75">
      <c r="A3422" s="22"/>
      <c r="D3422" s="19"/>
      <c r="H3422" s="18"/>
      <c r="J3422" s="18"/>
      <c r="N3422" s="16"/>
      <c r="O3422" s="17"/>
      <c r="P3422" s="17"/>
      <c r="Q3422" s="22"/>
      <c r="R3422" s="23"/>
    </row>
    <row r="3423" spans="1:18" ht="12.75">
      <c r="A3423" s="22"/>
      <c r="D3423" s="19"/>
      <c r="H3423" s="18"/>
      <c r="J3423" s="18"/>
      <c r="N3423" s="16"/>
      <c r="O3423" s="17"/>
      <c r="P3423" s="17"/>
      <c r="Q3423" s="22"/>
      <c r="R3423" s="23"/>
    </row>
    <row r="3424" spans="1:18" ht="12.75">
      <c r="A3424" s="22"/>
      <c r="D3424" s="19"/>
      <c r="H3424" s="18"/>
      <c r="J3424" s="18"/>
      <c r="N3424" s="16"/>
      <c r="O3424" s="17"/>
      <c r="P3424" s="17"/>
      <c r="Q3424" s="22"/>
      <c r="R3424" s="23"/>
    </row>
    <row r="3425" spans="1:18" ht="12.75">
      <c r="A3425" s="22"/>
      <c r="D3425" s="19"/>
      <c r="H3425" s="18"/>
      <c r="J3425" s="18"/>
      <c r="N3425" s="16"/>
      <c r="O3425" s="17"/>
      <c r="P3425" s="17"/>
      <c r="Q3425" s="22"/>
      <c r="R3425" s="23"/>
    </row>
    <row r="3426" spans="1:18" ht="12.75">
      <c r="A3426" s="22"/>
      <c r="D3426" s="19"/>
      <c r="H3426" s="18"/>
      <c r="J3426" s="18"/>
      <c r="N3426" s="16"/>
      <c r="O3426" s="17"/>
      <c r="P3426" s="17"/>
      <c r="Q3426" s="22"/>
      <c r="R3426" s="23"/>
    </row>
    <row r="3427" spans="1:18" ht="12.75">
      <c r="A3427" s="22"/>
      <c r="D3427" s="19"/>
      <c r="H3427" s="18"/>
      <c r="J3427" s="18"/>
      <c r="N3427" s="16"/>
      <c r="O3427" s="17"/>
      <c r="P3427" s="17"/>
      <c r="Q3427" s="22"/>
      <c r="R3427" s="23"/>
    </row>
    <row r="3428" spans="1:18" ht="12.75">
      <c r="A3428" s="22"/>
      <c r="D3428" s="19"/>
      <c r="H3428" s="18"/>
      <c r="J3428" s="18"/>
      <c r="N3428" s="16"/>
      <c r="O3428" s="17"/>
      <c r="P3428" s="17"/>
      <c r="Q3428" s="22"/>
      <c r="R3428" s="23"/>
    </row>
    <row r="3429" spans="1:18" ht="12.75">
      <c r="A3429" s="22"/>
      <c r="D3429" s="19"/>
      <c r="H3429" s="18"/>
      <c r="J3429" s="18"/>
      <c r="N3429" s="16"/>
      <c r="O3429" s="17"/>
      <c r="P3429" s="17"/>
      <c r="Q3429" s="22"/>
      <c r="R3429" s="23"/>
    </row>
    <row r="3430" spans="1:18" ht="12.75">
      <c r="A3430" s="22"/>
      <c r="D3430" s="19"/>
      <c r="H3430" s="18"/>
      <c r="J3430" s="18"/>
      <c r="N3430" s="16"/>
      <c r="O3430" s="17"/>
      <c r="P3430" s="17"/>
      <c r="Q3430" s="22"/>
      <c r="R3430" s="23"/>
    </row>
    <row r="3431" spans="1:18" ht="12.75">
      <c r="A3431" s="22"/>
      <c r="D3431" s="19"/>
      <c r="H3431" s="18"/>
      <c r="J3431" s="18"/>
      <c r="N3431" s="16"/>
      <c r="O3431" s="17"/>
      <c r="P3431" s="17"/>
      <c r="Q3431" s="22"/>
      <c r="R3431" s="23"/>
    </row>
    <row r="3432" spans="1:18" ht="12.75">
      <c r="A3432" s="22"/>
      <c r="D3432" s="19"/>
      <c r="H3432" s="18"/>
      <c r="J3432" s="18"/>
      <c r="N3432" s="16"/>
      <c r="O3432" s="17"/>
      <c r="P3432" s="17"/>
      <c r="Q3432" s="22"/>
      <c r="R3432" s="23"/>
    </row>
    <row r="3433" spans="1:18" ht="12.75">
      <c r="A3433" s="22"/>
      <c r="D3433" s="19"/>
      <c r="H3433" s="18"/>
      <c r="J3433" s="18"/>
      <c r="N3433" s="16"/>
      <c r="O3433" s="17"/>
      <c r="P3433" s="17"/>
      <c r="Q3433" s="22"/>
      <c r="R3433" s="23"/>
    </row>
    <row r="3434" spans="1:18" ht="12.75">
      <c r="A3434" s="22"/>
      <c r="D3434" s="19"/>
      <c r="H3434" s="18"/>
      <c r="J3434" s="18"/>
      <c r="N3434" s="16"/>
      <c r="O3434" s="17"/>
      <c r="P3434" s="17"/>
      <c r="Q3434" s="22"/>
      <c r="R3434" s="23"/>
    </row>
    <row r="3435" spans="1:18" ht="12.75">
      <c r="A3435" s="22"/>
      <c r="D3435" s="19"/>
      <c r="H3435" s="18"/>
      <c r="J3435" s="18"/>
      <c r="N3435" s="16"/>
      <c r="O3435" s="17"/>
      <c r="P3435" s="17"/>
      <c r="Q3435" s="22"/>
      <c r="R3435" s="23"/>
    </row>
    <row r="3436" spans="1:18" ht="12.75">
      <c r="A3436" s="22"/>
      <c r="D3436" s="19"/>
      <c r="H3436" s="18"/>
      <c r="J3436" s="18"/>
      <c r="N3436" s="16"/>
      <c r="O3436" s="17"/>
      <c r="P3436" s="17"/>
      <c r="Q3436" s="22"/>
      <c r="R3436" s="23"/>
    </row>
    <row r="3437" spans="1:18" ht="12.75">
      <c r="A3437" s="22"/>
      <c r="D3437" s="19"/>
      <c r="H3437" s="18"/>
      <c r="J3437" s="18"/>
      <c r="N3437" s="16"/>
      <c r="O3437" s="17"/>
      <c r="P3437" s="17"/>
      <c r="Q3437" s="22"/>
      <c r="R3437" s="23"/>
    </row>
    <row r="3438" spans="1:18" ht="12.75">
      <c r="A3438" s="22"/>
      <c r="D3438" s="19"/>
      <c r="H3438" s="18"/>
      <c r="J3438" s="18"/>
      <c r="N3438" s="16"/>
      <c r="O3438" s="17"/>
      <c r="P3438" s="17"/>
      <c r="Q3438" s="22"/>
      <c r="R3438" s="23"/>
    </row>
    <row r="3439" spans="1:18" ht="12.75">
      <c r="A3439" s="22"/>
      <c r="D3439" s="19"/>
      <c r="H3439" s="18"/>
      <c r="J3439" s="18"/>
      <c r="N3439" s="16"/>
      <c r="O3439" s="17"/>
      <c r="P3439" s="17"/>
      <c r="Q3439" s="22"/>
      <c r="R3439" s="23"/>
    </row>
    <row r="3440" spans="1:18" ht="12.75">
      <c r="A3440" s="22"/>
      <c r="D3440" s="19"/>
      <c r="H3440" s="18"/>
      <c r="J3440" s="18"/>
      <c r="N3440" s="16"/>
      <c r="O3440" s="17"/>
      <c r="P3440" s="17"/>
      <c r="Q3440" s="22"/>
      <c r="R3440" s="23"/>
    </row>
    <row r="3441" spans="1:18" ht="12.75">
      <c r="A3441" s="22"/>
      <c r="D3441" s="19"/>
      <c r="H3441" s="18"/>
      <c r="J3441" s="18"/>
      <c r="N3441" s="16"/>
      <c r="O3441" s="17"/>
      <c r="P3441" s="17"/>
      <c r="Q3441" s="22"/>
      <c r="R3441" s="23"/>
    </row>
    <row r="3442" spans="1:18" ht="12.75">
      <c r="A3442" s="22"/>
      <c r="D3442" s="19"/>
      <c r="H3442" s="18"/>
      <c r="J3442" s="18"/>
      <c r="N3442" s="16"/>
      <c r="O3442" s="17"/>
      <c r="P3442" s="17"/>
      <c r="Q3442" s="22"/>
      <c r="R3442" s="23"/>
    </row>
    <row r="3443" spans="1:18" ht="12.75">
      <c r="A3443" s="22"/>
      <c r="D3443" s="19"/>
      <c r="H3443" s="18"/>
      <c r="J3443" s="18"/>
      <c r="N3443" s="16"/>
      <c r="O3443" s="17"/>
      <c r="P3443" s="17"/>
      <c r="Q3443" s="22"/>
      <c r="R3443" s="23"/>
    </row>
    <row r="3444" spans="1:18" ht="12.75">
      <c r="A3444" s="22"/>
      <c r="D3444" s="19"/>
      <c r="H3444" s="18"/>
      <c r="J3444" s="18"/>
      <c r="N3444" s="16"/>
      <c r="O3444" s="17"/>
      <c r="P3444" s="17"/>
      <c r="Q3444" s="22"/>
      <c r="R3444" s="23"/>
    </row>
    <row r="3445" spans="1:18" ht="12.75">
      <c r="A3445" s="22"/>
      <c r="D3445" s="19"/>
      <c r="H3445" s="18"/>
      <c r="J3445" s="18"/>
      <c r="N3445" s="16"/>
      <c r="O3445" s="17"/>
      <c r="P3445" s="17"/>
      <c r="Q3445" s="22"/>
      <c r="R3445" s="23"/>
    </row>
    <row r="3446" spans="1:18" ht="12.75">
      <c r="A3446" s="22"/>
      <c r="D3446" s="19"/>
      <c r="H3446" s="18"/>
      <c r="J3446" s="18"/>
      <c r="N3446" s="16"/>
      <c r="O3446" s="17"/>
      <c r="P3446" s="17"/>
      <c r="Q3446" s="22"/>
      <c r="R3446" s="23"/>
    </row>
    <row r="3447" spans="1:18" ht="12.75">
      <c r="A3447" s="22"/>
      <c r="D3447" s="19"/>
      <c r="H3447" s="18"/>
      <c r="J3447" s="18"/>
      <c r="N3447" s="16"/>
      <c r="O3447" s="17"/>
      <c r="P3447" s="17"/>
      <c r="Q3447" s="22"/>
      <c r="R3447" s="23"/>
    </row>
    <row r="3448" spans="1:18" ht="12.75">
      <c r="A3448" s="22"/>
      <c r="D3448" s="19"/>
      <c r="H3448" s="18"/>
      <c r="J3448" s="18"/>
      <c r="N3448" s="16"/>
      <c r="O3448" s="17"/>
      <c r="P3448" s="17"/>
      <c r="Q3448" s="22"/>
      <c r="R3448" s="23"/>
    </row>
    <row r="3449" spans="1:18" ht="12.75">
      <c r="A3449" s="22"/>
      <c r="D3449" s="19"/>
      <c r="H3449" s="18"/>
      <c r="J3449" s="18"/>
      <c r="N3449" s="16"/>
      <c r="O3449" s="17"/>
      <c r="P3449" s="17"/>
      <c r="Q3449" s="22"/>
      <c r="R3449" s="23"/>
    </row>
    <row r="3450" spans="1:18" ht="12.75">
      <c r="A3450" s="22"/>
      <c r="D3450" s="19"/>
      <c r="H3450" s="18"/>
      <c r="J3450" s="18"/>
      <c r="N3450" s="16"/>
      <c r="O3450" s="17"/>
      <c r="P3450" s="17"/>
      <c r="Q3450" s="22"/>
      <c r="R3450" s="23"/>
    </row>
    <row r="3451" spans="1:18" ht="12.75">
      <c r="A3451" s="22"/>
      <c r="D3451" s="19"/>
      <c r="H3451" s="18"/>
      <c r="J3451" s="18"/>
      <c r="N3451" s="16"/>
      <c r="O3451" s="17"/>
      <c r="P3451" s="17"/>
      <c r="Q3451" s="22"/>
      <c r="R3451" s="23"/>
    </row>
    <row r="3452" spans="1:18" ht="12.75">
      <c r="A3452" s="22"/>
      <c r="D3452" s="19"/>
      <c r="H3452" s="18"/>
      <c r="J3452" s="18"/>
      <c r="N3452" s="16"/>
      <c r="O3452" s="17"/>
      <c r="P3452" s="17"/>
      <c r="Q3452" s="22"/>
      <c r="R3452" s="23"/>
    </row>
    <row r="3453" spans="1:18" ht="12.75">
      <c r="A3453" s="22"/>
      <c r="D3453" s="19"/>
      <c r="H3453" s="18"/>
      <c r="J3453" s="18"/>
      <c r="N3453" s="16"/>
      <c r="O3453" s="17"/>
      <c r="P3453" s="17"/>
      <c r="Q3453" s="22"/>
      <c r="R3453" s="23"/>
    </row>
    <row r="3454" spans="1:18" ht="12.75">
      <c r="A3454" s="22"/>
      <c r="D3454" s="19"/>
      <c r="H3454" s="18"/>
      <c r="J3454" s="18"/>
      <c r="N3454" s="16"/>
      <c r="O3454" s="17"/>
      <c r="P3454" s="17"/>
      <c r="Q3454" s="22"/>
      <c r="R3454" s="23"/>
    </row>
    <row r="3455" spans="1:18" ht="12.75">
      <c r="A3455" s="22"/>
      <c r="D3455" s="19"/>
      <c r="H3455" s="18"/>
      <c r="J3455" s="18"/>
      <c r="N3455" s="16"/>
      <c r="O3455" s="17"/>
      <c r="P3455" s="17"/>
      <c r="Q3455" s="22"/>
      <c r="R3455" s="23"/>
    </row>
    <row r="3456" spans="1:18" ht="12.75">
      <c r="A3456" s="22"/>
      <c r="D3456" s="19"/>
      <c r="H3456" s="18"/>
      <c r="J3456" s="18"/>
      <c r="N3456" s="16"/>
      <c r="O3456" s="17"/>
      <c r="P3456" s="17"/>
      <c r="Q3456" s="22"/>
      <c r="R3456" s="23"/>
    </row>
    <row r="3457" spans="1:18" ht="12.75">
      <c r="A3457" s="22"/>
      <c r="D3457" s="19"/>
      <c r="H3457" s="18"/>
      <c r="J3457" s="18"/>
      <c r="N3457" s="16"/>
      <c r="O3457" s="17"/>
      <c r="P3457" s="17"/>
      <c r="Q3457" s="22"/>
      <c r="R3457" s="23"/>
    </row>
    <row r="3458" spans="1:18" ht="12.75">
      <c r="A3458" s="22"/>
      <c r="D3458" s="19"/>
      <c r="H3458" s="18"/>
      <c r="J3458" s="18"/>
      <c r="N3458" s="16"/>
      <c r="O3458" s="17"/>
      <c r="P3458" s="17"/>
      <c r="Q3458" s="22"/>
      <c r="R3458" s="23"/>
    </row>
    <row r="3459" spans="1:18" ht="12.75">
      <c r="A3459" s="22"/>
      <c r="D3459" s="19"/>
      <c r="H3459" s="18"/>
      <c r="J3459" s="18"/>
      <c r="N3459" s="16"/>
      <c r="O3459" s="17"/>
      <c r="P3459" s="17"/>
      <c r="Q3459" s="22"/>
      <c r="R3459" s="23"/>
    </row>
    <row r="3460" spans="1:18" ht="12.75">
      <c r="A3460" s="22"/>
      <c r="D3460" s="19"/>
      <c r="H3460" s="18"/>
      <c r="J3460" s="18"/>
      <c r="N3460" s="16"/>
      <c r="O3460" s="17"/>
      <c r="P3460" s="17"/>
      <c r="Q3460" s="22"/>
      <c r="R3460" s="23"/>
    </row>
    <row r="3461" spans="1:18" ht="12.75">
      <c r="A3461" s="22"/>
      <c r="D3461" s="19"/>
      <c r="H3461" s="18"/>
      <c r="J3461" s="18"/>
      <c r="N3461" s="16"/>
      <c r="O3461" s="17"/>
      <c r="P3461" s="17"/>
      <c r="Q3461" s="22"/>
      <c r="R3461" s="23"/>
    </row>
    <row r="3462" spans="1:18" ht="12.75">
      <c r="A3462" s="22"/>
      <c r="D3462" s="19"/>
      <c r="H3462" s="18"/>
      <c r="J3462" s="18"/>
      <c r="N3462" s="16"/>
      <c r="O3462" s="17"/>
      <c r="P3462" s="17"/>
      <c r="Q3462" s="22"/>
      <c r="R3462" s="23"/>
    </row>
    <row r="3463" spans="1:18" ht="12.75">
      <c r="A3463" s="22"/>
      <c r="D3463" s="19"/>
      <c r="H3463" s="18"/>
      <c r="J3463" s="18"/>
      <c r="N3463" s="16"/>
      <c r="O3463" s="17"/>
      <c r="P3463" s="17"/>
      <c r="Q3463" s="22"/>
      <c r="R3463" s="23"/>
    </row>
    <row r="3464" spans="1:18" ht="12.75">
      <c r="A3464" s="22"/>
      <c r="D3464" s="19"/>
      <c r="H3464" s="18"/>
      <c r="J3464" s="18"/>
      <c r="N3464" s="16"/>
      <c r="O3464" s="17"/>
      <c r="P3464" s="17"/>
      <c r="Q3464" s="22"/>
      <c r="R3464" s="23"/>
    </row>
    <row r="3465" spans="1:18" ht="12.75">
      <c r="A3465" s="22"/>
      <c r="D3465" s="19"/>
      <c r="H3465" s="18"/>
      <c r="J3465" s="18"/>
      <c r="N3465" s="16"/>
      <c r="O3465" s="17"/>
      <c r="P3465" s="17"/>
      <c r="Q3465" s="22"/>
      <c r="R3465" s="23"/>
    </row>
    <row r="3466" spans="1:18" ht="12.75">
      <c r="A3466" s="22"/>
      <c r="D3466" s="19"/>
      <c r="H3466" s="18"/>
      <c r="J3466" s="18"/>
      <c r="N3466" s="16"/>
      <c r="O3466" s="17"/>
      <c r="P3466" s="17"/>
      <c r="Q3466" s="22"/>
      <c r="R3466" s="23"/>
    </row>
    <row r="3467" spans="1:18" ht="12.75">
      <c r="A3467" s="22"/>
      <c r="D3467" s="19"/>
      <c r="H3467" s="18"/>
      <c r="J3467" s="18"/>
      <c r="N3467" s="16"/>
      <c r="O3467" s="17"/>
      <c r="P3467" s="17"/>
      <c r="Q3467" s="22"/>
      <c r="R3467" s="23"/>
    </row>
    <row r="3468" spans="1:18" ht="12.75">
      <c r="A3468" s="22"/>
      <c r="D3468" s="19"/>
      <c r="H3468" s="18"/>
      <c r="J3468" s="18"/>
      <c r="N3468" s="16"/>
      <c r="O3468" s="17"/>
      <c r="P3468" s="17"/>
      <c r="Q3468" s="22"/>
      <c r="R3468" s="23"/>
    </row>
    <row r="3469" spans="1:18" ht="12.75">
      <c r="A3469" s="22"/>
      <c r="D3469" s="19"/>
      <c r="H3469" s="18"/>
      <c r="J3469" s="18"/>
      <c r="N3469" s="16"/>
      <c r="O3469" s="17"/>
      <c r="P3469" s="17"/>
      <c r="Q3469" s="22"/>
      <c r="R3469" s="23"/>
    </row>
    <row r="3470" spans="1:18" ht="12.75">
      <c r="A3470" s="22"/>
      <c r="D3470" s="19"/>
      <c r="H3470" s="18"/>
      <c r="J3470" s="18"/>
      <c r="N3470" s="16"/>
      <c r="O3470" s="17"/>
      <c r="P3470" s="17"/>
      <c r="Q3470" s="22"/>
      <c r="R3470" s="23"/>
    </row>
    <row r="3471" spans="1:18" ht="12.75">
      <c r="A3471" s="22"/>
      <c r="D3471" s="19"/>
      <c r="H3471" s="18"/>
      <c r="J3471" s="18"/>
      <c r="N3471" s="16"/>
      <c r="O3471" s="17"/>
      <c r="P3471" s="17"/>
      <c r="Q3471" s="22"/>
      <c r="R3471" s="23"/>
    </row>
    <row r="3472" spans="1:18" ht="12.75">
      <c r="A3472" s="22"/>
      <c r="D3472" s="19"/>
      <c r="H3472" s="18"/>
      <c r="J3472" s="18"/>
      <c r="N3472" s="16"/>
      <c r="O3472" s="17"/>
      <c r="P3472" s="17"/>
      <c r="Q3472" s="22"/>
      <c r="R3472" s="23"/>
    </row>
    <row r="3473" spans="1:18" ht="12.75">
      <c r="A3473" s="22"/>
      <c r="D3473" s="19"/>
      <c r="H3473" s="18"/>
      <c r="J3473" s="18"/>
      <c r="N3473" s="16"/>
      <c r="O3473" s="17"/>
      <c r="P3473" s="17"/>
      <c r="Q3473" s="22"/>
      <c r="R3473" s="23"/>
    </row>
    <row r="3474" spans="1:18" ht="12.75">
      <c r="A3474" s="22"/>
      <c r="D3474" s="19"/>
      <c r="H3474" s="18"/>
      <c r="J3474" s="18"/>
      <c r="N3474" s="16"/>
      <c r="O3474" s="17"/>
      <c r="P3474" s="17"/>
      <c r="Q3474" s="22"/>
      <c r="R3474" s="23"/>
    </row>
    <row r="3475" spans="1:18" ht="12.75">
      <c r="A3475" s="22"/>
      <c r="D3475" s="19"/>
      <c r="H3475" s="18"/>
      <c r="J3475" s="18"/>
      <c r="N3475" s="16"/>
      <c r="O3475" s="17"/>
      <c r="P3475" s="17"/>
      <c r="Q3475" s="22"/>
      <c r="R3475" s="23"/>
    </row>
    <row r="3476" spans="1:18" ht="12.75">
      <c r="A3476" s="22"/>
      <c r="D3476" s="19"/>
      <c r="H3476" s="18"/>
      <c r="J3476" s="18"/>
      <c r="N3476" s="16"/>
      <c r="O3476" s="17"/>
      <c r="P3476" s="17"/>
      <c r="Q3476" s="22"/>
      <c r="R3476" s="23"/>
    </row>
    <row r="3477" spans="1:18" ht="12.75">
      <c r="A3477" s="22"/>
      <c r="D3477" s="19"/>
      <c r="H3477" s="18"/>
      <c r="J3477" s="18"/>
      <c r="N3477" s="16"/>
      <c r="O3477" s="17"/>
      <c r="P3477" s="17"/>
      <c r="Q3477" s="22"/>
      <c r="R3477" s="23"/>
    </row>
    <row r="3478" spans="1:18" ht="12.75">
      <c r="A3478" s="22"/>
      <c r="D3478" s="19"/>
      <c r="H3478" s="18"/>
      <c r="J3478" s="18"/>
      <c r="N3478" s="16"/>
      <c r="O3478" s="17"/>
      <c r="P3478" s="17"/>
      <c r="Q3478" s="22"/>
      <c r="R3478" s="23"/>
    </row>
    <row r="3479" spans="1:18" ht="12.75">
      <c r="A3479" s="22"/>
      <c r="D3479" s="19"/>
      <c r="H3479" s="18"/>
      <c r="J3479" s="18"/>
      <c r="N3479" s="16"/>
      <c r="O3479" s="17"/>
      <c r="P3479" s="17"/>
      <c r="Q3479" s="22"/>
      <c r="R3479" s="23"/>
    </row>
    <row r="3480" spans="1:18" ht="12.75">
      <c r="A3480" s="22"/>
      <c r="D3480" s="19"/>
      <c r="H3480" s="18"/>
      <c r="J3480" s="18"/>
      <c r="N3480" s="16"/>
      <c r="O3480" s="17"/>
      <c r="P3480" s="17"/>
      <c r="Q3480" s="22"/>
      <c r="R3480" s="23"/>
    </row>
    <row r="3481" spans="1:18" ht="12.75">
      <c r="A3481" s="22"/>
      <c r="D3481" s="19"/>
      <c r="H3481" s="18"/>
      <c r="J3481" s="18"/>
      <c r="N3481" s="16"/>
      <c r="O3481" s="17"/>
      <c r="P3481" s="17"/>
      <c r="Q3481" s="22"/>
      <c r="R3481" s="23"/>
    </row>
    <row r="3482" spans="1:18" ht="12.75">
      <c r="A3482" s="22"/>
      <c r="D3482" s="19"/>
      <c r="H3482" s="18"/>
      <c r="J3482" s="18"/>
      <c r="N3482" s="16"/>
      <c r="O3482" s="17"/>
      <c r="P3482" s="17"/>
      <c r="Q3482" s="22"/>
      <c r="R3482" s="23"/>
    </row>
    <row r="3483" spans="1:18" ht="12.75">
      <c r="A3483" s="22"/>
      <c r="D3483" s="19"/>
      <c r="H3483" s="18"/>
      <c r="J3483" s="18"/>
      <c r="N3483" s="16"/>
      <c r="O3483" s="17"/>
      <c r="P3483" s="17"/>
      <c r="Q3483" s="22"/>
      <c r="R3483" s="23"/>
    </row>
    <row r="3484" spans="1:18" ht="12.75">
      <c r="A3484" s="22"/>
      <c r="D3484" s="19"/>
      <c r="H3484" s="18"/>
      <c r="J3484" s="18"/>
      <c r="N3484" s="16"/>
      <c r="O3484" s="17"/>
      <c r="P3484" s="17"/>
      <c r="Q3484" s="22"/>
      <c r="R3484" s="23"/>
    </row>
    <row r="3485" spans="1:18" ht="12.75">
      <c r="A3485" s="22"/>
      <c r="D3485" s="19"/>
      <c r="H3485" s="18"/>
      <c r="J3485" s="18"/>
      <c r="N3485" s="16"/>
      <c r="O3485" s="17"/>
      <c r="P3485" s="17"/>
      <c r="Q3485" s="22"/>
      <c r="R3485" s="23"/>
    </row>
    <row r="3486" spans="1:18" ht="12.75">
      <c r="A3486" s="22"/>
      <c r="D3486" s="19"/>
      <c r="H3486" s="18"/>
      <c r="J3486" s="18"/>
      <c r="N3486" s="16"/>
      <c r="O3486" s="17"/>
      <c r="P3486" s="17"/>
      <c r="Q3486" s="22"/>
      <c r="R3486" s="23"/>
    </row>
    <row r="3487" spans="1:18" ht="12.75">
      <c r="A3487" s="22"/>
      <c r="D3487" s="19"/>
      <c r="H3487" s="18"/>
      <c r="J3487" s="18"/>
      <c r="N3487" s="16"/>
      <c r="O3487" s="17"/>
      <c r="P3487" s="17"/>
      <c r="Q3487" s="22"/>
      <c r="R3487" s="23"/>
    </row>
    <row r="3488" spans="1:18" ht="12.75">
      <c r="A3488" s="22"/>
      <c r="D3488" s="19"/>
      <c r="H3488" s="18"/>
      <c r="J3488" s="18"/>
      <c r="N3488" s="16"/>
      <c r="O3488" s="17"/>
      <c r="P3488" s="17"/>
      <c r="Q3488" s="22"/>
      <c r="R3488" s="23"/>
    </row>
    <row r="3489" spans="1:18" ht="12.75">
      <c r="A3489" s="22"/>
      <c r="D3489" s="19"/>
      <c r="H3489" s="18"/>
      <c r="J3489" s="18"/>
      <c r="N3489" s="16"/>
      <c r="O3489" s="17"/>
      <c r="P3489" s="17"/>
      <c r="Q3489" s="22"/>
      <c r="R3489" s="23"/>
    </row>
    <row r="3490" spans="1:18" ht="12.75">
      <c r="A3490" s="22"/>
      <c r="D3490" s="19"/>
      <c r="H3490" s="18"/>
      <c r="J3490" s="18"/>
      <c r="N3490" s="16"/>
      <c r="O3490" s="17"/>
      <c r="P3490" s="17"/>
      <c r="Q3490" s="22"/>
      <c r="R3490" s="23"/>
    </row>
    <row r="3491" spans="1:18" ht="12.75">
      <c r="A3491" s="22"/>
      <c r="D3491" s="19"/>
      <c r="H3491" s="18"/>
      <c r="J3491" s="18"/>
      <c r="N3491" s="16"/>
      <c r="O3491" s="17"/>
      <c r="P3491" s="17"/>
      <c r="Q3491" s="22"/>
      <c r="R3491" s="23"/>
    </row>
    <row r="3492" spans="1:18" ht="12.75">
      <c r="A3492" s="22"/>
      <c r="D3492" s="19"/>
      <c r="H3492" s="18"/>
      <c r="J3492" s="18"/>
      <c r="N3492" s="16"/>
      <c r="O3492" s="17"/>
      <c r="P3492" s="17"/>
      <c r="Q3492" s="22"/>
      <c r="R3492" s="23"/>
    </row>
    <row r="3493" spans="1:18" ht="12.75">
      <c r="A3493" s="22"/>
      <c r="D3493" s="19"/>
      <c r="H3493" s="18"/>
      <c r="J3493" s="18"/>
      <c r="N3493" s="16"/>
      <c r="O3493" s="17"/>
      <c r="P3493" s="17"/>
      <c r="Q3493" s="22"/>
      <c r="R3493" s="23"/>
    </row>
    <row r="3494" spans="1:18" ht="12.75">
      <c r="A3494" s="22"/>
      <c r="D3494" s="19"/>
      <c r="H3494" s="18"/>
      <c r="J3494" s="18"/>
      <c r="N3494" s="16"/>
      <c r="O3494" s="17"/>
      <c r="P3494" s="17"/>
      <c r="Q3494" s="22"/>
      <c r="R3494" s="23"/>
    </row>
    <row r="3495" spans="1:18" ht="12.75">
      <c r="A3495" s="22"/>
      <c r="D3495" s="19"/>
      <c r="H3495" s="18"/>
      <c r="J3495" s="18"/>
      <c r="N3495" s="16"/>
      <c r="O3495" s="17"/>
      <c r="P3495" s="17"/>
      <c r="Q3495" s="22"/>
      <c r="R3495" s="23"/>
    </row>
    <row r="3496" spans="1:18" ht="12.75">
      <c r="A3496" s="22"/>
      <c r="D3496" s="19"/>
      <c r="H3496" s="18"/>
      <c r="J3496" s="18"/>
      <c r="N3496" s="16"/>
      <c r="O3496" s="17"/>
      <c r="P3496" s="17"/>
      <c r="Q3496" s="22"/>
      <c r="R3496" s="23"/>
    </row>
    <row r="3497" spans="1:18" ht="12.75">
      <c r="A3497" s="22"/>
      <c r="D3497" s="19"/>
      <c r="H3497" s="18"/>
      <c r="J3497" s="18"/>
      <c r="N3497" s="16"/>
      <c r="O3497" s="17"/>
      <c r="P3497" s="17"/>
      <c r="Q3497" s="22"/>
      <c r="R3497" s="23"/>
    </row>
    <row r="3498" spans="1:18" ht="12.75">
      <c r="A3498" s="22"/>
      <c r="D3498" s="19"/>
      <c r="H3498" s="18"/>
      <c r="J3498" s="18"/>
      <c r="N3498" s="16"/>
      <c r="O3498" s="17"/>
      <c r="P3498" s="17"/>
      <c r="Q3498" s="22"/>
      <c r="R3498" s="23"/>
    </row>
    <row r="3499" spans="1:18" ht="12.75">
      <c r="A3499" s="22"/>
      <c r="D3499" s="19"/>
      <c r="H3499" s="18"/>
      <c r="J3499" s="18"/>
      <c r="N3499" s="16"/>
      <c r="O3499" s="17"/>
      <c r="P3499" s="17"/>
      <c r="Q3499" s="22"/>
      <c r="R3499" s="23"/>
    </row>
    <row r="3500" spans="1:18" ht="12.75">
      <c r="A3500" s="22"/>
      <c r="D3500" s="19"/>
      <c r="H3500" s="18"/>
      <c r="J3500" s="18"/>
      <c r="N3500" s="16"/>
      <c r="O3500" s="17"/>
      <c r="P3500" s="17"/>
      <c r="Q3500" s="22"/>
      <c r="R3500" s="23"/>
    </row>
    <row r="3501" spans="1:18" ht="12.75">
      <c r="A3501" s="22"/>
      <c r="D3501" s="19"/>
      <c r="H3501" s="18"/>
      <c r="J3501" s="18"/>
      <c r="N3501" s="16"/>
      <c r="O3501" s="17"/>
      <c r="P3501" s="17"/>
      <c r="Q3501" s="22"/>
      <c r="R3501" s="23"/>
    </row>
    <row r="3502" spans="1:18" ht="12.75">
      <c r="A3502" s="22"/>
      <c r="D3502" s="19"/>
      <c r="H3502" s="18"/>
      <c r="J3502" s="18"/>
      <c r="N3502" s="16"/>
      <c r="O3502" s="17"/>
      <c r="P3502" s="17"/>
      <c r="Q3502" s="22"/>
      <c r="R3502" s="23"/>
    </row>
    <row r="3503" spans="1:18" ht="12.75">
      <c r="A3503" s="22"/>
      <c r="D3503" s="19"/>
      <c r="H3503" s="18"/>
      <c r="J3503" s="18"/>
      <c r="N3503" s="16"/>
      <c r="O3503" s="17"/>
      <c r="P3503" s="17"/>
      <c r="Q3503" s="22"/>
      <c r="R3503" s="23"/>
    </row>
    <row r="3504" spans="1:18" ht="12.75">
      <c r="A3504" s="22"/>
      <c r="D3504" s="19"/>
      <c r="H3504" s="18"/>
      <c r="J3504" s="18"/>
      <c r="N3504" s="16"/>
      <c r="O3504" s="17"/>
      <c r="P3504" s="17"/>
      <c r="Q3504" s="22"/>
      <c r="R3504" s="23"/>
    </row>
    <row r="3505" spans="1:18" ht="12.75">
      <c r="A3505" s="22"/>
      <c r="D3505" s="19"/>
      <c r="H3505" s="18"/>
      <c r="J3505" s="18"/>
      <c r="N3505" s="16"/>
      <c r="O3505" s="17"/>
      <c r="P3505" s="17"/>
      <c r="Q3505" s="22"/>
      <c r="R3505" s="23"/>
    </row>
    <row r="3506" spans="1:18" ht="12.75">
      <c r="A3506" s="22"/>
      <c r="D3506" s="19"/>
      <c r="H3506" s="18"/>
      <c r="J3506" s="18"/>
      <c r="N3506" s="16"/>
      <c r="O3506" s="17"/>
      <c r="P3506" s="17"/>
      <c r="Q3506" s="22"/>
      <c r="R3506" s="23"/>
    </row>
    <row r="3507" spans="1:18" ht="12.75">
      <c r="A3507" s="22"/>
      <c r="D3507" s="19"/>
      <c r="H3507" s="18"/>
      <c r="J3507" s="18"/>
      <c r="N3507" s="16"/>
      <c r="O3507" s="17"/>
      <c r="P3507" s="17"/>
      <c r="Q3507" s="22"/>
      <c r="R3507" s="23"/>
    </row>
    <row r="3508" spans="1:18" ht="12.75">
      <c r="A3508" s="22"/>
      <c r="D3508" s="19"/>
      <c r="H3508" s="18"/>
      <c r="J3508" s="18"/>
      <c r="N3508" s="16"/>
      <c r="O3508" s="17"/>
      <c r="P3508" s="17"/>
      <c r="Q3508" s="22"/>
      <c r="R3508" s="23"/>
    </row>
    <row r="3509" spans="1:18" ht="12.75">
      <c r="A3509" s="22"/>
      <c r="D3509" s="19"/>
      <c r="H3509" s="18"/>
      <c r="J3509" s="18"/>
      <c r="N3509" s="16"/>
      <c r="O3509" s="17"/>
      <c r="P3509" s="17"/>
      <c r="Q3509" s="22"/>
      <c r="R3509" s="23"/>
    </row>
    <row r="3510" spans="1:18" ht="12.75">
      <c r="A3510" s="22"/>
      <c r="D3510" s="19"/>
      <c r="H3510" s="18"/>
      <c r="J3510" s="18"/>
      <c r="N3510" s="16"/>
      <c r="O3510" s="17"/>
      <c r="P3510" s="17"/>
      <c r="Q3510" s="22"/>
      <c r="R3510" s="23"/>
    </row>
    <row r="3511" spans="1:18" ht="12.75">
      <c r="A3511" s="22"/>
      <c r="D3511" s="19"/>
      <c r="H3511" s="18"/>
      <c r="J3511" s="18"/>
      <c r="N3511" s="16"/>
      <c r="O3511" s="17"/>
      <c r="P3511" s="17"/>
      <c r="Q3511" s="22"/>
      <c r="R3511" s="23"/>
    </row>
    <row r="3512" spans="1:18" ht="12.75">
      <c r="A3512" s="22"/>
      <c r="D3512" s="19"/>
      <c r="H3512" s="18"/>
      <c r="J3512" s="18"/>
      <c r="N3512" s="16"/>
      <c r="O3512" s="17"/>
      <c r="P3512" s="17"/>
      <c r="Q3512" s="22"/>
      <c r="R3512" s="23"/>
    </row>
    <row r="3513" spans="1:18" ht="12.75">
      <c r="A3513" s="22"/>
      <c r="D3513" s="19"/>
      <c r="H3513" s="18"/>
      <c r="J3513" s="18"/>
      <c r="N3513" s="16"/>
      <c r="O3513" s="17"/>
      <c r="P3513" s="17"/>
      <c r="Q3513" s="22"/>
      <c r="R3513" s="23"/>
    </row>
    <row r="3514" spans="1:18" ht="12.75">
      <c r="A3514" s="22"/>
      <c r="D3514" s="19"/>
      <c r="H3514" s="18"/>
      <c r="J3514" s="18"/>
      <c r="N3514" s="16"/>
      <c r="O3514" s="17"/>
      <c r="P3514" s="17"/>
      <c r="Q3514" s="22"/>
      <c r="R3514" s="23"/>
    </row>
    <row r="3515" spans="1:18" ht="12.75">
      <c r="A3515" s="22"/>
      <c r="D3515" s="19"/>
      <c r="H3515" s="18"/>
      <c r="J3515" s="18"/>
      <c r="N3515" s="16"/>
      <c r="O3515" s="17"/>
      <c r="P3515" s="17"/>
      <c r="Q3515" s="22"/>
      <c r="R3515" s="23"/>
    </row>
    <row r="3516" spans="1:18" ht="12.75">
      <c r="A3516" s="22"/>
      <c r="D3516" s="19"/>
      <c r="H3516" s="18"/>
      <c r="J3516" s="18"/>
      <c r="N3516" s="16"/>
      <c r="O3516" s="17"/>
      <c r="P3516" s="17"/>
      <c r="Q3516" s="22"/>
      <c r="R3516" s="23"/>
    </row>
    <row r="3517" spans="1:18" ht="12.75">
      <c r="A3517" s="22"/>
      <c r="D3517" s="19"/>
      <c r="H3517" s="18"/>
      <c r="J3517" s="18"/>
      <c r="N3517" s="16"/>
      <c r="O3517" s="17"/>
      <c r="P3517" s="17"/>
      <c r="Q3517" s="22"/>
      <c r="R3517" s="23"/>
    </row>
    <row r="3518" spans="1:18" ht="12.75">
      <c r="A3518" s="22"/>
      <c r="D3518" s="19"/>
      <c r="H3518" s="18"/>
      <c r="J3518" s="18"/>
      <c r="N3518" s="16"/>
      <c r="O3518" s="17"/>
      <c r="P3518" s="17"/>
      <c r="Q3518" s="22"/>
      <c r="R3518" s="23"/>
    </row>
    <row r="3519" spans="1:18" ht="12.75">
      <c r="A3519" s="22"/>
      <c r="D3519" s="19"/>
      <c r="H3519" s="18"/>
      <c r="J3519" s="18"/>
      <c r="N3519" s="16"/>
      <c r="O3519" s="17"/>
      <c r="P3519" s="17"/>
      <c r="Q3519" s="22"/>
      <c r="R3519" s="23"/>
    </row>
    <row r="3520" spans="1:18" ht="12.75">
      <c r="A3520" s="22"/>
      <c r="D3520" s="19"/>
      <c r="H3520" s="18"/>
      <c r="J3520" s="18"/>
      <c r="N3520" s="16"/>
      <c r="O3520" s="17"/>
      <c r="P3520" s="17"/>
      <c r="Q3520" s="22"/>
      <c r="R3520" s="23"/>
    </row>
    <row r="3521" spans="1:18" ht="12.75">
      <c r="A3521" s="22"/>
      <c r="D3521" s="19"/>
      <c r="H3521" s="18"/>
      <c r="J3521" s="18"/>
      <c r="N3521" s="16"/>
      <c r="O3521" s="17"/>
      <c r="P3521" s="17"/>
      <c r="Q3521" s="22"/>
      <c r="R3521" s="23"/>
    </row>
    <row r="3522" spans="1:18" ht="12.75">
      <c r="A3522" s="22"/>
      <c r="D3522" s="19"/>
      <c r="H3522" s="18"/>
      <c r="J3522" s="18"/>
      <c r="N3522" s="16"/>
      <c r="O3522" s="17"/>
      <c r="P3522" s="17"/>
      <c r="Q3522" s="22"/>
      <c r="R3522" s="23"/>
    </row>
    <row r="3523" spans="1:18" ht="12.75">
      <c r="A3523" s="22"/>
      <c r="D3523" s="19"/>
      <c r="H3523" s="18"/>
      <c r="J3523" s="18"/>
      <c r="N3523" s="16"/>
      <c r="O3523" s="17"/>
      <c r="P3523" s="17"/>
      <c r="Q3523" s="22"/>
      <c r="R3523" s="23"/>
    </row>
    <row r="3524" spans="1:18" ht="12.75">
      <c r="A3524" s="22"/>
      <c r="D3524" s="19"/>
      <c r="H3524" s="18"/>
      <c r="J3524" s="18"/>
      <c r="N3524" s="16"/>
      <c r="O3524" s="17"/>
      <c r="P3524" s="17"/>
      <c r="Q3524" s="22"/>
      <c r="R3524" s="23"/>
    </row>
    <row r="3525" spans="1:18" ht="12.75">
      <c r="A3525" s="22"/>
      <c r="D3525" s="19"/>
      <c r="H3525" s="18"/>
      <c r="J3525" s="18"/>
      <c r="N3525" s="16"/>
      <c r="O3525" s="17"/>
      <c r="P3525" s="17"/>
      <c r="Q3525" s="22"/>
      <c r="R3525" s="23"/>
    </row>
    <row r="3526" spans="1:18" ht="12.75">
      <c r="A3526" s="22"/>
      <c r="D3526" s="19"/>
      <c r="H3526" s="18"/>
      <c r="J3526" s="18"/>
      <c r="N3526" s="16"/>
      <c r="O3526" s="17"/>
      <c r="P3526" s="17"/>
      <c r="Q3526" s="22"/>
      <c r="R3526" s="23"/>
    </row>
    <row r="3527" spans="1:18" ht="12.75">
      <c r="A3527" s="22"/>
      <c r="D3527" s="19"/>
      <c r="H3527" s="18"/>
      <c r="J3527" s="18"/>
      <c r="N3527" s="16"/>
      <c r="O3527" s="17"/>
      <c r="P3527" s="17"/>
      <c r="Q3527" s="22"/>
      <c r="R3527" s="23"/>
    </row>
    <row r="3528" spans="1:18" ht="12.75">
      <c r="A3528" s="22"/>
      <c r="D3528" s="19"/>
      <c r="H3528" s="18"/>
      <c r="J3528" s="18"/>
      <c r="N3528" s="16"/>
      <c r="O3528" s="17"/>
      <c r="P3528" s="17"/>
      <c r="Q3528" s="22"/>
      <c r="R3528" s="23"/>
    </row>
    <row r="3529" spans="1:18" ht="12.75">
      <c r="A3529" s="22"/>
      <c r="D3529" s="19"/>
      <c r="H3529" s="18"/>
      <c r="J3529" s="18"/>
      <c r="N3529" s="16"/>
      <c r="O3529" s="17"/>
      <c r="P3529" s="17"/>
      <c r="Q3529" s="22"/>
      <c r="R3529" s="23"/>
    </row>
    <row r="3530" spans="1:18" ht="12.75">
      <c r="A3530" s="22"/>
      <c r="D3530" s="19"/>
      <c r="H3530" s="18"/>
      <c r="J3530" s="18"/>
      <c r="N3530" s="16"/>
      <c r="O3530" s="17"/>
      <c r="P3530" s="17"/>
      <c r="Q3530" s="22"/>
      <c r="R3530" s="23"/>
    </row>
    <row r="3531" spans="1:18" ht="12.75">
      <c r="A3531" s="22"/>
      <c r="D3531" s="19"/>
      <c r="H3531" s="18"/>
      <c r="J3531" s="18"/>
      <c r="N3531" s="16"/>
      <c r="O3531" s="17"/>
      <c r="P3531" s="17"/>
      <c r="Q3531" s="22"/>
      <c r="R3531" s="23"/>
    </row>
    <row r="3532" spans="1:18" ht="12.75">
      <c r="A3532" s="22"/>
      <c r="D3532" s="19"/>
      <c r="H3532" s="18"/>
      <c r="J3532" s="18"/>
      <c r="N3532" s="16"/>
      <c r="O3532" s="17"/>
      <c r="P3532" s="17"/>
      <c r="Q3532" s="22"/>
      <c r="R3532" s="23"/>
    </row>
    <row r="3533" spans="1:18" ht="12.75">
      <c r="A3533" s="22"/>
      <c r="D3533" s="19"/>
      <c r="H3533" s="18"/>
      <c r="J3533" s="18"/>
      <c r="N3533" s="16"/>
      <c r="O3533" s="17"/>
      <c r="P3533" s="17"/>
      <c r="Q3533" s="22"/>
      <c r="R3533" s="23"/>
    </row>
    <row r="3534" spans="1:18" ht="12.75">
      <c r="A3534" s="22"/>
      <c r="D3534" s="19"/>
      <c r="H3534" s="18"/>
      <c r="J3534" s="18"/>
      <c r="N3534" s="16"/>
      <c r="O3534" s="17"/>
      <c r="P3534" s="17"/>
      <c r="Q3534" s="22"/>
      <c r="R3534" s="23"/>
    </row>
    <row r="3535" spans="1:18" ht="12.75">
      <c r="A3535" s="22"/>
      <c r="D3535" s="19"/>
      <c r="H3535" s="18"/>
      <c r="J3535" s="18"/>
      <c r="N3535" s="16"/>
      <c r="O3535" s="17"/>
      <c r="P3535" s="17"/>
      <c r="Q3535" s="22"/>
      <c r="R3535" s="23"/>
    </row>
    <row r="3536" spans="1:18" ht="12.75">
      <c r="A3536" s="22"/>
      <c r="D3536" s="19"/>
      <c r="H3536" s="18"/>
      <c r="J3536" s="18"/>
      <c r="N3536" s="16"/>
      <c r="O3536" s="17"/>
      <c r="P3536" s="17"/>
      <c r="Q3536" s="22"/>
      <c r="R3536" s="23"/>
    </row>
    <row r="3537" spans="1:18" ht="12.75">
      <c r="A3537" s="22"/>
      <c r="D3537" s="19"/>
      <c r="H3537" s="18"/>
      <c r="J3537" s="18"/>
      <c r="N3537" s="16"/>
      <c r="O3537" s="17"/>
      <c r="P3537" s="17"/>
      <c r="Q3537" s="22"/>
      <c r="R3537" s="23"/>
    </row>
    <row r="3538" spans="1:18" ht="12.75">
      <c r="A3538" s="22"/>
      <c r="D3538" s="19"/>
      <c r="H3538" s="18"/>
      <c r="J3538" s="18"/>
      <c r="N3538" s="16"/>
      <c r="O3538" s="17"/>
      <c r="P3538" s="17"/>
      <c r="Q3538" s="22"/>
      <c r="R3538" s="23"/>
    </row>
    <row r="3539" spans="1:18" ht="12.75">
      <c r="A3539" s="22"/>
      <c r="D3539" s="19"/>
      <c r="H3539" s="18"/>
      <c r="J3539" s="18"/>
      <c r="N3539" s="16"/>
      <c r="O3539" s="17"/>
      <c r="P3539" s="17"/>
      <c r="Q3539" s="22"/>
      <c r="R3539" s="23"/>
    </row>
    <row r="3540" spans="1:18" ht="12.75">
      <c r="A3540" s="22"/>
      <c r="D3540" s="19"/>
      <c r="H3540" s="18"/>
      <c r="J3540" s="18"/>
      <c r="N3540" s="16"/>
      <c r="O3540" s="17"/>
      <c r="P3540" s="17"/>
      <c r="Q3540" s="22"/>
      <c r="R3540" s="23"/>
    </row>
    <row r="3541" spans="1:18" ht="12.75">
      <c r="A3541" s="22"/>
      <c r="D3541" s="19"/>
      <c r="H3541" s="18"/>
      <c r="J3541" s="18"/>
      <c r="N3541" s="16"/>
      <c r="O3541" s="17"/>
      <c r="P3541" s="17"/>
      <c r="Q3541" s="22"/>
      <c r="R3541" s="23"/>
    </row>
    <row r="3542" spans="1:18" ht="12.75">
      <c r="A3542" s="22"/>
      <c r="D3542" s="19"/>
      <c r="H3542" s="18"/>
      <c r="J3542" s="18"/>
      <c r="N3542" s="16"/>
      <c r="O3542" s="17"/>
      <c r="P3542" s="17"/>
      <c r="Q3542" s="22"/>
      <c r="R3542" s="23"/>
    </row>
    <row r="3543" spans="1:18" ht="12.75">
      <c r="A3543" s="22"/>
      <c r="D3543" s="19"/>
      <c r="H3543" s="18"/>
      <c r="J3543" s="18"/>
      <c r="N3543" s="16"/>
      <c r="O3543" s="17"/>
      <c r="P3543" s="17"/>
      <c r="Q3543" s="22"/>
      <c r="R3543" s="23"/>
    </row>
    <row r="3544" spans="1:18" ht="12.75">
      <c r="A3544" s="22"/>
      <c r="D3544" s="19"/>
      <c r="H3544" s="18"/>
      <c r="J3544" s="18"/>
      <c r="N3544" s="16"/>
      <c r="O3544" s="17"/>
      <c r="P3544" s="17"/>
      <c r="Q3544" s="22"/>
      <c r="R3544" s="23"/>
    </row>
    <row r="3545" spans="1:18" ht="12.75">
      <c r="A3545" s="22"/>
      <c r="D3545" s="19"/>
      <c r="H3545" s="18"/>
      <c r="J3545" s="18"/>
      <c r="N3545" s="16"/>
      <c r="O3545" s="17"/>
      <c r="P3545" s="17"/>
      <c r="Q3545" s="22"/>
      <c r="R3545" s="23"/>
    </row>
    <row r="3546" spans="1:18" ht="12.75">
      <c r="A3546" s="22"/>
      <c r="D3546" s="19"/>
      <c r="H3546" s="18"/>
      <c r="J3546" s="18"/>
      <c r="N3546" s="16"/>
      <c r="O3546" s="17"/>
      <c r="P3546" s="17"/>
      <c r="Q3546" s="22"/>
      <c r="R3546" s="23"/>
    </row>
    <row r="3547" spans="1:18" ht="12.75">
      <c r="A3547" s="22"/>
      <c r="D3547" s="19"/>
      <c r="H3547" s="18"/>
      <c r="J3547" s="18"/>
      <c r="N3547" s="16"/>
      <c r="O3547" s="17"/>
      <c r="P3547" s="17"/>
      <c r="Q3547" s="22"/>
      <c r="R3547" s="23"/>
    </row>
    <row r="3548" spans="1:18" ht="12.75">
      <c r="A3548" s="22"/>
      <c r="D3548" s="19"/>
      <c r="H3548" s="18"/>
      <c r="J3548" s="18"/>
      <c r="N3548" s="16"/>
      <c r="O3548" s="17"/>
      <c r="P3548" s="17"/>
      <c r="Q3548" s="22"/>
      <c r="R3548" s="23"/>
    </row>
    <row r="3549" spans="1:18" ht="12.75">
      <c r="A3549" s="22"/>
      <c r="D3549" s="19"/>
      <c r="H3549" s="18"/>
      <c r="J3549" s="18"/>
      <c r="N3549" s="16"/>
      <c r="O3549" s="17"/>
      <c r="P3549" s="17"/>
      <c r="Q3549" s="22"/>
      <c r="R3549" s="23"/>
    </row>
    <row r="3550" spans="1:18" ht="12.75">
      <c r="A3550" s="22"/>
      <c r="D3550" s="19"/>
      <c r="H3550" s="18"/>
      <c r="J3550" s="18"/>
      <c r="N3550" s="16"/>
      <c r="O3550" s="17"/>
      <c r="P3550" s="17"/>
      <c r="Q3550" s="22"/>
      <c r="R3550" s="23"/>
    </row>
    <row r="3551" spans="1:18" ht="12.75">
      <c r="A3551" s="22"/>
      <c r="D3551" s="19"/>
      <c r="H3551" s="18"/>
      <c r="J3551" s="18"/>
      <c r="N3551" s="16"/>
      <c r="O3551" s="17"/>
      <c r="P3551" s="17"/>
      <c r="Q3551" s="22"/>
      <c r="R3551" s="23"/>
    </row>
    <row r="3552" spans="1:18" ht="12.75">
      <c r="A3552" s="22"/>
      <c r="D3552" s="19"/>
      <c r="H3552" s="18"/>
      <c r="J3552" s="18"/>
      <c r="N3552" s="16"/>
      <c r="O3552" s="17"/>
      <c r="P3552" s="17"/>
      <c r="Q3552" s="22"/>
      <c r="R3552" s="23"/>
    </row>
    <row r="3553" spans="1:18" ht="12.75">
      <c r="A3553" s="22"/>
      <c r="D3553" s="19"/>
      <c r="H3553" s="18"/>
      <c r="J3553" s="18"/>
      <c r="N3553" s="16"/>
      <c r="O3553" s="17"/>
      <c r="P3553" s="17"/>
      <c r="Q3553" s="22"/>
      <c r="R3553" s="23"/>
    </row>
    <row r="3554" spans="1:18" ht="12.75">
      <c r="A3554" s="22"/>
      <c r="D3554" s="19"/>
      <c r="H3554" s="18"/>
      <c r="J3554" s="18"/>
      <c r="N3554" s="16"/>
      <c r="O3554" s="17"/>
      <c r="P3554" s="17"/>
      <c r="Q3554" s="22"/>
      <c r="R3554" s="23"/>
    </row>
    <row r="3555" spans="1:18" ht="12.75">
      <c r="A3555" s="22"/>
      <c r="D3555" s="19"/>
      <c r="H3555" s="18"/>
      <c r="J3555" s="18"/>
      <c r="N3555" s="16"/>
      <c r="O3555" s="17"/>
      <c r="P3555" s="17"/>
      <c r="Q3555" s="22"/>
      <c r="R3555" s="23"/>
    </row>
    <row r="3556" spans="1:18" ht="12.75">
      <c r="A3556" s="22"/>
      <c r="D3556" s="19"/>
      <c r="H3556" s="18"/>
      <c r="J3556" s="18"/>
      <c r="N3556" s="16"/>
      <c r="O3556" s="17"/>
      <c r="P3556" s="17"/>
      <c r="Q3556" s="22"/>
      <c r="R3556" s="23"/>
    </row>
    <row r="3557" spans="1:18" ht="12.75">
      <c r="A3557" s="22"/>
      <c r="D3557" s="19"/>
      <c r="H3557" s="18"/>
      <c r="J3557" s="18"/>
      <c r="N3557" s="16"/>
      <c r="O3557" s="17"/>
      <c r="P3557" s="17"/>
      <c r="Q3557" s="22"/>
      <c r="R3557" s="23"/>
    </row>
    <row r="3558" spans="1:18" ht="12.75">
      <c r="A3558" s="22"/>
      <c r="D3558" s="19"/>
      <c r="H3558" s="18"/>
      <c r="J3558" s="18"/>
      <c r="N3558" s="16"/>
      <c r="O3558" s="17"/>
      <c r="P3558" s="17"/>
      <c r="Q3558" s="22"/>
      <c r="R3558" s="23"/>
    </row>
    <row r="3559" spans="1:18" ht="12.75">
      <c r="A3559" s="22"/>
      <c r="D3559" s="19"/>
      <c r="H3559" s="18"/>
      <c r="J3559" s="18"/>
      <c r="N3559" s="16"/>
      <c r="O3559" s="17"/>
      <c r="P3559" s="17"/>
      <c r="Q3559" s="22"/>
      <c r="R3559" s="23"/>
    </row>
    <row r="3560" spans="1:18" ht="12.75">
      <c r="A3560" s="22"/>
      <c r="D3560" s="19"/>
      <c r="H3560" s="18"/>
      <c r="J3560" s="18"/>
      <c r="N3560" s="16"/>
      <c r="O3560" s="17"/>
      <c r="P3560" s="17"/>
      <c r="Q3560" s="22"/>
      <c r="R3560" s="23"/>
    </row>
    <row r="3561" spans="1:18" ht="12.75">
      <c r="A3561" s="22"/>
      <c r="D3561" s="19"/>
      <c r="H3561" s="18"/>
      <c r="J3561" s="18"/>
      <c r="N3561" s="16"/>
      <c r="O3561" s="17"/>
      <c r="P3561" s="17"/>
      <c r="Q3561" s="22"/>
      <c r="R3561" s="23"/>
    </row>
    <row r="3562" spans="1:18" ht="12.75">
      <c r="A3562" s="22"/>
      <c r="D3562" s="19"/>
      <c r="H3562" s="18"/>
      <c r="J3562" s="18"/>
      <c r="N3562" s="16"/>
      <c r="O3562" s="17"/>
      <c r="P3562" s="17"/>
      <c r="Q3562" s="22"/>
      <c r="R3562" s="23"/>
    </row>
    <row r="3563" spans="1:18" ht="12.75">
      <c r="A3563" s="22"/>
      <c r="D3563" s="19"/>
      <c r="H3563" s="18"/>
      <c r="J3563" s="18"/>
      <c r="N3563" s="16"/>
      <c r="O3563" s="17"/>
      <c r="P3563" s="17"/>
      <c r="Q3563" s="22"/>
      <c r="R3563" s="23"/>
    </row>
    <row r="3564" spans="1:18" ht="12.75">
      <c r="A3564" s="22"/>
      <c r="D3564" s="19"/>
      <c r="H3564" s="18"/>
      <c r="J3564" s="18"/>
      <c r="N3564" s="16"/>
      <c r="O3564" s="17"/>
      <c r="P3564" s="17"/>
      <c r="Q3564" s="22"/>
      <c r="R3564" s="23"/>
    </row>
    <row r="3565" spans="1:18" ht="12.75">
      <c r="A3565" s="22"/>
      <c r="D3565" s="19"/>
      <c r="H3565" s="18"/>
      <c r="J3565" s="18"/>
      <c r="N3565" s="16"/>
      <c r="O3565" s="17"/>
      <c r="P3565" s="17"/>
      <c r="Q3565" s="22"/>
      <c r="R3565" s="23"/>
    </row>
    <row r="3566" spans="1:18" ht="12.75">
      <c r="A3566" s="22"/>
      <c r="D3566" s="19"/>
      <c r="H3566" s="18"/>
      <c r="J3566" s="18"/>
      <c r="N3566" s="16"/>
      <c r="O3566" s="17"/>
      <c r="P3566" s="17"/>
      <c r="Q3566" s="22"/>
      <c r="R3566" s="23"/>
    </row>
    <row r="3567" spans="1:18" ht="12.75">
      <c r="A3567" s="22"/>
      <c r="D3567" s="19"/>
      <c r="H3567" s="18"/>
      <c r="J3567" s="18"/>
      <c r="N3567" s="16"/>
      <c r="O3567" s="17"/>
      <c r="P3567" s="17"/>
      <c r="Q3567" s="22"/>
      <c r="R3567" s="23"/>
    </row>
    <row r="3568" spans="1:18" ht="12.75">
      <c r="A3568" s="22"/>
      <c r="D3568" s="19"/>
      <c r="H3568" s="18"/>
      <c r="J3568" s="18"/>
      <c r="N3568" s="16"/>
      <c r="O3568" s="17"/>
      <c r="P3568" s="17"/>
      <c r="Q3568" s="22"/>
      <c r="R3568" s="23"/>
    </row>
    <row r="3569" spans="1:18" ht="12.75">
      <c r="A3569" s="22"/>
      <c r="D3569" s="19"/>
      <c r="H3569" s="18"/>
      <c r="J3569" s="18"/>
      <c r="N3569" s="16"/>
      <c r="O3569" s="17"/>
      <c r="P3569" s="17"/>
      <c r="Q3569" s="22"/>
      <c r="R3569" s="23"/>
    </row>
    <row r="3570" spans="1:18" ht="12.75">
      <c r="A3570" s="22"/>
      <c r="D3570" s="19"/>
      <c r="H3570" s="18"/>
      <c r="J3570" s="18"/>
      <c r="N3570" s="16"/>
      <c r="O3570" s="17"/>
      <c r="P3570" s="17"/>
      <c r="Q3570" s="22"/>
      <c r="R3570" s="23"/>
    </row>
    <row r="3571" spans="1:18" ht="12.75">
      <c r="A3571" s="22"/>
      <c r="D3571" s="19"/>
      <c r="H3571" s="18"/>
      <c r="J3571" s="18"/>
      <c r="N3571" s="16"/>
      <c r="O3571" s="17"/>
      <c r="P3571" s="17"/>
      <c r="Q3571" s="22"/>
      <c r="R3571" s="23"/>
    </row>
    <row r="3572" spans="1:18" ht="12.75">
      <c r="A3572" s="22"/>
      <c r="D3572" s="19"/>
      <c r="H3572" s="18"/>
      <c r="J3572" s="18"/>
      <c r="N3572" s="16"/>
      <c r="O3572" s="17"/>
      <c r="P3572" s="17"/>
      <c r="Q3572" s="22"/>
      <c r="R3572" s="23"/>
    </row>
    <row r="3573" spans="1:18" ht="12.75">
      <c r="A3573" s="22"/>
      <c r="D3573" s="19"/>
      <c r="H3573" s="18"/>
      <c r="J3573" s="18"/>
      <c r="N3573" s="16"/>
      <c r="O3573" s="17"/>
      <c r="P3573" s="17"/>
      <c r="Q3573" s="22"/>
      <c r="R3573" s="23"/>
    </row>
    <row r="3574" spans="1:18" ht="12.75">
      <c r="A3574" s="22"/>
      <c r="D3574" s="19"/>
      <c r="H3574" s="18"/>
      <c r="J3574" s="18"/>
      <c r="N3574" s="16"/>
      <c r="O3574" s="17"/>
      <c r="P3574" s="17"/>
      <c r="Q3574" s="22"/>
      <c r="R3574" s="23"/>
    </row>
    <row r="3575" spans="1:18" ht="12.75">
      <c r="A3575" s="22"/>
      <c r="D3575" s="19"/>
      <c r="H3575" s="18"/>
      <c r="J3575" s="18"/>
      <c r="N3575" s="16"/>
      <c r="O3575" s="17"/>
      <c r="P3575" s="17"/>
      <c r="Q3575" s="22"/>
      <c r="R3575" s="23"/>
    </row>
    <row r="3576" spans="1:18" ht="12.75">
      <c r="A3576" s="22"/>
      <c r="D3576" s="19"/>
      <c r="H3576" s="18"/>
      <c r="J3576" s="18"/>
      <c r="N3576" s="16"/>
      <c r="O3576" s="17"/>
      <c r="P3576" s="17"/>
      <c r="Q3576" s="22"/>
      <c r="R3576" s="23"/>
    </row>
    <row r="3577" spans="1:18" ht="12.75">
      <c r="A3577" s="22"/>
      <c r="D3577" s="19"/>
      <c r="H3577" s="18"/>
      <c r="J3577" s="18"/>
      <c r="N3577" s="16"/>
      <c r="O3577" s="17"/>
      <c r="P3577" s="17"/>
      <c r="Q3577" s="22"/>
      <c r="R3577" s="23"/>
    </row>
    <row r="3578" spans="1:18" ht="12.75">
      <c r="A3578" s="22"/>
      <c r="D3578" s="19"/>
      <c r="H3578" s="18"/>
      <c r="J3578" s="18"/>
      <c r="N3578" s="16"/>
      <c r="O3578" s="17"/>
      <c r="P3578" s="17"/>
      <c r="Q3578" s="22"/>
      <c r="R3578" s="23"/>
    </row>
    <row r="3579" spans="1:18" ht="12.75">
      <c r="A3579" s="22"/>
      <c r="D3579" s="19"/>
      <c r="H3579" s="18"/>
      <c r="J3579" s="18"/>
      <c r="N3579" s="16"/>
      <c r="O3579" s="17"/>
      <c r="P3579" s="17"/>
      <c r="Q3579" s="22"/>
      <c r="R3579" s="23"/>
    </row>
    <row r="3580" spans="1:18" ht="12.75">
      <c r="A3580" s="22"/>
      <c r="D3580" s="19"/>
      <c r="H3580" s="18"/>
      <c r="J3580" s="18"/>
      <c r="N3580" s="16"/>
      <c r="O3580" s="17"/>
      <c r="P3580" s="17"/>
      <c r="Q3580" s="22"/>
      <c r="R3580" s="23"/>
    </row>
    <row r="3581" spans="1:18" ht="12.75">
      <c r="A3581" s="22"/>
      <c r="D3581" s="19"/>
      <c r="H3581" s="18"/>
      <c r="J3581" s="18"/>
      <c r="N3581" s="16"/>
      <c r="O3581" s="17"/>
      <c r="P3581" s="17"/>
      <c r="Q3581" s="22"/>
      <c r="R3581" s="23"/>
    </row>
    <row r="3582" spans="1:18" ht="12.75">
      <c r="A3582" s="22"/>
      <c r="D3582" s="19"/>
      <c r="H3582" s="18"/>
      <c r="J3582" s="18"/>
      <c r="N3582" s="16"/>
      <c r="O3582" s="17"/>
      <c r="P3582" s="17"/>
      <c r="Q3582" s="22"/>
      <c r="R3582" s="23"/>
    </row>
    <row r="3583" spans="1:18" ht="12.75">
      <c r="A3583" s="22"/>
      <c r="D3583" s="19"/>
      <c r="H3583" s="18"/>
      <c r="J3583" s="18"/>
      <c r="N3583" s="16"/>
      <c r="O3583" s="17"/>
      <c r="P3583" s="17"/>
      <c r="Q3583" s="22"/>
      <c r="R3583" s="23"/>
    </row>
    <row r="3584" spans="1:18" ht="12.75">
      <c r="A3584" s="22"/>
      <c r="D3584" s="19"/>
      <c r="H3584" s="18"/>
      <c r="J3584" s="18"/>
      <c r="N3584" s="16"/>
      <c r="O3584" s="17"/>
      <c r="P3584" s="17"/>
      <c r="Q3584" s="22"/>
      <c r="R3584" s="23"/>
    </row>
    <row r="3585" spans="1:18" ht="12.75">
      <c r="A3585" s="22"/>
      <c r="D3585" s="19"/>
      <c r="H3585" s="18"/>
      <c r="J3585" s="18"/>
      <c r="N3585" s="16"/>
      <c r="O3585" s="17"/>
      <c r="P3585" s="17"/>
      <c r="Q3585" s="22"/>
      <c r="R3585" s="23"/>
    </row>
    <row r="3586" spans="1:18" ht="12.75">
      <c r="A3586" s="22"/>
      <c r="D3586" s="19"/>
      <c r="H3586" s="18"/>
      <c r="J3586" s="18"/>
      <c r="N3586" s="16"/>
      <c r="O3586" s="17"/>
      <c r="P3586" s="17"/>
      <c r="Q3586" s="22"/>
      <c r="R3586" s="23"/>
    </row>
    <row r="3587" spans="1:18" ht="12.75">
      <c r="A3587" s="22"/>
      <c r="D3587" s="19"/>
      <c r="H3587" s="18"/>
      <c r="J3587" s="18"/>
      <c r="N3587" s="16"/>
      <c r="O3587" s="17"/>
      <c r="P3587" s="17"/>
      <c r="Q3587" s="22"/>
      <c r="R3587" s="23"/>
    </row>
    <row r="3588" spans="1:18" ht="12.75">
      <c r="A3588" s="22"/>
      <c r="D3588" s="19"/>
      <c r="H3588" s="18"/>
      <c r="J3588" s="18"/>
      <c r="N3588" s="16"/>
      <c r="O3588" s="17"/>
      <c r="P3588" s="17"/>
      <c r="Q3588" s="22"/>
      <c r="R3588" s="23"/>
    </row>
    <row r="3589" spans="1:18" ht="12.75">
      <c r="A3589" s="22"/>
      <c r="D3589" s="19"/>
      <c r="H3589" s="18"/>
      <c r="J3589" s="18"/>
      <c r="N3589" s="16"/>
      <c r="O3589" s="17"/>
      <c r="P3589" s="17"/>
      <c r="Q3589" s="22"/>
      <c r="R3589" s="23"/>
    </row>
    <row r="3590" spans="1:18" ht="12.75">
      <c r="A3590" s="22"/>
      <c r="D3590" s="19"/>
      <c r="H3590" s="18"/>
      <c r="J3590" s="18"/>
      <c r="N3590" s="16"/>
      <c r="O3590" s="17"/>
      <c r="P3590" s="17"/>
      <c r="Q3590" s="22"/>
      <c r="R3590" s="23"/>
    </row>
    <row r="3591" spans="1:18" ht="12.75">
      <c r="A3591" s="22"/>
      <c r="D3591" s="19"/>
      <c r="H3591" s="18"/>
      <c r="J3591" s="18"/>
      <c r="N3591" s="16"/>
      <c r="O3591" s="17"/>
      <c r="P3591" s="17"/>
      <c r="Q3591" s="22"/>
      <c r="R3591" s="23"/>
    </row>
    <row r="3592" spans="1:18" ht="12.75">
      <c r="A3592" s="22"/>
      <c r="D3592" s="19"/>
      <c r="H3592" s="18"/>
      <c r="J3592" s="18"/>
      <c r="N3592" s="16"/>
      <c r="O3592" s="17"/>
      <c r="P3592" s="17"/>
      <c r="Q3592" s="22"/>
      <c r="R3592" s="23"/>
    </row>
    <row r="3593" spans="1:18" ht="12.75">
      <c r="A3593" s="22"/>
      <c r="D3593" s="19"/>
      <c r="H3593" s="18"/>
      <c r="J3593" s="18"/>
      <c r="N3593" s="16"/>
      <c r="O3593" s="17"/>
      <c r="P3593" s="17"/>
      <c r="Q3593" s="22"/>
      <c r="R3593" s="23"/>
    </row>
    <row r="3594" spans="1:18" ht="12.75">
      <c r="A3594" s="22"/>
      <c r="D3594" s="19"/>
      <c r="H3594" s="18"/>
      <c r="J3594" s="18"/>
      <c r="N3594" s="16"/>
      <c r="O3594" s="17"/>
      <c r="P3594" s="17"/>
      <c r="Q3594" s="22"/>
      <c r="R3594" s="23"/>
    </row>
    <row r="3595" spans="1:18" ht="12.75">
      <c r="A3595" s="22"/>
      <c r="D3595" s="19"/>
      <c r="H3595" s="18"/>
      <c r="J3595" s="18"/>
      <c r="N3595" s="16"/>
      <c r="O3595" s="17"/>
      <c r="P3595" s="17"/>
      <c r="Q3595" s="22"/>
      <c r="R3595" s="23"/>
    </row>
    <row r="3596" spans="1:18" ht="12.75">
      <c r="A3596" s="22"/>
      <c r="D3596" s="19"/>
      <c r="H3596" s="18"/>
      <c r="J3596" s="18"/>
      <c r="N3596" s="16"/>
      <c r="O3596" s="17"/>
      <c r="P3596" s="17"/>
      <c r="Q3596" s="22"/>
      <c r="R3596" s="23"/>
    </row>
    <row r="3597" spans="1:18" ht="12.75">
      <c r="A3597" s="22"/>
      <c r="D3597" s="19"/>
      <c r="H3597" s="18"/>
      <c r="J3597" s="18"/>
      <c r="N3597" s="16"/>
      <c r="O3597" s="17"/>
      <c r="P3597" s="17"/>
      <c r="Q3597" s="22"/>
      <c r="R3597" s="23"/>
    </row>
    <row r="3598" spans="1:18" ht="12.75">
      <c r="A3598" s="22"/>
      <c r="D3598" s="19"/>
      <c r="H3598" s="18"/>
      <c r="J3598" s="18"/>
      <c r="N3598" s="16"/>
      <c r="O3598" s="17"/>
      <c r="P3598" s="17"/>
      <c r="Q3598" s="22"/>
      <c r="R3598" s="23"/>
    </row>
    <row r="3599" spans="1:18" ht="12.75">
      <c r="A3599" s="22"/>
      <c r="D3599" s="19"/>
      <c r="H3599" s="18"/>
      <c r="J3599" s="18"/>
      <c r="N3599" s="16"/>
      <c r="O3599" s="17"/>
      <c r="P3599" s="17"/>
      <c r="Q3599" s="22"/>
      <c r="R3599" s="23"/>
    </row>
    <row r="3600" spans="1:18" ht="12.75">
      <c r="A3600" s="22"/>
      <c r="D3600" s="19"/>
      <c r="H3600" s="18"/>
      <c r="J3600" s="18"/>
      <c r="N3600" s="16"/>
      <c r="O3600" s="17"/>
      <c r="P3600" s="17"/>
      <c r="Q3600" s="22"/>
      <c r="R3600" s="23"/>
    </row>
    <row r="3601" spans="1:18" ht="12.75">
      <c r="A3601" s="22"/>
      <c r="D3601" s="19"/>
      <c r="H3601" s="18"/>
      <c r="J3601" s="18"/>
      <c r="N3601" s="16"/>
      <c r="O3601" s="17"/>
      <c r="P3601" s="17"/>
      <c r="Q3601" s="22"/>
      <c r="R3601" s="23"/>
    </row>
    <row r="3602" spans="1:18" ht="12.75">
      <c r="A3602" s="22"/>
      <c r="D3602" s="19"/>
      <c r="H3602" s="18"/>
      <c r="J3602" s="18"/>
      <c r="N3602" s="16"/>
      <c r="O3602" s="17"/>
      <c r="P3602" s="17"/>
      <c r="Q3602" s="22"/>
      <c r="R3602" s="23"/>
    </row>
    <row r="3603" spans="1:18" ht="12.75">
      <c r="A3603" s="22"/>
      <c r="D3603" s="19"/>
      <c r="H3603" s="18"/>
      <c r="J3603" s="18"/>
      <c r="N3603" s="16"/>
      <c r="O3603" s="17"/>
      <c r="P3603" s="17"/>
      <c r="Q3603" s="22"/>
      <c r="R3603" s="23"/>
    </row>
    <row r="3604" spans="1:18" ht="12.75">
      <c r="A3604" s="22"/>
      <c r="D3604" s="19"/>
      <c r="H3604" s="18"/>
      <c r="J3604" s="18"/>
      <c r="N3604" s="16"/>
      <c r="O3604" s="17"/>
      <c r="P3604" s="17"/>
      <c r="Q3604" s="22"/>
      <c r="R3604" s="23"/>
    </row>
    <row r="3605" spans="1:18" ht="12.75">
      <c r="A3605" s="22"/>
      <c r="D3605" s="19"/>
      <c r="H3605" s="18"/>
      <c r="J3605" s="18"/>
      <c r="N3605" s="16"/>
      <c r="O3605" s="17"/>
      <c r="P3605" s="17"/>
      <c r="Q3605" s="22"/>
      <c r="R3605" s="23"/>
    </row>
    <row r="3606" spans="1:18" ht="12.75">
      <c r="A3606" s="22"/>
      <c r="D3606" s="19"/>
      <c r="H3606" s="18"/>
      <c r="J3606" s="18"/>
      <c r="N3606" s="16"/>
      <c r="O3606" s="17"/>
      <c r="P3606" s="17"/>
      <c r="Q3606" s="22"/>
      <c r="R3606" s="23"/>
    </row>
    <row r="3607" spans="1:18" ht="12.75">
      <c r="A3607" s="22"/>
      <c r="D3607" s="19"/>
      <c r="H3607" s="18"/>
      <c r="J3607" s="18"/>
      <c r="N3607" s="16"/>
      <c r="O3607" s="17"/>
      <c r="P3607" s="17"/>
      <c r="Q3607" s="22"/>
      <c r="R3607" s="23"/>
    </row>
    <row r="3608" spans="1:18" ht="12.75">
      <c r="A3608" s="22"/>
      <c r="D3608" s="19"/>
      <c r="H3608" s="18"/>
      <c r="J3608" s="18"/>
      <c r="N3608" s="16"/>
      <c r="O3608" s="17"/>
      <c r="P3608" s="17"/>
      <c r="Q3608" s="22"/>
      <c r="R3608" s="23"/>
    </row>
    <row r="3609" spans="1:18" ht="12.75">
      <c r="A3609" s="22"/>
      <c r="D3609" s="19"/>
      <c r="H3609" s="18"/>
      <c r="J3609" s="18"/>
      <c r="N3609" s="16"/>
      <c r="O3609" s="17"/>
      <c r="P3609" s="17"/>
      <c r="Q3609" s="22"/>
      <c r="R3609" s="23"/>
    </row>
    <row r="3610" spans="1:18" ht="12.75">
      <c r="A3610" s="22"/>
      <c r="D3610" s="19"/>
      <c r="H3610" s="18"/>
      <c r="J3610" s="18"/>
      <c r="N3610" s="16"/>
      <c r="O3610" s="17"/>
      <c r="P3610" s="17"/>
      <c r="Q3610" s="22"/>
      <c r="R3610" s="23"/>
    </row>
    <row r="3611" spans="1:18" ht="12.75">
      <c r="A3611" s="22"/>
      <c r="D3611" s="19"/>
      <c r="H3611" s="18"/>
      <c r="J3611" s="18"/>
      <c r="N3611" s="16"/>
      <c r="O3611" s="17"/>
      <c r="P3611" s="17"/>
      <c r="Q3611" s="22"/>
      <c r="R3611" s="23"/>
    </row>
    <row r="3612" spans="1:18" ht="12.75">
      <c r="A3612" s="22"/>
      <c r="D3612" s="19"/>
      <c r="H3612" s="18"/>
      <c r="J3612" s="18"/>
      <c r="N3612" s="16"/>
      <c r="O3612" s="17"/>
      <c r="P3612" s="17"/>
      <c r="Q3612" s="22"/>
      <c r="R3612" s="23"/>
    </row>
    <row r="3613" spans="1:18" ht="12.75">
      <c r="A3613" s="22"/>
      <c r="D3613" s="19"/>
      <c r="H3613" s="18"/>
      <c r="J3613" s="18"/>
      <c r="N3613" s="16"/>
      <c r="O3613" s="17"/>
      <c r="P3613" s="17"/>
      <c r="Q3613" s="22"/>
      <c r="R3613" s="23"/>
    </row>
    <row r="3614" spans="1:18" ht="12.75">
      <c r="A3614" s="22"/>
      <c r="D3614" s="19"/>
      <c r="H3614" s="18"/>
      <c r="J3614" s="18"/>
      <c r="N3614" s="16"/>
      <c r="O3614" s="17"/>
      <c r="P3614" s="17"/>
      <c r="Q3614" s="22"/>
      <c r="R3614" s="23"/>
    </row>
    <row r="3615" spans="1:18" ht="12.75">
      <c r="A3615" s="22"/>
      <c r="D3615" s="19"/>
      <c r="H3615" s="18"/>
      <c r="J3615" s="18"/>
      <c r="N3615" s="16"/>
      <c r="O3615" s="17"/>
      <c r="P3615" s="17"/>
      <c r="Q3615" s="22"/>
      <c r="R3615" s="23"/>
    </row>
    <row r="3616" spans="1:18" ht="12.75">
      <c r="A3616" s="22"/>
      <c r="D3616" s="19"/>
      <c r="H3616" s="18"/>
      <c r="J3616" s="18"/>
      <c r="N3616" s="16"/>
      <c r="O3616" s="17"/>
      <c r="P3616" s="17"/>
      <c r="Q3616" s="22"/>
      <c r="R3616" s="23"/>
    </row>
    <row r="3617" spans="1:18" ht="12.75">
      <c r="A3617" s="22"/>
      <c r="D3617" s="19"/>
      <c r="H3617" s="18"/>
      <c r="J3617" s="18"/>
      <c r="N3617" s="16"/>
      <c r="O3617" s="17"/>
      <c r="P3617" s="17"/>
      <c r="Q3617" s="22"/>
      <c r="R3617" s="23"/>
    </row>
    <row r="3618" spans="1:18" ht="12.75">
      <c r="A3618" s="22"/>
      <c r="D3618" s="19"/>
      <c r="H3618" s="18"/>
      <c r="J3618" s="18"/>
      <c r="N3618" s="16"/>
      <c r="O3618" s="17"/>
      <c r="P3618" s="17"/>
      <c r="Q3618" s="22"/>
      <c r="R3618" s="23"/>
    </row>
    <row r="3619" spans="1:18" ht="12.75">
      <c r="A3619" s="22"/>
      <c r="D3619" s="19"/>
      <c r="H3619" s="18"/>
      <c r="J3619" s="18"/>
      <c r="N3619" s="16"/>
      <c r="O3619" s="17"/>
      <c r="P3619" s="17"/>
      <c r="Q3619" s="22"/>
      <c r="R3619" s="23"/>
    </row>
    <row r="3620" spans="1:18" ht="12.75">
      <c r="A3620" s="22"/>
      <c r="D3620" s="19"/>
      <c r="H3620" s="18"/>
      <c r="J3620" s="18"/>
      <c r="N3620" s="16"/>
      <c r="O3620" s="17"/>
      <c r="P3620" s="17"/>
      <c r="Q3620" s="22"/>
      <c r="R3620" s="23"/>
    </row>
    <row r="3621" spans="1:18" ht="12.75">
      <c r="A3621" s="22"/>
      <c r="D3621" s="19"/>
      <c r="H3621" s="18"/>
      <c r="J3621" s="18"/>
      <c r="N3621" s="16"/>
      <c r="O3621" s="17"/>
      <c r="P3621" s="17"/>
      <c r="Q3621" s="22"/>
      <c r="R3621" s="23"/>
    </row>
    <row r="3622" spans="1:18" ht="12.75">
      <c r="A3622" s="22"/>
      <c r="D3622" s="19"/>
      <c r="H3622" s="18"/>
      <c r="J3622" s="18"/>
      <c r="N3622" s="16"/>
      <c r="O3622" s="17"/>
      <c r="P3622" s="17"/>
      <c r="Q3622" s="22"/>
      <c r="R3622" s="23"/>
    </row>
    <row r="3623" spans="1:18" ht="12.75">
      <c r="A3623" s="22"/>
      <c r="D3623" s="19"/>
      <c r="H3623" s="18"/>
      <c r="J3623" s="18"/>
      <c r="N3623" s="16"/>
      <c r="O3623" s="17"/>
      <c r="P3623" s="17"/>
      <c r="Q3623" s="22"/>
      <c r="R3623" s="23"/>
    </row>
    <row r="3624" spans="1:18" ht="12.75">
      <c r="A3624" s="22"/>
      <c r="D3624" s="19"/>
      <c r="H3624" s="18"/>
      <c r="J3624" s="18"/>
      <c r="N3624" s="16"/>
      <c r="O3624" s="17"/>
      <c r="P3624" s="17"/>
      <c r="Q3624" s="22"/>
      <c r="R3624" s="23"/>
    </row>
    <row r="3625" spans="1:18" ht="12.75">
      <c r="A3625" s="22"/>
      <c r="D3625" s="19"/>
      <c r="H3625" s="18"/>
      <c r="J3625" s="18"/>
      <c r="N3625" s="16"/>
      <c r="O3625" s="17"/>
      <c r="P3625" s="17"/>
      <c r="Q3625" s="22"/>
      <c r="R3625" s="23"/>
    </row>
    <row r="3626" spans="1:18" ht="12.75">
      <c r="A3626" s="22"/>
      <c r="D3626" s="19"/>
      <c r="H3626" s="18"/>
      <c r="J3626" s="18"/>
      <c r="N3626" s="16"/>
      <c r="O3626" s="17"/>
      <c r="P3626" s="17"/>
      <c r="Q3626" s="22"/>
      <c r="R3626" s="23"/>
    </row>
    <row r="3627" spans="1:18" ht="12.75">
      <c r="A3627" s="22"/>
      <c r="D3627" s="19"/>
      <c r="H3627" s="18"/>
      <c r="J3627" s="18"/>
      <c r="N3627" s="16"/>
      <c r="O3627" s="17"/>
      <c r="P3627" s="17"/>
      <c r="Q3627" s="22"/>
      <c r="R3627" s="23"/>
    </row>
    <row r="3628" spans="1:18" ht="12.75">
      <c r="A3628" s="22"/>
      <c r="D3628" s="19"/>
      <c r="H3628" s="18"/>
      <c r="J3628" s="18"/>
      <c r="N3628" s="16"/>
      <c r="O3628" s="17"/>
      <c r="P3628" s="17"/>
      <c r="Q3628" s="22"/>
      <c r="R3628" s="23"/>
    </row>
    <row r="3629" spans="1:18" ht="12.75">
      <c r="A3629" s="22"/>
      <c r="D3629" s="19"/>
      <c r="H3629" s="18"/>
      <c r="J3629" s="18"/>
      <c r="N3629" s="16"/>
      <c r="O3629" s="17"/>
      <c r="P3629" s="17"/>
      <c r="Q3629" s="22"/>
      <c r="R3629" s="23"/>
    </row>
    <row r="3630" spans="1:18" ht="12.75">
      <c r="A3630" s="22"/>
      <c r="D3630" s="19"/>
      <c r="H3630" s="18"/>
      <c r="J3630" s="18"/>
      <c r="N3630" s="16"/>
      <c r="O3630" s="17"/>
      <c r="P3630" s="17"/>
      <c r="Q3630" s="22"/>
      <c r="R3630" s="23"/>
    </row>
    <row r="3631" spans="1:18" ht="12.75">
      <c r="A3631" s="22"/>
      <c r="D3631" s="19"/>
      <c r="H3631" s="18"/>
      <c r="J3631" s="18"/>
      <c r="N3631" s="16"/>
      <c r="O3631" s="17"/>
      <c r="P3631" s="17"/>
      <c r="Q3631" s="22"/>
      <c r="R3631" s="23"/>
    </row>
    <row r="3632" spans="1:18" ht="12.75">
      <c r="A3632" s="22"/>
      <c r="D3632" s="19"/>
      <c r="H3632" s="18"/>
      <c r="J3632" s="18"/>
      <c r="N3632" s="16"/>
      <c r="O3632" s="17"/>
      <c r="P3632" s="17"/>
      <c r="Q3632" s="22"/>
      <c r="R3632" s="23"/>
    </row>
    <row r="3633" spans="1:18" ht="12.75">
      <c r="A3633" s="22"/>
      <c r="D3633" s="19"/>
      <c r="H3633" s="18"/>
      <c r="J3633" s="18"/>
      <c r="N3633" s="16"/>
      <c r="O3633" s="17"/>
      <c r="P3633" s="17"/>
      <c r="Q3633" s="22"/>
      <c r="R3633" s="23"/>
    </row>
    <row r="3634" spans="1:18" ht="12.75">
      <c r="A3634" s="22"/>
      <c r="D3634" s="19"/>
      <c r="H3634" s="18"/>
      <c r="J3634" s="18"/>
      <c r="N3634" s="16"/>
      <c r="O3634" s="17"/>
      <c r="P3634" s="17"/>
      <c r="Q3634" s="22"/>
      <c r="R3634" s="23"/>
    </row>
    <row r="3635" spans="1:18" ht="12.75">
      <c r="A3635" s="22"/>
      <c r="D3635" s="19"/>
      <c r="H3635" s="18"/>
      <c r="J3635" s="18"/>
      <c r="N3635" s="16"/>
      <c r="O3635" s="17"/>
      <c r="P3635" s="17"/>
      <c r="Q3635" s="22"/>
      <c r="R3635" s="23"/>
    </row>
    <row r="3636" spans="1:18" ht="12.75">
      <c r="A3636" s="22"/>
      <c r="D3636" s="19"/>
      <c r="H3636" s="18"/>
      <c r="J3636" s="18"/>
      <c r="N3636" s="16"/>
      <c r="O3636" s="17"/>
      <c r="P3636" s="17"/>
      <c r="Q3636" s="22"/>
      <c r="R3636" s="23"/>
    </row>
    <row r="3637" spans="1:18" ht="12.75">
      <c r="A3637" s="22"/>
      <c r="D3637" s="19"/>
      <c r="H3637" s="18"/>
      <c r="J3637" s="18"/>
      <c r="N3637" s="16"/>
      <c r="O3637" s="17"/>
      <c r="P3637" s="17"/>
      <c r="Q3637" s="22"/>
      <c r="R3637" s="23"/>
    </row>
    <row r="3638" spans="1:18" ht="12.75">
      <c r="A3638" s="22"/>
      <c r="D3638" s="19"/>
      <c r="H3638" s="18"/>
      <c r="J3638" s="18"/>
      <c r="N3638" s="16"/>
      <c r="O3638" s="17"/>
      <c r="P3638" s="17"/>
      <c r="Q3638" s="22"/>
      <c r="R3638" s="23"/>
    </row>
    <row r="3639" spans="1:18" ht="12.75">
      <c r="A3639" s="22"/>
      <c r="D3639" s="19"/>
      <c r="H3639" s="18"/>
      <c r="J3639" s="18"/>
      <c r="N3639" s="16"/>
      <c r="O3639" s="17"/>
      <c r="P3639" s="17"/>
      <c r="Q3639" s="22"/>
      <c r="R3639" s="23"/>
    </row>
    <row r="3640" spans="1:18" ht="12.75">
      <c r="A3640" s="22"/>
      <c r="D3640" s="19"/>
      <c r="H3640" s="18"/>
      <c r="J3640" s="18"/>
      <c r="N3640" s="16"/>
      <c r="O3640" s="17"/>
      <c r="P3640" s="17"/>
      <c r="Q3640" s="22"/>
      <c r="R3640" s="23"/>
    </row>
    <row r="3641" spans="1:18" ht="12.75">
      <c r="A3641" s="22"/>
      <c r="D3641" s="19"/>
      <c r="H3641" s="18"/>
      <c r="J3641" s="18"/>
      <c r="N3641" s="16"/>
      <c r="O3641" s="17"/>
      <c r="P3641" s="17"/>
      <c r="Q3641" s="22"/>
      <c r="R3641" s="23"/>
    </row>
    <row r="3642" spans="1:18" ht="12.75">
      <c r="A3642" s="22"/>
      <c r="D3642" s="19"/>
      <c r="H3642" s="18"/>
      <c r="J3642" s="18"/>
      <c r="N3642" s="16"/>
      <c r="O3642" s="17"/>
      <c r="P3642" s="17"/>
      <c r="Q3642" s="22"/>
      <c r="R3642" s="23"/>
    </row>
    <row r="3643" spans="1:18" ht="12.75">
      <c r="A3643" s="22"/>
      <c r="D3643" s="19"/>
      <c r="H3643" s="18"/>
      <c r="J3643" s="18"/>
      <c r="N3643" s="16"/>
      <c r="O3643" s="17"/>
      <c r="P3643" s="17"/>
      <c r="Q3643" s="22"/>
      <c r="R3643" s="23"/>
    </row>
    <row r="3644" spans="1:18" ht="12.75">
      <c r="A3644" s="22"/>
      <c r="D3644" s="19"/>
      <c r="H3644" s="18"/>
      <c r="J3644" s="18"/>
      <c r="N3644" s="16"/>
      <c r="O3644" s="17"/>
      <c r="P3644" s="17"/>
      <c r="Q3644" s="22"/>
      <c r="R3644" s="23"/>
    </row>
    <row r="3645" spans="1:18" ht="12.75">
      <c r="A3645" s="22"/>
      <c r="D3645" s="19"/>
      <c r="H3645" s="18"/>
      <c r="J3645" s="18"/>
      <c r="N3645" s="16"/>
      <c r="O3645" s="17"/>
      <c r="P3645" s="17"/>
      <c r="Q3645" s="22"/>
      <c r="R3645" s="23"/>
    </row>
    <row r="3646" spans="1:18" ht="12.75">
      <c r="A3646" s="22"/>
      <c r="D3646" s="19"/>
      <c r="H3646" s="18"/>
      <c r="J3646" s="18"/>
      <c r="N3646" s="16"/>
      <c r="O3646" s="17"/>
      <c r="P3646" s="17"/>
      <c r="Q3646" s="22"/>
      <c r="R3646" s="23"/>
    </row>
    <row r="3647" spans="1:18" ht="12.75">
      <c r="A3647" s="22"/>
      <c r="D3647" s="19"/>
      <c r="H3647" s="18"/>
      <c r="J3647" s="18"/>
      <c r="N3647" s="16"/>
      <c r="O3647" s="17"/>
      <c r="P3647" s="17"/>
      <c r="Q3647" s="22"/>
      <c r="R3647" s="23"/>
    </row>
    <row r="3648" spans="1:18" ht="12.75">
      <c r="A3648" s="22"/>
      <c r="D3648" s="19"/>
      <c r="H3648" s="18"/>
      <c r="J3648" s="18"/>
      <c r="N3648" s="16"/>
      <c r="O3648" s="17"/>
      <c r="P3648" s="17"/>
      <c r="Q3648" s="22"/>
      <c r="R3648" s="23"/>
    </row>
    <row r="3649" spans="1:18" ht="12.75">
      <c r="A3649" s="22"/>
      <c r="D3649" s="19"/>
      <c r="H3649" s="18"/>
      <c r="J3649" s="18"/>
      <c r="N3649" s="16"/>
      <c r="O3649" s="17"/>
      <c r="P3649" s="17"/>
      <c r="Q3649" s="22"/>
      <c r="R3649" s="23"/>
    </row>
    <row r="3650" spans="1:18" ht="12.75">
      <c r="A3650" s="22"/>
      <c r="D3650" s="19"/>
      <c r="H3650" s="18"/>
      <c r="J3650" s="18"/>
      <c r="N3650" s="16"/>
      <c r="O3650" s="17"/>
      <c r="P3650" s="17"/>
      <c r="Q3650" s="22"/>
      <c r="R3650" s="23"/>
    </row>
    <row r="3651" spans="1:18" ht="12.75">
      <c r="A3651" s="22"/>
      <c r="D3651" s="19"/>
      <c r="H3651" s="18"/>
      <c r="J3651" s="18"/>
      <c r="N3651" s="16"/>
      <c r="O3651" s="17"/>
      <c r="P3651" s="17"/>
      <c r="Q3651" s="22"/>
      <c r="R3651" s="23"/>
    </row>
    <row r="3652" spans="1:18" ht="12.75">
      <c r="A3652" s="22"/>
      <c r="D3652" s="19"/>
      <c r="H3652" s="18"/>
      <c r="J3652" s="18"/>
      <c r="N3652" s="16"/>
      <c r="O3652" s="17"/>
      <c r="P3652" s="17"/>
      <c r="Q3652" s="22"/>
      <c r="R3652" s="23"/>
    </row>
    <row r="3653" spans="1:18" ht="12.75">
      <c r="A3653" s="22"/>
      <c r="D3653" s="19"/>
      <c r="H3653" s="18"/>
      <c r="J3653" s="18"/>
      <c r="N3653" s="16"/>
      <c r="O3653" s="17"/>
      <c r="P3653" s="17"/>
      <c r="Q3653" s="22"/>
      <c r="R3653" s="23"/>
    </row>
    <row r="3654" spans="1:18" ht="12.75">
      <c r="A3654" s="22"/>
      <c r="D3654" s="19"/>
      <c r="H3654" s="18"/>
      <c r="J3654" s="18"/>
      <c r="N3654" s="16"/>
      <c r="O3654" s="17"/>
      <c r="P3654" s="17"/>
      <c r="Q3654" s="22"/>
      <c r="R3654" s="23"/>
    </row>
    <row r="3655" spans="1:18" ht="12.75">
      <c r="A3655" s="22"/>
      <c r="D3655" s="19"/>
      <c r="H3655" s="18"/>
      <c r="J3655" s="18"/>
      <c r="N3655" s="16"/>
      <c r="O3655" s="17"/>
      <c r="P3655" s="17"/>
      <c r="Q3655" s="22"/>
      <c r="R3655" s="23"/>
    </row>
    <row r="3656" spans="1:18" ht="12.75">
      <c r="A3656" s="22"/>
      <c r="D3656" s="19"/>
      <c r="H3656" s="18"/>
      <c r="J3656" s="18"/>
      <c r="N3656" s="16"/>
      <c r="O3656" s="17"/>
      <c r="P3656" s="17"/>
      <c r="Q3656" s="22"/>
      <c r="R3656" s="23"/>
    </row>
    <row r="3657" spans="1:18" ht="12.75">
      <c r="A3657" s="22"/>
      <c r="D3657" s="19"/>
      <c r="H3657" s="18"/>
      <c r="J3657" s="18"/>
      <c r="N3657" s="16"/>
      <c r="O3657" s="17"/>
      <c r="P3657" s="17"/>
      <c r="Q3657" s="22"/>
      <c r="R3657" s="23"/>
    </row>
    <row r="3658" spans="1:18" ht="12.75">
      <c r="A3658" s="22"/>
      <c r="D3658" s="19"/>
      <c r="H3658" s="18"/>
      <c r="J3658" s="18"/>
      <c r="N3658" s="16"/>
      <c r="O3658" s="17"/>
      <c r="P3658" s="17"/>
      <c r="Q3658" s="22"/>
      <c r="R3658" s="23"/>
    </row>
    <row r="3659" spans="1:18" ht="12.75">
      <c r="A3659" s="22"/>
      <c r="D3659" s="19"/>
      <c r="H3659" s="18"/>
      <c r="J3659" s="18"/>
      <c r="N3659" s="16"/>
      <c r="O3659" s="17"/>
      <c r="P3659" s="17"/>
      <c r="Q3659" s="22"/>
      <c r="R3659" s="23"/>
    </row>
    <row r="3660" spans="1:18" ht="12.75">
      <c r="A3660" s="22"/>
      <c r="D3660" s="19"/>
      <c r="H3660" s="18"/>
      <c r="J3660" s="18"/>
      <c r="N3660" s="16"/>
      <c r="O3660" s="17"/>
      <c r="P3660" s="17"/>
      <c r="Q3660" s="22"/>
      <c r="R3660" s="23"/>
    </row>
    <row r="3661" spans="1:18" ht="12.75">
      <c r="A3661" s="22"/>
      <c r="D3661" s="19"/>
      <c r="H3661" s="18"/>
      <c r="J3661" s="18"/>
      <c r="N3661" s="16"/>
      <c r="O3661" s="17"/>
      <c r="P3661" s="17"/>
      <c r="Q3661" s="22"/>
      <c r="R3661" s="23"/>
    </row>
    <row r="3662" spans="1:18" ht="12.75">
      <c r="A3662" s="22"/>
      <c r="D3662" s="19"/>
      <c r="H3662" s="18"/>
      <c r="J3662" s="18"/>
      <c r="N3662" s="16"/>
      <c r="O3662" s="17"/>
      <c r="P3662" s="17"/>
      <c r="Q3662" s="22"/>
      <c r="R3662" s="23"/>
    </row>
    <row r="3663" spans="1:18" ht="12.75">
      <c r="A3663" s="22"/>
      <c r="D3663" s="19"/>
      <c r="H3663" s="18"/>
      <c r="J3663" s="18"/>
      <c r="N3663" s="16"/>
      <c r="O3663" s="17"/>
      <c r="P3663" s="17"/>
      <c r="Q3663" s="22"/>
      <c r="R3663" s="23"/>
    </row>
    <row r="3664" spans="1:18" ht="12.75">
      <c r="A3664" s="22"/>
      <c r="D3664" s="19"/>
      <c r="H3664" s="18"/>
      <c r="J3664" s="18"/>
      <c r="N3664" s="16"/>
      <c r="O3664" s="17"/>
      <c r="P3664" s="17"/>
      <c r="Q3664" s="22"/>
      <c r="R3664" s="23"/>
    </row>
    <row r="3665" spans="1:18" ht="12.75">
      <c r="A3665" s="22"/>
      <c r="D3665" s="19"/>
      <c r="H3665" s="18"/>
      <c r="J3665" s="18"/>
      <c r="N3665" s="16"/>
      <c r="O3665" s="17"/>
      <c r="P3665" s="17"/>
      <c r="Q3665" s="22"/>
      <c r="R3665" s="23"/>
    </row>
    <row r="3666" spans="1:18" ht="12.75">
      <c r="A3666" s="22"/>
      <c r="D3666" s="19"/>
      <c r="H3666" s="18"/>
      <c r="J3666" s="18"/>
      <c r="N3666" s="16"/>
      <c r="O3666" s="17"/>
      <c r="P3666" s="17"/>
      <c r="Q3666" s="22"/>
      <c r="R3666" s="23"/>
    </row>
    <row r="3667" spans="1:18" ht="12.75">
      <c r="A3667" s="22"/>
      <c r="D3667" s="19"/>
      <c r="H3667" s="18"/>
      <c r="J3667" s="18"/>
      <c r="N3667" s="16"/>
      <c r="O3667" s="17"/>
      <c r="P3667" s="17"/>
      <c r="Q3667" s="22"/>
      <c r="R3667" s="23"/>
    </row>
    <row r="3668" spans="1:18" ht="12.75">
      <c r="A3668" s="22"/>
      <c r="D3668" s="19"/>
      <c r="H3668" s="18"/>
      <c r="J3668" s="18"/>
      <c r="N3668" s="16"/>
      <c r="O3668" s="17"/>
      <c r="P3668" s="17"/>
      <c r="Q3668" s="22"/>
      <c r="R3668" s="23"/>
    </row>
    <row r="3669" spans="1:18" ht="12.75">
      <c r="A3669" s="22"/>
      <c r="D3669" s="19"/>
      <c r="H3669" s="18"/>
      <c r="J3669" s="18"/>
      <c r="N3669" s="16"/>
      <c r="O3669" s="17"/>
      <c r="P3669" s="17"/>
      <c r="Q3669" s="22"/>
      <c r="R3669" s="23"/>
    </row>
    <row r="3670" spans="1:18" ht="12.75">
      <c r="A3670" s="22"/>
      <c r="D3670" s="19"/>
      <c r="H3670" s="18"/>
      <c r="J3670" s="18"/>
      <c r="N3670" s="16"/>
      <c r="O3670" s="17"/>
      <c r="P3670" s="17"/>
      <c r="Q3670" s="22"/>
      <c r="R3670" s="23"/>
    </row>
    <row r="3671" spans="1:18" ht="12.75">
      <c r="A3671" s="22"/>
      <c r="D3671" s="19"/>
      <c r="H3671" s="18"/>
      <c r="J3671" s="18"/>
      <c r="N3671" s="16"/>
      <c r="O3671" s="17"/>
      <c r="P3671" s="17"/>
      <c r="Q3671" s="22"/>
      <c r="R3671" s="23"/>
    </row>
    <row r="3672" spans="1:18" ht="12.75">
      <c r="A3672" s="22"/>
      <c r="D3672" s="19"/>
      <c r="H3672" s="18"/>
      <c r="J3672" s="18"/>
      <c r="N3672" s="16"/>
      <c r="O3672" s="17"/>
      <c r="P3672" s="17"/>
      <c r="Q3672" s="22"/>
      <c r="R3672" s="23"/>
    </row>
    <row r="3673" spans="1:18" ht="12.75">
      <c r="A3673" s="22"/>
      <c r="D3673" s="19"/>
      <c r="H3673" s="18"/>
      <c r="J3673" s="18"/>
      <c r="N3673" s="16"/>
      <c r="O3673" s="17"/>
      <c r="P3673" s="17"/>
      <c r="Q3673" s="22"/>
      <c r="R3673" s="23"/>
    </row>
    <row r="3674" spans="1:18" ht="12.75">
      <c r="A3674" s="22"/>
      <c r="D3674" s="19"/>
      <c r="H3674" s="18"/>
      <c r="J3674" s="18"/>
      <c r="N3674" s="16"/>
      <c r="O3674" s="17"/>
      <c r="P3674" s="17"/>
      <c r="Q3674" s="22"/>
      <c r="R3674" s="23"/>
    </row>
    <row r="3675" spans="1:18" ht="12.75">
      <c r="A3675" s="22"/>
      <c r="D3675" s="19"/>
      <c r="H3675" s="18"/>
      <c r="J3675" s="18"/>
      <c r="N3675" s="16"/>
      <c r="O3675" s="17"/>
      <c r="P3675" s="17"/>
      <c r="Q3675" s="22"/>
      <c r="R3675" s="23"/>
    </row>
    <row r="3676" spans="1:18" ht="12.75">
      <c r="A3676" s="22"/>
      <c r="D3676" s="19"/>
      <c r="H3676" s="18"/>
      <c r="J3676" s="18"/>
      <c r="N3676" s="16"/>
      <c r="O3676" s="17"/>
      <c r="P3676" s="17"/>
      <c r="Q3676" s="22"/>
      <c r="R3676" s="23"/>
    </row>
    <row r="3677" spans="1:18" ht="12.75">
      <c r="A3677" s="22"/>
      <c r="D3677" s="19"/>
      <c r="H3677" s="18"/>
      <c r="J3677" s="18"/>
      <c r="N3677" s="16"/>
      <c r="O3677" s="17"/>
      <c r="P3677" s="17"/>
      <c r="Q3677" s="22"/>
      <c r="R3677" s="23"/>
    </row>
    <row r="3678" spans="1:18" ht="12.75">
      <c r="A3678" s="22"/>
      <c r="D3678" s="19"/>
      <c r="H3678" s="18"/>
      <c r="J3678" s="18"/>
      <c r="N3678" s="16"/>
      <c r="O3678" s="17"/>
      <c r="P3678" s="17"/>
      <c r="Q3678" s="22"/>
      <c r="R3678" s="23"/>
    </row>
    <row r="3679" spans="1:18" ht="12.75">
      <c r="A3679" s="22"/>
      <c r="D3679" s="19"/>
      <c r="H3679" s="18"/>
      <c r="J3679" s="18"/>
      <c r="N3679" s="16"/>
      <c r="O3679" s="17"/>
      <c r="P3679" s="17"/>
      <c r="Q3679" s="22"/>
      <c r="R3679" s="23"/>
    </row>
    <row r="3680" spans="1:18" ht="12.75">
      <c r="A3680" s="22"/>
      <c r="D3680" s="19"/>
      <c r="H3680" s="18"/>
      <c r="J3680" s="18"/>
      <c r="N3680" s="16"/>
      <c r="O3680" s="17"/>
      <c r="P3680" s="17"/>
      <c r="Q3680" s="22"/>
      <c r="R3680" s="23"/>
    </row>
    <row r="3681" spans="1:18" ht="12.75">
      <c r="A3681" s="22"/>
      <c r="D3681" s="19"/>
      <c r="H3681" s="18"/>
      <c r="J3681" s="18"/>
      <c r="N3681" s="16"/>
      <c r="O3681" s="17"/>
      <c r="P3681" s="17"/>
      <c r="Q3681" s="22"/>
      <c r="R3681" s="23"/>
    </row>
    <row r="3682" spans="1:18" ht="12.75">
      <c r="A3682" s="22"/>
      <c r="D3682" s="19"/>
      <c r="H3682" s="18"/>
      <c r="J3682" s="18"/>
      <c r="N3682" s="16"/>
      <c r="O3682" s="17"/>
      <c r="P3682" s="17"/>
      <c r="Q3682" s="22"/>
      <c r="R3682" s="23"/>
    </row>
    <row r="3683" spans="1:18" ht="12.75">
      <c r="A3683" s="22"/>
      <c r="D3683" s="19"/>
      <c r="H3683" s="18"/>
      <c r="J3683" s="18"/>
      <c r="N3683" s="16"/>
      <c r="O3683" s="17"/>
      <c r="P3683" s="17"/>
      <c r="Q3683" s="22"/>
      <c r="R3683" s="23"/>
    </row>
    <row r="3684" spans="1:18" ht="12.75">
      <c r="A3684" s="22"/>
      <c r="D3684" s="19"/>
      <c r="H3684" s="18"/>
      <c r="J3684" s="18"/>
      <c r="N3684" s="16"/>
      <c r="O3684" s="17"/>
      <c r="P3684" s="17"/>
      <c r="Q3684" s="22"/>
      <c r="R3684" s="23"/>
    </row>
    <row r="3685" spans="1:18" ht="12.75">
      <c r="A3685" s="22"/>
      <c r="D3685" s="19"/>
      <c r="H3685" s="18"/>
      <c r="J3685" s="18"/>
      <c r="N3685" s="16"/>
      <c r="O3685" s="17"/>
      <c r="P3685" s="17"/>
      <c r="Q3685" s="22"/>
      <c r="R3685" s="23"/>
    </row>
    <row r="3686" spans="1:18" ht="12.75">
      <c r="A3686" s="22"/>
      <c r="D3686" s="19"/>
      <c r="H3686" s="18"/>
      <c r="J3686" s="18"/>
      <c r="N3686" s="16"/>
      <c r="O3686" s="17"/>
      <c r="P3686" s="17"/>
      <c r="Q3686" s="22"/>
      <c r="R3686" s="23"/>
    </row>
    <row r="3687" spans="1:18" ht="12.75">
      <c r="A3687" s="22"/>
      <c r="D3687" s="19"/>
      <c r="H3687" s="18"/>
      <c r="J3687" s="18"/>
      <c r="N3687" s="16"/>
      <c r="O3687" s="17"/>
      <c r="P3687" s="17"/>
      <c r="Q3687" s="22"/>
      <c r="R3687" s="23"/>
    </row>
    <row r="3688" spans="1:18" ht="12.75">
      <c r="A3688" s="22"/>
      <c r="D3688" s="19"/>
      <c r="H3688" s="18"/>
      <c r="J3688" s="18"/>
      <c r="N3688" s="16"/>
      <c r="O3688" s="17"/>
      <c r="P3688" s="17"/>
      <c r="Q3688" s="22"/>
      <c r="R3688" s="23"/>
    </row>
    <row r="3689" spans="1:18" ht="12.75">
      <c r="A3689" s="22"/>
      <c r="D3689" s="19"/>
      <c r="H3689" s="18"/>
      <c r="J3689" s="18"/>
      <c r="N3689" s="16"/>
      <c r="O3689" s="17"/>
      <c r="P3689" s="17"/>
      <c r="Q3689" s="22"/>
      <c r="R3689" s="23"/>
    </row>
    <row r="3690" spans="1:18" ht="12.75">
      <c r="A3690" s="22"/>
      <c r="D3690" s="19"/>
      <c r="H3690" s="18"/>
      <c r="J3690" s="18"/>
      <c r="N3690" s="16"/>
      <c r="O3690" s="17"/>
      <c r="P3690" s="17"/>
      <c r="Q3690" s="22"/>
      <c r="R3690" s="23"/>
    </row>
    <row r="3691" spans="1:18" ht="12.75">
      <c r="A3691" s="22"/>
      <c r="D3691" s="19"/>
      <c r="H3691" s="18"/>
      <c r="J3691" s="18"/>
      <c r="N3691" s="16"/>
      <c r="O3691" s="17"/>
      <c r="P3691" s="17"/>
      <c r="Q3691" s="22"/>
      <c r="R3691" s="23"/>
    </row>
    <row r="3692" spans="1:18" ht="12.75">
      <c r="A3692" s="22"/>
      <c r="D3692" s="19"/>
      <c r="H3692" s="18"/>
      <c r="J3692" s="18"/>
      <c r="N3692" s="16"/>
      <c r="O3692" s="17"/>
      <c r="P3692" s="17"/>
      <c r="Q3692" s="22"/>
      <c r="R3692" s="23"/>
    </row>
    <row r="3693" spans="1:18" ht="12.75">
      <c r="A3693" s="22"/>
      <c r="D3693" s="19"/>
      <c r="H3693" s="18"/>
      <c r="J3693" s="18"/>
      <c r="N3693" s="16"/>
      <c r="O3693" s="17"/>
      <c r="P3693" s="17"/>
      <c r="Q3693" s="22"/>
      <c r="R3693" s="23"/>
    </row>
    <row r="3694" spans="1:18" ht="12.75">
      <c r="A3694" s="22"/>
      <c r="D3694" s="19"/>
      <c r="H3694" s="18"/>
      <c r="J3694" s="18"/>
      <c r="N3694" s="16"/>
      <c r="O3694" s="17"/>
      <c r="P3694" s="17"/>
      <c r="Q3694" s="22"/>
      <c r="R3694" s="23"/>
    </row>
    <row r="3695" spans="1:18" ht="12.75">
      <c r="A3695" s="22"/>
      <c r="D3695" s="19"/>
      <c r="H3695" s="18"/>
      <c r="J3695" s="18"/>
      <c r="N3695" s="16"/>
      <c r="O3695" s="17"/>
      <c r="P3695" s="17"/>
      <c r="Q3695" s="22"/>
      <c r="R3695" s="23"/>
    </row>
    <row r="3696" spans="1:18" ht="12.75">
      <c r="A3696" s="22"/>
      <c r="D3696" s="19"/>
      <c r="H3696" s="18"/>
      <c r="J3696" s="18"/>
      <c r="N3696" s="16"/>
      <c r="O3696" s="17"/>
      <c r="P3696" s="17"/>
      <c r="Q3696" s="22"/>
      <c r="R3696" s="23"/>
    </row>
    <row r="3697" spans="1:18" ht="12.75">
      <c r="A3697" s="22"/>
      <c r="D3697" s="19"/>
      <c r="H3697" s="18"/>
      <c r="J3697" s="18"/>
      <c r="N3697" s="16"/>
      <c r="O3697" s="17"/>
      <c r="P3697" s="17"/>
      <c r="Q3697" s="22"/>
      <c r="R3697" s="23"/>
    </row>
    <row r="3698" spans="1:18" ht="12.75">
      <c r="A3698" s="22"/>
      <c r="D3698" s="19"/>
      <c r="H3698" s="18"/>
      <c r="J3698" s="18"/>
      <c r="N3698" s="16"/>
      <c r="O3698" s="17"/>
      <c r="P3698" s="17"/>
      <c r="Q3698" s="22"/>
      <c r="R3698" s="23"/>
    </row>
    <row r="3699" spans="1:18" ht="12.75">
      <c r="A3699" s="22"/>
      <c r="D3699" s="19"/>
      <c r="H3699" s="18"/>
      <c r="J3699" s="18"/>
      <c r="N3699" s="16"/>
      <c r="O3699" s="17"/>
      <c r="P3699" s="17"/>
      <c r="Q3699" s="22"/>
      <c r="R3699" s="23"/>
    </row>
    <row r="3700" spans="1:18" ht="12.75">
      <c r="A3700" s="22"/>
      <c r="D3700" s="19"/>
      <c r="H3700" s="18"/>
      <c r="J3700" s="18"/>
      <c r="N3700" s="16"/>
      <c r="O3700" s="17"/>
      <c r="P3700" s="17"/>
      <c r="Q3700" s="22"/>
      <c r="R3700" s="23"/>
    </row>
    <row r="3701" spans="1:18" ht="12.75">
      <c r="A3701" s="22"/>
      <c r="D3701" s="19"/>
      <c r="H3701" s="18"/>
      <c r="J3701" s="18"/>
      <c r="N3701" s="16"/>
      <c r="O3701" s="17"/>
      <c r="P3701" s="17"/>
      <c r="Q3701" s="22"/>
      <c r="R3701" s="23"/>
    </row>
    <row r="3702" spans="1:18" ht="12.75">
      <c r="A3702" s="22"/>
      <c r="D3702" s="19"/>
      <c r="H3702" s="18"/>
      <c r="J3702" s="18"/>
      <c r="N3702" s="16"/>
      <c r="O3702" s="17"/>
      <c r="P3702" s="17"/>
      <c r="Q3702" s="22"/>
      <c r="R3702" s="23"/>
    </row>
    <row r="3703" spans="1:18" ht="12.75">
      <c r="A3703" s="22"/>
      <c r="D3703" s="19"/>
      <c r="H3703" s="18"/>
      <c r="J3703" s="18"/>
      <c r="N3703" s="16"/>
      <c r="O3703" s="17"/>
      <c r="P3703" s="17"/>
      <c r="Q3703" s="22"/>
      <c r="R3703" s="23"/>
    </row>
    <row r="3704" spans="1:18" ht="12.75">
      <c r="A3704" s="22"/>
      <c r="D3704" s="19"/>
      <c r="H3704" s="18"/>
      <c r="J3704" s="18"/>
      <c r="N3704" s="16"/>
      <c r="O3704" s="17"/>
      <c r="P3704" s="17"/>
      <c r="Q3704" s="22"/>
      <c r="R3704" s="23"/>
    </row>
    <row r="3705" spans="1:18" ht="12.75">
      <c r="A3705" s="22"/>
      <c r="D3705" s="19"/>
      <c r="H3705" s="18"/>
      <c r="J3705" s="18"/>
      <c r="N3705" s="16"/>
      <c r="O3705" s="17"/>
      <c r="P3705" s="17"/>
      <c r="Q3705" s="22"/>
      <c r="R3705" s="23"/>
    </row>
    <row r="3706" spans="1:18" ht="12.75">
      <c r="A3706" s="22"/>
      <c r="D3706" s="19"/>
      <c r="H3706" s="18"/>
      <c r="J3706" s="18"/>
      <c r="N3706" s="16"/>
      <c r="O3706" s="17"/>
      <c r="P3706" s="17"/>
      <c r="Q3706" s="22"/>
      <c r="R3706" s="23"/>
    </row>
    <row r="3707" spans="1:18" ht="12.75">
      <c r="A3707" s="22"/>
      <c r="D3707" s="19"/>
      <c r="H3707" s="18"/>
      <c r="J3707" s="18"/>
      <c r="N3707" s="16"/>
      <c r="O3707" s="17"/>
      <c r="P3707" s="17"/>
      <c r="Q3707" s="22"/>
      <c r="R3707" s="23"/>
    </row>
    <row r="3708" spans="1:18" ht="12.75">
      <c r="A3708" s="22"/>
      <c r="D3708" s="19"/>
      <c r="H3708" s="18"/>
      <c r="J3708" s="18"/>
      <c r="N3708" s="16"/>
      <c r="O3708" s="17"/>
      <c r="P3708" s="17"/>
      <c r="Q3708" s="22"/>
      <c r="R3708" s="23"/>
    </row>
    <row r="3709" spans="1:18" ht="12.75">
      <c r="A3709" s="22"/>
      <c r="D3709" s="19"/>
      <c r="H3709" s="18"/>
      <c r="J3709" s="18"/>
      <c r="N3709" s="16"/>
      <c r="O3709" s="17"/>
      <c r="P3709" s="17"/>
      <c r="Q3709" s="22"/>
      <c r="R3709" s="23"/>
    </row>
    <row r="3710" spans="1:18" ht="12.75">
      <c r="A3710" s="22"/>
      <c r="D3710" s="19"/>
      <c r="H3710" s="18"/>
      <c r="J3710" s="18"/>
      <c r="N3710" s="16"/>
      <c r="O3710" s="17"/>
      <c r="P3710" s="17"/>
      <c r="Q3710" s="22"/>
      <c r="R3710" s="23"/>
    </row>
    <row r="3711" spans="1:18" ht="12.75">
      <c r="A3711" s="22"/>
      <c r="D3711" s="19"/>
      <c r="H3711" s="18"/>
      <c r="J3711" s="18"/>
      <c r="N3711" s="16"/>
      <c r="O3711" s="17"/>
      <c r="P3711" s="17"/>
      <c r="Q3711" s="22"/>
      <c r="R3711" s="23"/>
    </row>
    <row r="3712" spans="1:18" ht="12.75">
      <c r="A3712" s="22"/>
      <c r="D3712" s="19"/>
      <c r="H3712" s="18"/>
      <c r="J3712" s="18"/>
      <c r="N3712" s="16"/>
      <c r="O3712" s="17"/>
      <c r="P3712" s="17"/>
      <c r="Q3712" s="22"/>
      <c r="R3712" s="23"/>
    </row>
    <row r="3713" spans="1:18" ht="12.75">
      <c r="A3713" s="22"/>
      <c r="D3713" s="19"/>
      <c r="H3713" s="18"/>
      <c r="J3713" s="18"/>
      <c r="N3713" s="16"/>
      <c r="O3713" s="17"/>
      <c r="P3713" s="17"/>
      <c r="Q3713" s="22"/>
      <c r="R3713" s="23"/>
    </row>
    <row r="3714" spans="1:18" ht="12.75">
      <c r="A3714" s="22"/>
      <c r="D3714" s="19"/>
      <c r="H3714" s="18"/>
      <c r="J3714" s="18"/>
      <c r="N3714" s="16"/>
      <c r="O3714" s="17"/>
      <c r="P3714" s="17"/>
      <c r="Q3714" s="22"/>
      <c r="R3714" s="23"/>
    </row>
    <row r="3715" spans="1:18" ht="12.75">
      <c r="A3715" s="22"/>
      <c r="D3715" s="19"/>
      <c r="H3715" s="18"/>
      <c r="J3715" s="18"/>
      <c r="N3715" s="16"/>
      <c r="O3715" s="17"/>
      <c r="P3715" s="17"/>
      <c r="Q3715" s="22"/>
      <c r="R3715" s="23"/>
    </row>
    <row r="3716" spans="1:18" ht="12.75">
      <c r="A3716" s="22"/>
      <c r="D3716" s="19"/>
      <c r="H3716" s="18"/>
      <c r="J3716" s="18"/>
      <c r="N3716" s="16"/>
      <c r="O3716" s="17"/>
      <c r="P3716" s="17"/>
      <c r="Q3716" s="22"/>
      <c r="R3716" s="23"/>
    </row>
    <row r="3717" spans="1:18" ht="12.75">
      <c r="A3717" s="22"/>
      <c r="D3717" s="19"/>
      <c r="H3717" s="18"/>
      <c r="J3717" s="18"/>
      <c r="N3717" s="16"/>
      <c r="O3717" s="17"/>
      <c r="P3717" s="17"/>
      <c r="Q3717" s="22"/>
      <c r="R3717" s="23"/>
    </row>
    <row r="3718" spans="1:18" ht="12.75">
      <c r="A3718" s="22"/>
      <c r="D3718" s="19"/>
      <c r="H3718" s="18"/>
      <c r="J3718" s="18"/>
      <c r="N3718" s="16"/>
      <c r="O3718" s="17"/>
      <c r="P3718" s="17"/>
      <c r="Q3718" s="22"/>
      <c r="R3718" s="23"/>
    </row>
    <row r="3719" spans="1:18" ht="12.75">
      <c r="A3719" s="22"/>
      <c r="D3719" s="19"/>
      <c r="H3719" s="18"/>
      <c r="J3719" s="18"/>
      <c r="N3719" s="16"/>
      <c r="O3719" s="17"/>
      <c r="P3719" s="17"/>
      <c r="Q3719" s="22"/>
      <c r="R3719" s="23"/>
    </row>
    <row r="3720" spans="1:18" ht="12.75">
      <c r="A3720" s="22"/>
      <c r="D3720" s="19"/>
      <c r="H3720" s="18"/>
      <c r="J3720" s="18"/>
      <c r="N3720" s="16"/>
      <c r="O3720" s="17"/>
      <c r="P3720" s="17"/>
      <c r="Q3720" s="22"/>
      <c r="R3720" s="23"/>
    </row>
    <row r="3721" spans="1:18" ht="12.75">
      <c r="A3721" s="22"/>
      <c r="D3721" s="19"/>
      <c r="H3721" s="18"/>
      <c r="J3721" s="18"/>
      <c r="N3721" s="16"/>
      <c r="O3721" s="17"/>
      <c r="P3721" s="17"/>
      <c r="Q3721" s="22"/>
      <c r="R3721" s="23"/>
    </row>
    <row r="3722" spans="1:18" ht="12.75">
      <c r="A3722" s="22"/>
      <c r="D3722" s="19"/>
      <c r="H3722" s="18"/>
      <c r="J3722" s="18"/>
      <c r="N3722" s="16"/>
      <c r="O3722" s="17"/>
      <c r="P3722" s="17"/>
      <c r="Q3722" s="22"/>
      <c r="R3722" s="23"/>
    </row>
    <row r="3723" spans="1:18" ht="12.75">
      <c r="A3723" s="22"/>
      <c r="D3723" s="19"/>
      <c r="H3723" s="18"/>
      <c r="J3723" s="18"/>
      <c r="N3723" s="16"/>
      <c r="O3723" s="17"/>
      <c r="P3723" s="17"/>
      <c r="Q3723" s="22"/>
      <c r="R3723" s="23"/>
    </row>
    <row r="3724" spans="1:18" ht="12.75">
      <c r="A3724" s="22"/>
      <c r="D3724" s="19"/>
      <c r="H3724" s="18"/>
      <c r="J3724" s="18"/>
      <c r="N3724" s="16"/>
      <c r="O3724" s="17"/>
      <c r="P3724" s="17"/>
      <c r="Q3724" s="22"/>
      <c r="R3724" s="23"/>
    </row>
    <row r="3725" spans="1:18" ht="12.75">
      <c r="A3725" s="22"/>
      <c r="D3725" s="19"/>
      <c r="H3725" s="18"/>
      <c r="J3725" s="18"/>
      <c r="N3725" s="16"/>
      <c r="O3725" s="17"/>
      <c r="P3725" s="17"/>
      <c r="Q3725" s="22"/>
      <c r="R3725" s="23"/>
    </row>
    <row r="3726" spans="1:18" ht="12.75">
      <c r="A3726" s="22"/>
      <c r="D3726" s="19"/>
      <c r="H3726" s="18"/>
      <c r="J3726" s="18"/>
      <c r="N3726" s="16"/>
      <c r="O3726" s="17"/>
      <c r="P3726" s="17"/>
      <c r="Q3726" s="22"/>
      <c r="R3726" s="23"/>
    </row>
    <row r="3727" spans="1:18" ht="12.75">
      <c r="A3727" s="22"/>
      <c r="D3727" s="19"/>
      <c r="H3727" s="18"/>
      <c r="J3727" s="18"/>
      <c r="N3727" s="16"/>
      <c r="O3727" s="17"/>
      <c r="P3727" s="17"/>
      <c r="Q3727" s="22"/>
      <c r="R3727" s="23"/>
    </row>
    <row r="3728" spans="1:18" ht="12.75">
      <c r="A3728" s="22"/>
      <c r="D3728" s="19"/>
      <c r="H3728" s="18"/>
      <c r="J3728" s="18"/>
      <c r="N3728" s="16"/>
      <c r="O3728" s="17"/>
      <c r="P3728" s="17"/>
      <c r="Q3728" s="22"/>
      <c r="R3728" s="23"/>
    </row>
    <row r="3729" spans="1:18" ht="12.75">
      <c r="A3729" s="22"/>
      <c r="D3729" s="19"/>
      <c r="H3729" s="18"/>
      <c r="J3729" s="18"/>
      <c r="N3729" s="16"/>
      <c r="O3729" s="17"/>
      <c r="P3729" s="17"/>
      <c r="Q3729" s="22"/>
      <c r="R3729" s="23"/>
    </row>
    <row r="3730" spans="1:18" ht="12.75">
      <c r="A3730" s="22"/>
      <c r="D3730" s="19"/>
      <c r="H3730" s="18"/>
      <c r="J3730" s="18"/>
      <c r="N3730" s="16"/>
      <c r="O3730" s="17"/>
      <c r="P3730" s="17"/>
      <c r="Q3730" s="22"/>
      <c r="R3730" s="23"/>
    </row>
    <row r="3731" spans="1:18" ht="12.75">
      <c r="A3731" s="22"/>
      <c r="D3731" s="19"/>
      <c r="H3731" s="18"/>
      <c r="J3731" s="18"/>
      <c r="N3731" s="16"/>
      <c r="O3731" s="17"/>
      <c r="P3731" s="17"/>
      <c r="Q3731" s="22"/>
      <c r="R3731" s="23"/>
    </row>
    <row r="3732" spans="1:18" ht="12.75">
      <c r="A3732" s="22"/>
      <c r="D3732" s="19"/>
      <c r="H3732" s="18"/>
      <c r="J3732" s="18"/>
      <c r="N3732" s="16"/>
      <c r="O3732" s="17"/>
      <c r="P3732" s="17"/>
      <c r="Q3732" s="22"/>
      <c r="R3732" s="23"/>
    </row>
    <row r="3733" spans="1:18" ht="12.75">
      <c r="A3733" s="22"/>
      <c r="D3733" s="19"/>
      <c r="H3733" s="18"/>
      <c r="J3733" s="18"/>
      <c r="N3733" s="16"/>
      <c r="O3733" s="17"/>
      <c r="P3733" s="17"/>
      <c r="Q3733" s="22"/>
      <c r="R3733" s="23"/>
    </row>
    <row r="3734" spans="1:18" ht="12.75">
      <c r="A3734" s="22"/>
      <c r="D3734" s="19"/>
      <c r="H3734" s="18"/>
      <c r="J3734" s="18"/>
      <c r="N3734" s="16"/>
      <c r="O3734" s="17"/>
      <c r="P3734" s="17"/>
      <c r="Q3734" s="22"/>
      <c r="R3734" s="23"/>
    </row>
    <row r="3735" spans="1:18" ht="12.75">
      <c r="A3735" s="22"/>
      <c r="D3735" s="19"/>
      <c r="H3735" s="18"/>
      <c r="J3735" s="18"/>
      <c r="N3735" s="16"/>
      <c r="O3735" s="17"/>
      <c r="P3735" s="17"/>
      <c r="Q3735" s="22"/>
      <c r="R3735" s="23"/>
    </row>
    <row r="3736" spans="1:18" ht="12.75">
      <c r="A3736" s="22"/>
      <c r="D3736" s="19"/>
      <c r="H3736" s="18"/>
      <c r="J3736" s="18"/>
      <c r="N3736" s="16"/>
      <c r="O3736" s="17"/>
      <c r="P3736" s="17"/>
      <c r="Q3736" s="22"/>
      <c r="R3736" s="23"/>
    </row>
    <row r="3737" spans="1:18" ht="12.75">
      <c r="A3737" s="22"/>
      <c r="D3737" s="19"/>
      <c r="H3737" s="18"/>
      <c r="J3737" s="18"/>
      <c r="N3737" s="16"/>
      <c r="O3737" s="17"/>
      <c r="P3737" s="17"/>
      <c r="Q3737" s="22"/>
      <c r="R3737" s="23"/>
    </row>
    <row r="3738" spans="1:18" ht="12.75">
      <c r="A3738" s="22"/>
      <c r="D3738" s="19"/>
      <c r="H3738" s="18"/>
      <c r="J3738" s="18"/>
      <c r="N3738" s="16"/>
      <c r="O3738" s="17"/>
      <c r="P3738" s="17"/>
      <c r="Q3738" s="22"/>
      <c r="R3738" s="23"/>
    </row>
    <row r="3739" spans="1:18" ht="12.75">
      <c r="A3739" s="22"/>
      <c r="D3739" s="19"/>
      <c r="H3739" s="18"/>
      <c r="J3739" s="18"/>
      <c r="N3739" s="16"/>
      <c r="O3739" s="17"/>
      <c r="P3739" s="17"/>
      <c r="Q3739" s="22"/>
      <c r="R3739" s="23"/>
    </row>
    <row r="3740" spans="1:18" ht="12.75">
      <c r="A3740" s="22"/>
      <c r="D3740" s="19"/>
      <c r="H3740" s="18"/>
      <c r="J3740" s="18"/>
      <c r="N3740" s="16"/>
      <c r="O3740" s="17"/>
      <c r="P3740" s="17"/>
      <c r="Q3740" s="22"/>
      <c r="R3740" s="23"/>
    </row>
    <row r="3741" spans="1:18" ht="12.75">
      <c r="A3741" s="22"/>
      <c r="D3741" s="19"/>
      <c r="H3741" s="18"/>
      <c r="J3741" s="18"/>
      <c r="N3741" s="16"/>
      <c r="O3741" s="17"/>
      <c r="P3741" s="17"/>
      <c r="Q3741" s="22"/>
      <c r="R3741" s="23"/>
    </row>
    <row r="3742" spans="1:18" ht="12.75">
      <c r="A3742" s="22"/>
      <c r="D3742" s="19"/>
      <c r="H3742" s="18"/>
      <c r="J3742" s="18"/>
      <c r="N3742" s="16"/>
      <c r="O3742" s="17"/>
      <c r="P3742" s="17"/>
      <c r="Q3742" s="22"/>
      <c r="R3742" s="23"/>
    </row>
    <row r="3743" spans="1:18" ht="12.75">
      <c r="A3743" s="22"/>
      <c r="D3743" s="19"/>
      <c r="H3743" s="18"/>
      <c r="J3743" s="18"/>
      <c r="N3743" s="16"/>
      <c r="O3743" s="17"/>
      <c r="P3743" s="17"/>
      <c r="Q3743" s="22"/>
      <c r="R3743" s="23"/>
    </row>
    <row r="3744" spans="1:18" ht="12.75">
      <c r="A3744" s="22"/>
      <c r="D3744" s="19"/>
      <c r="H3744" s="18"/>
      <c r="J3744" s="18"/>
      <c r="N3744" s="16"/>
      <c r="O3744" s="17"/>
      <c r="P3744" s="17"/>
      <c r="Q3744" s="22"/>
      <c r="R3744" s="23"/>
    </row>
    <row r="3745" spans="1:18" ht="12.75">
      <c r="A3745" s="22"/>
      <c r="D3745" s="19"/>
      <c r="H3745" s="18"/>
      <c r="J3745" s="18"/>
      <c r="N3745" s="16"/>
      <c r="O3745" s="17"/>
      <c r="P3745" s="17"/>
      <c r="Q3745" s="22"/>
      <c r="R3745" s="23"/>
    </row>
    <row r="3746" spans="1:18" ht="12.75">
      <c r="A3746" s="22"/>
      <c r="D3746" s="19"/>
      <c r="H3746" s="18"/>
      <c r="J3746" s="18"/>
      <c r="N3746" s="16"/>
      <c r="O3746" s="17"/>
      <c r="P3746" s="17"/>
      <c r="Q3746" s="22"/>
      <c r="R3746" s="23"/>
    </row>
    <row r="3747" spans="1:18" ht="12.75">
      <c r="A3747" s="22"/>
      <c r="D3747" s="19"/>
      <c r="H3747" s="18"/>
      <c r="J3747" s="18"/>
      <c r="N3747" s="16"/>
      <c r="O3747" s="17"/>
      <c r="P3747" s="17"/>
      <c r="Q3747" s="22"/>
      <c r="R3747" s="23"/>
    </row>
    <row r="3748" spans="1:18" ht="12.75">
      <c r="A3748" s="22"/>
      <c r="D3748" s="19"/>
      <c r="H3748" s="18"/>
      <c r="J3748" s="18"/>
      <c r="N3748" s="16"/>
      <c r="O3748" s="17"/>
      <c r="P3748" s="17"/>
      <c r="Q3748" s="22"/>
      <c r="R3748" s="23"/>
    </row>
    <row r="3749" spans="1:18" ht="12.75">
      <c r="A3749" s="22"/>
      <c r="D3749" s="19"/>
      <c r="H3749" s="18"/>
      <c r="J3749" s="18"/>
      <c r="N3749" s="16"/>
      <c r="O3749" s="17"/>
      <c r="P3749" s="17"/>
      <c r="Q3749" s="22"/>
      <c r="R3749" s="23"/>
    </row>
    <row r="3750" spans="1:18" ht="12.75">
      <c r="A3750" s="22"/>
      <c r="D3750" s="19"/>
      <c r="H3750" s="18"/>
      <c r="J3750" s="18"/>
      <c r="N3750" s="16"/>
      <c r="O3750" s="17"/>
      <c r="P3750" s="17"/>
      <c r="Q3750" s="22"/>
      <c r="R3750" s="23"/>
    </row>
    <row r="3751" spans="1:18" ht="12.75">
      <c r="A3751" s="22"/>
      <c r="D3751" s="19"/>
      <c r="H3751" s="18"/>
      <c r="J3751" s="18"/>
      <c r="N3751" s="16"/>
      <c r="O3751" s="17"/>
      <c r="P3751" s="17"/>
      <c r="Q3751" s="22"/>
      <c r="R3751" s="23"/>
    </row>
    <row r="3752" spans="1:18" ht="12.75">
      <c r="A3752" s="22"/>
      <c r="D3752" s="19"/>
      <c r="H3752" s="18"/>
      <c r="J3752" s="18"/>
      <c r="N3752" s="16"/>
      <c r="O3752" s="17"/>
      <c r="P3752" s="17"/>
      <c r="Q3752" s="22"/>
      <c r="R3752" s="23"/>
    </row>
    <row r="3753" spans="1:18" ht="12.75">
      <c r="A3753" s="22"/>
      <c r="D3753" s="19"/>
      <c r="H3753" s="18"/>
      <c r="J3753" s="18"/>
      <c r="N3753" s="16"/>
      <c r="O3753" s="17"/>
      <c r="P3753" s="17"/>
      <c r="Q3753" s="22"/>
      <c r="R3753" s="23"/>
    </row>
    <row r="3754" spans="1:18" ht="12.75">
      <c r="A3754" s="22"/>
      <c r="D3754" s="19"/>
      <c r="H3754" s="18"/>
      <c r="J3754" s="18"/>
      <c r="N3754" s="16"/>
      <c r="O3754" s="17"/>
      <c r="P3754" s="17"/>
      <c r="Q3754" s="22"/>
      <c r="R3754" s="23"/>
    </row>
    <row r="3755" spans="1:18" ht="12.75">
      <c r="A3755" s="22"/>
      <c r="D3755" s="19"/>
      <c r="H3755" s="18"/>
      <c r="J3755" s="18"/>
      <c r="N3755" s="16"/>
      <c r="O3755" s="17"/>
      <c r="P3755" s="17"/>
      <c r="Q3755" s="22"/>
      <c r="R3755" s="23"/>
    </row>
    <row r="3756" spans="1:18" ht="12.75">
      <c r="A3756" s="22"/>
      <c r="D3756" s="19"/>
      <c r="H3756" s="18"/>
      <c r="J3756" s="18"/>
      <c r="N3756" s="16"/>
      <c r="O3756" s="17"/>
      <c r="P3756" s="17"/>
      <c r="Q3756" s="22"/>
      <c r="R3756" s="23"/>
    </row>
    <row r="3757" spans="1:18" ht="12.75">
      <c r="A3757" s="22"/>
      <c r="D3757" s="19"/>
      <c r="H3757" s="18"/>
      <c r="J3757" s="18"/>
      <c r="N3757" s="16"/>
      <c r="O3757" s="17"/>
      <c r="P3757" s="17"/>
      <c r="Q3757" s="22"/>
      <c r="R3757" s="23"/>
    </row>
    <row r="3758" spans="1:18" ht="12.75">
      <c r="A3758" s="22"/>
      <c r="D3758" s="19"/>
      <c r="H3758" s="18"/>
      <c r="J3758" s="18"/>
      <c r="N3758" s="16"/>
      <c r="O3758" s="17"/>
      <c r="P3758" s="17"/>
      <c r="Q3758" s="22"/>
      <c r="R3758" s="23"/>
    </row>
    <row r="3759" spans="1:18" ht="12.75">
      <c r="A3759" s="22"/>
      <c r="D3759" s="19"/>
      <c r="H3759" s="18"/>
      <c r="J3759" s="18"/>
      <c r="N3759" s="16"/>
      <c r="O3759" s="17"/>
      <c r="P3759" s="17"/>
      <c r="Q3759" s="22"/>
      <c r="R3759" s="23"/>
    </row>
    <row r="3760" spans="1:18" ht="12.75">
      <c r="A3760" s="22"/>
      <c r="D3760" s="19"/>
      <c r="H3760" s="18"/>
      <c r="J3760" s="18"/>
      <c r="N3760" s="16"/>
      <c r="O3760" s="17"/>
      <c r="P3760" s="17"/>
      <c r="Q3760" s="22"/>
      <c r="R3760" s="23"/>
    </row>
    <row r="3761" spans="1:18" ht="12.75">
      <c r="A3761" s="22"/>
      <c r="D3761" s="19"/>
      <c r="H3761" s="18"/>
      <c r="J3761" s="18"/>
      <c r="N3761" s="16"/>
      <c r="O3761" s="17"/>
      <c r="P3761" s="17"/>
      <c r="Q3761" s="22"/>
      <c r="R3761" s="23"/>
    </row>
    <row r="3762" spans="1:18" ht="12.75">
      <c r="A3762" s="22"/>
      <c r="D3762" s="19"/>
      <c r="H3762" s="18"/>
      <c r="J3762" s="18"/>
      <c r="N3762" s="16"/>
      <c r="O3762" s="17"/>
      <c r="P3762" s="17"/>
      <c r="Q3762" s="22"/>
      <c r="R3762" s="23"/>
    </row>
    <row r="3763" spans="1:18" ht="12.75">
      <c r="A3763" s="22"/>
      <c r="D3763" s="19"/>
      <c r="H3763" s="18"/>
      <c r="J3763" s="18"/>
      <c r="N3763" s="16"/>
      <c r="O3763" s="17"/>
      <c r="P3763" s="17"/>
      <c r="Q3763" s="22"/>
      <c r="R3763" s="23"/>
    </row>
    <row r="3764" spans="1:18" ht="12.75">
      <c r="A3764" s="22"/>
      <c r="D3764" s="19"/>
      <c r="H3764" s="18"/>
      <c r="J3764" s="18"/>
      <c r="N3764" s="16"/>
      <c r="O3764" s="17"/>
      <c r="P3764" s="17"/>
      <c r="Q3764" s="22"/>
      <c r="R3764" s="23"/>
    </row>
    <row r="3765" spans="1:18" ht="12.75">
      <c r="A3765" s="22"/>
      <c r="D3765" s="19"/>
      <c r="H3765" s="18"/>
      <c r="J3765" s="18"/>
      <c r="N3765" s="16"/>
      <c r="O3765" s="17"/>
      <c r="P3765" s="17"/>
      <c r="Q3765" s="22"/>
      <c r="R3765" s="23"/>
    </row>
    <row r="3766" spans="1:18" ht="12.75">
      <c r="A3766" s="22"/>
      <c r="D3766" s="19"/>
      <c r="H3766" s="18"/>
      <c r="J3766" s="18"/>
      <c r="N3766" s="16"/>
      <c r="O3766" s="17"/>
      <c r="P3766" s="17"/>
      <c r="Q3766" s="22"/>
      <c r="R3766" s="23"/>
    </row>
    <row r="3767" spans="1:18" ht="12.75">
      <c r="A3767" s="22"/>
      <c r="D3767" s="19"/>
      <c r="H3767" s="18"/>
      <c r="J3767" s="18"/>
      <c r="N3767" s="16"/>
      <c r="O3767" s="17"/>
      <c r="P3767" s="17"/>
      <c r="Q3767" s="22"/>
      <c r="R3767" s="23"/>
    </row>
    <row r="3768" spans="1:18" ht="12.75">
      <c r="A3768" s="22"/>
      <c r="D3768" s="19"/>
      <c r="H3768" s="18"/>
      <c r="J3768" s="18"/>
      <c r="N3768" s="16"/>
      <c r="O3768" s="17"/>
      <c r="P3768" s="17"/>
      <c r="Q3768" s="22"/>
      <c r="R3768" s="23"/>
    </row>
    <row r="3769" spans="1:18" ht="12.75">
      <c r="A3769" s="22"/>
      <c r="D3769" s="19"/>
      <c r="H3769" s="18"/>
      <c r="J3769" s="18"/>
      <c r="N3769" s="16"/>
      <c r="O3769" s="17"/>
      <c r="P3769" s="17"/>
      <c r="Q3769" s="22"/>
      <c r="R3769" s="23"/>
    </row>
    <row r="3770" spans="1:18" ht="12.75">
      <c r="A3770" s="22"/>
      <c r="D3770" s="19"/>
      <c r="H3770" s="18"/>
      <c r="J3770" s="18"/>
      <c r="N3770" s="16"/>
      <c r="O3770" s="17"/>
      <c r="P3770" s="17"/>
      <c r="Q3770" s="22"/>
      <c r="R3770" s="23"/>
    </row>
    <row r="3771" spans="1:18" ht="12.75">
      <c r="A3771" s="22"/>
      <c r="D3771" s="19"/>
      <c r="H3771" s="18"/>
      <c r="J3771" s="18"/>
      <c r="N3771" s="16"/>
      <c r="O3771" s="17"/>
      <c r="P3771" s="17"/>
      <c r="Q3771" s="22"/>
      <c r="R3771" s="23"/>
    </row>
    <row r="3772" spans="1:18" ht="12.75">
      <c r="A3772" s="22"/>
      <c r="D3772" s="19"/>
      <c r="H3772" s="18"/>
      <c r="J3772" s="18"/>
      <c r="N3772" s="16"/>
      <c r="O3772" s="17"/>
      <c r="P3772" s="17"/>
      <c r="Q3772" s="22"/>
      <c r="R3772" s="23"/>
    </row>
    <row r="3773" spans="1:18" ht="12.75">
      <c r="A3773" s="22"/>
      <c r="D3773" s="19"/>
      <c r="H3773" s="18"/>
      <c r="J3773" s="18"/>
      <c r="N3773" s="16"/>
      <c r="O3773" s="17"/>
      <c r="P3773" s="17"/>
      <c r="Q3773" s="22"/>
      <c r="R3773" s="23"/>
    </row>
    <row r="3774" spans="1:18" ht="12.75">
      <c r="A3774" s="22"/>
      <c r="D3774" s="19"/>
      <c r="H3774" s="18"/>
      <c r="J3774" s="18"/>
      <c r="N3774" s="16"/>
      <c r="O3774" s="17"/>
      <c r="P3774" s="17"/>
      <c r="Q3774" s="22"/>
      <c r="R3774" s="23"/>
    </row>
    <row r="3775" spans="1:18" ht="12.75">
      <c r="A3775" s="22"/>
      <c r="D3775" s="19"/>
      <c r="H3775" s="18"/>
      <c r="J3775" s="18"/>
      <c r="N3775" s="16"/>
      <c r="O3775" s="17"/>
      <c r="P3775" s="17"/>
      <c r="Q3775" s="22"/>
      <c r="R3775" s="23"/>
    </row>
    <row r="3776" spans="1:18" ht="12.75">
      <c r="A3776" s="22"/>
      <c r="D3776" s="19"/>
      <c r="H3776" s="18"/>
      <c r="J3776" s="18"/>
      <c r="N3776" s="16"/>
      <c r="O3776" s="17"/>
      <c r="P3776" s="17"/>
      <c r="Q3776" s="22"/>
      <c r="R3776" s="23"/>
    </row>
    <row r="3777" spans="1:18" ht="12.75">
      <c r="A3777" s="22"/>
      <c r="D3777" s="19"/>
      <c r="H3777" s="18"/>
      <c r="J3777" s="18"/>
      <c r="N3777" s="16"/>
      <c r="O3777" s="17"/>
      <c r="P3777" s="17"/>
      <c r="Q3777" s="22"/>
      <c r="R3777" s="23"/>
    </row>
    <row r="3778" spans="1:18" ht="12.75">
      <c r="A3778" s="22"/>
      <c r="D3778" s="19"/>
      <c r="H3778" s="18"/>
      <c r="J3778" s="18"/>
      <c r="N3778" s="16"/>
      <c r="O3778" s="17"/>
      <c r="P3778" s="17"/>
      <c r="Q3778" s="22"/>
      <c r="R3778" s="23"/>
    </row>
    <row r="3779" spans="1:18" ht="12.75">
      <c r="A3779" s="22"/>
      <c r="D3779" s="19"/>
      <c r="H3779" s="18"/>
      <c r="J3779" s="18"/>
      <c r="N3779" s="16"/>
      <c r="O3779" s="17"/>
      <c r="P3779" s="17"/>
      <c r="Q3779" s="22"/>
      <c r="R3779" s="23"/>
    </row>
    <row r="3780" spans="1:18" ht="12.75">
      <c r="A3780" s="22"/>
      <c r="D3780" s="19"/>
      <c r="H3780" s="18"/>
      <c r="J3780" s="18"/>
      <c r="N3780" s="16"/>
      <c r="O3780" s="17"/>
      <c r="P3780" s="17"/>
      <c r="Q3780" s="22"/>
      <c r="R3780" s="23"/>
    </row>
    <row r="3781" spans="1:18" ht="12.75">
      <c r="A3781" s="22"/>
      <c r="D3781" s="19"/>
      <c r="H3781" s="18"/>
      <c r="J3781" s="18"/>
      <c r="N3781" s="16"/>
      <c r="O3781" s="17"/>
      <c r="P3781" s="17"/>
      <c r="Q3781" s="22"/>
      <c r="R3781" s="23"/>
    </row>
    <row r="3782" spans="1:18" ht="12.75">
      <c r="A3782" s="22"/>
      <c r="D3782" s="19"/>
      <c r="H3782" s="18"/>
      <c r="J3782" s="18"/>
      <c r="N3782" s="16"/>
      <c r="O3782" s="17"/>
      <c r="P3782" s="17"/>
      <c r="Q3782" s="22"/>
      <c r="R3782" s="23"/>
    </row>
    <row r="3783" spans="1:18" ht="12.75">
      <c r="A3783" s="22"/>
      <c r="D3783" s="19"/>
      <c r="H3783" s="18"/>
      <c r="J3783" s="18"/>
      <c r="N3783" s="16"/>
      <c r="O3783" s="17"/>
      <c r="P3783" s="17"/>
      <c r="Q3783" s="22"/>
      <c r="R3783" s="23"/>
    </row>
    <row r="3784" spans="1:18" ht="12.75">
      <c r="A3784" s="22"/>
      <c r="D3784" s="19"/>
      <c r="H3784" s="18"/>
      <c r="J3784" s="18"/>
      <c r="N3784" s="16"/>
      <c r="O3784" s="17"/>
      <c r="P3784" s="17"/>
      <c r="Q3784" s="22"/>
      <c r="R3784" s="23"/>
    </row>
    <row r="3785" spans="1:18" ht="12.75">
      <c r="A3785" s="22"/>
      <c r="D3785" s="19"/>
      <c r="H3785" s="18"/>
      <c r="J3785" s="18"/>
      <c r="N3785" s="16"/>
      <c r="O3785" s="17"/>
      <c r="P3785" s="17"/>
      <c r="Q3785" s="22"/>
      <c r="R3785" s="23"/>
    </row>
    <row r="3786" spans="1:18" ht="12.75">
      <c r="A3786" s="22"/>
      <c r="D3786" s="19"/>
      <c r="H3786" s="18"/>
      <c r="J3786" s="18"/>
      <c r="N3786" s="16"/>
      <c r="O3786" s="17"/>
      <c r="P3786" s="17"/>
      <c r="Q3786" s="22"/>
      <c r="R3786" s="23"/>
    </row>
    <row r="3787" spans="1:18" ht="12.75">
      <c r="A3787" s="22"/>
      <c r="D3787" s="19"/>
      <c r="H3787" s="18"/>
      <c r="J3787" s="18"/>
      <c r="N3787" s="16"/>
      <c r="O3787" s="17"/>
      <c r="P3787" s="17"/>
      <c r="Q3787" s="22"/>
      <c r="R3787" s="23"/>
    </row>
    <row r="3788" spans="1:18" ht="12.75">
      <c r="A3788" s="22"/>
      <c r="D3788" s="19"/>
      <c r="H3788" s="18"/>
      <c r="J3788" s="18"/>
      <c r="N3788" s="16"/>
      <c r="O3788" s="17"/>
      <c r="P3788" s="17"/>
      <c r="Q3788" s="22"/>
      <c r="R3788" s="23"/>
    </row>
    <row r="3789" spans="1:18" ht="12.75">
      <c r="A3789" s="22"/>
      <c r="D3789" s="19"/>
      <c r="H3789" s="18"/>
      <c r="J3789" s="18"/>
      <c r="N3789" s="16"/>
      <c r="O3789" s="17"/>
      <c r="P3789" s="17"/>
      <c r="Q3789" s="22"/>
      <c r="R3789" s="23"/>
    </row>
    <row r="3790" spans="1:18" ht="12.75">
      <c r="A3790" s="22"/>
      <c r="D3790" s="19"/>
      <c r="H3790" s="18"/>
      <c r="J3790" s="18"/>
      <c r="N3790" s="16"/>
      <c r="O3790" s="17"/>
      <c r="P3790" s="17"/>
      <c r="Q3790" s="22"/>
      <c r="R3790" s="23"/>
    </row>
    <row r="3791" spans="1:18" ht="12.75">
      <c r="A3791" s="22"/>
      <c r="D3791" s="19"/>
      <c r="H3791" s="18"/>
      <c r="J3791" s="18"/>
      <c r="N3791" s="16"/>
      <c r="O3791" s="17"/>
      <c r="P3791" s="17"/>
      <c r="Q3791" s="22"/>
      <c r="R3791" s="23"/>
    </row>
    <row r="3792" spans="1:18" ht="12.75">
      <c r="A3792" s="22"/>
      <c r="D3792" s="19"/>
      <c r="H3792" s="18"/>
      <c r="J3792" s="18"/>
      <c r="N3792" s="16"/>
      <c r="O3792" s="17"/>
      <c r="P3792" s="17"/>
      <c r="Q3792" s="22"/>
      <c r="R3792" s="23"/>
    </row>
    <row r="3793" spans="1:18" ht="12.75">
      <c r="A3793" s="22"/>
      <c r="D3793" s="19"/>
      <c r="H3793" s="18"/>
      <c r="J3793" s="18"/>
      <c r="N3793" s="16"/>
      <c r="O3793" s="17"/>
      <c r="P3793" s="17"/>
      <c r="Q3793" s="22"/>
      <c r="R3793" s="23"/>
    </row>
    <row r="3794" spans="1:18" ht="12.75">
      <c r="A3794" s="22"/>
      <c r="D3794" s="19"/>
      <c r="H3794" s="18"/>
      <c r="J3794" s="18"/>
      <c r="N3794" s="16"/>
      <c r="O3794" s="17"/>
      <c r="P3794" s="17"/>
      <c r="Q3794" s="22"/>
      <c r="R3794" s="23"/>
    </row>
    <row r="3795" spans="1:18" ht="12.75">
      <c r="A3795" s="22"/>
      <c r="D3795" s="19"/>
      <c r="H3795" s="18"/>
      <c r="J3795" s="18"/>
      <c r="N3795" s="16"/>
      <c r="O3795" s="17"/>
      <c r="P3795" s="17"/>
      <c r="Q3795" s="22"/>
      <c r="R3795" s="23"/>
    </row>
    <row r="3796" spans="1:18" ht="12.75">
      <c r="A3796" s="22"/>
      <c r="D3796" s="19"/>
      <c r="H3796" s="18"/>
      <c r="J3796" s="18"/>
      <c r="N3796" s="16"/>
      <c r="O3796" s="17"/>
      <c r="P3796" s="17"/>
      <c r="Q3796" s="22"/>
      <c r="R3796" s="23"/>
    </row>
    <row r="3797" spans="1:18" ht="12.75">
      <c r="A3797" s="22"/>
      <c r="D3797" s="19"/>
      <c r="H3797" s="18"/>
      <c r="J3797" s="18"/>
      <c r="N3797" s="16"/>
      <c r="O3797" s="17"/>
      <c r="P3797" s="17"/>
      <c r="Q3797" s="22"/>
      <c r="R3797" s="23"/>
    </row>
    <row r="3798" spans="1:18" ht="12.75">
      <c r="A3798" s="22"/>
      <c r="D3798" s="19"/>
      <c r="H3798" s="18"/>
      <c r="J3798" s="18"/>
      <c r="N3798" s="16"/>
      <c r="O3798" s="17"/>
      <c r="P3798" s="17"/>
      <c r="Q3798" s="22"/>
      <c r="R3798" s="23"/>
    </row>
    <row r="3799" spans="1:18" ht="12.75">
      <c r="A3799" s="22"/>
      <c r="D3799" s="19"/>
      <c r="H3799" s="18"/>
      <c r="J3799" s="18"/>
      <c r="N3799" s="16"/>
      <c r="O3799" s="17"/>
      <c r="P3799" s="17"/>
      <c r="Q3799" s="22"/>
      <c r="R3799" s="23"/>
    </row>
    <row r="3800" spans="1:18" ht="12.75">
      <c r="A3800" s="22"/>
      <c r="D3800" s="19"/>
      <c r="H3800" s="18"/>
      <c r="J3800" s="18"/>
      <c r="N3800" s="16"/>
      <c r="O3800" s="17"/>
      <c r="P3800" s="17"/>
      <c r="Q3800" s="22"/>
      <c r="R3800" s="23"/>
    </row>
    <row r="3801" spans="1:18" ht="12.75">
      <c r="A3801" s="22"/>
      <c r="D3801" s="19"/>
      <c r="H3801" s="18"/>
      <c r="J3801" s="18"/>
      <c r="N3801" s="16"/>
      <c r="O3801" s="17"/>
      <c r="P3801" s="17"/>
      <c r="Q3801" s="22"/>
      <c r="R3801" s="23"/>
    </row>
    <row r="3802" spans="1:18" ht="12.75">
      <c r="A3802" s="22"/>
      <c r="D3802" s="19"/>
      <c r="H3802" s="18"/>
      <c r="J3802" s="18"/>
      <c r="N3802" s="16"/>
      <c r="O3802" s="17"/>
      <c r="P3802" s="17"/>
      <c r="Q3802" s="22"/>
      <c r="R3802" s="23"/>
    </row>
    <row r="3803" spans="1:18" ht="12.75">
      <c r="A3803" s="22"/>
      <c r="D3803" s="19"/>
      <c r="H3803" s="18"/>
      <c r="J3803" s="18"/>
      <c r="N3803" s="16"/>
      <c r="O3803" s="17"/>
      <c r="P3803" s="17"/>
      <c r="Q3803" s="22"/>
      <c r="R3803" s="23"/>
    </row>
    <row r="3804" spans="1:18" ht="12.75">
      <c r="A3804" s="22"/>
      <c r="D3804" s="19"/>
      <c r="H3804" s="18"/>
      <c r="J3804" s="18"/>
      <c r="N3804" s="16"/>
      <c r="O3804" s="17"/>
      <c r="P3804" s="17"/>
      <c r="Q3804" s="22"/>
      <c r="R3804" s="23"/>
    </row>
    <row r="3805" spans="1:18" ht="12.75">
      <c r="A3805" s="22"/>
      <c r="D3805" s="19"/>
      <c r="H3805" s="18"/>
      <c r="J3805" s="18"/>
      <c r="N3805" s="16"/>
      <c r="O3805" s="17"/>
      <c r="P3805" s="17"/>
      <c r="Q3805" s="22"/>
      <c r="R3805" s="23"/>
    </row>
    <row r="3806" spans="1:18" ht="12.75">
      <c r="A3806" s="22"/>
      <c r="D3806" s="19"/>
      <c r="H3806" s="18"/>
      <c r="J3806" s="18"/>
      <c r="N3806" s="16"/>
      <c r="O3806" s="17"/>
      <c r="P3806" s="17"/>
      <c r="Q3806" s="22"/>
      <c r="R3806" s="23"/>
    </row>
    <row r="3807" spans="1:18" ht="12.75">
      <c r="A3807" s="22"/>
      <c r="D3807" s="19"/>
      <c r="H3807" s="18"/>
      <c r="J3807" s="18"/>
      <c r="N3807" s="16"/>
      <c r="O3807" s="17"/>
      <c r="P3807" s="17"/>
      <c r="Q3807" s="22"/>
      <c r="R3807" s="23"/>
    </row>
    <row r="3808" spans="1:18" ht="12.75">
      <c r="A3808" s="22"/>
      <c r="D3808" s="19"/>
      <c r="H3808" s="18"/>
      <c r="J3808" s="18"/>
      <c r="N3808" s="16"/>
      <c r="O3808" s="17"/>
      <c r="P3808" s="17"/>
      <c r="Q3808" s="22"/>
      <c r="R3808" s="23"/>
    </row>
    <row r="3809" spans="1:18" ht="12.75">
      <c r="A3809" s="22"/>
      <c r="D3809" s="19"/>
      <c r="H3809" s="18"/>
      <c r="J3809" s="18"/>
      <c r="N3809" s="16"/>
      <c r="O3809" s="17"/>
      <c r="P3809" s="17"/>
      <c r="Q3809" s="22"/>
      <c r="R3809" s="23"/>
    </row>
    <row r="3810" spans="1:18" ht="12.75">
      <c r="A3810" s="22"/>
      <c r="D3810" s="19"/>
      <c r="H3810" s="18"/>
      <c r="J3810" s="18"/>
      <c r="N3810" s="16"/>
      <c r="O3810" s="17"/>
      <c r="P3810" s="17"/>
      <c r="Q3810" s="22"/>
      <c r="R3810" s="23"/>
    </row>
    <row r="3811" spans="1:18" ht="12.75">
      <c r="A3811" s="22"/>
      <c r="D3811" s="19"/>
      <c r="H3811" s="18"/>
      <c r="J3811" s="18"/>
      <c r="N3811" s="16"/>
      <c r="O3811" s="17"/>
      <c r="P3811" s="17"/>
      <c r="Q3811" s="22"/>
      <c r="R3811" s="23"/>
    </row>
    <row r="3812" spans="1:18" ht="12.75">
      <c r="A3812" s="22"/>
      <c r="D3812" s="19"/>
      <c r="H3812" s="18"/>
      <c r="J3812" s="18"/>
      <c r="N3812" s="16"/>
      <c r="O3812" s="17"/>
      <c r="P3812" s="17"/>
      <c r="Q3812" s="22"/>
      <c r="R3812" s="23"/>
    </row>
    <row r="3813" spans="1:18" ht="12.75">
      <c r="A3813" s="22"/>
      <c r="D3813" s="19"/>
      <c r="H3813" s="18"/>
      <c r="J3813" s="18"/>
      <c r="N3813" s="16"/>
      <c r="O3813" s="17"/>
      <c r="P3813" s="17"/>
      <c r="Q3813" s="22"/>
      <c r="R3813" s="23"/>
    </row>
    <row r="3814" spans="1:18" ht="12.75">
      <c r="A3814" s="22"/>
      <c r="D3814" s="19"/>
      <c r="H3814" s="18"/>
      <c r="J3814" s="18"/>
      <c r="N3814" s="16"/>
      <c r="O3814" s="17"/>
      <c r="P3814" s="17"/>
      <c r="Q3814" s="22"/>
      <c r="R3814" s="23"/>
    </row>
    <row r="3815" spans="1:18" ht="12.75">
      <c r="A3815" s="22"/>
      <c r="D3815" s="19"/>
      <c r="H3815" s="18"/>
      <c r="J3815" s="18"/>
      <c r="N3815" s="16"/>
      <c r="O3815" s="17"/>
      <c r="P3815" s="17"/>
      <c r="Q3815" s="22"/>
      <c r="R3815" s="23"/>
    </row>
    <row r="3816" spans="1:18" ht="12.75">
      <c r="A3816" s="22"/>
      <c r="D3816" s="19"/>
      <c r="H3816" s="18"/>
      <c r="J3816" s="18"/>
      <c r="N3816" s="16"/>
      <c r="O3816" s="17"/>
      <c r="P3816" s="17"/>
      <c r="Q3816" s="22"/>
      <c r="R3816" s="23"/>
    </row>
    <row r="3817" spans="1:18" ht="12.75">
      <c r="A3817" s="22"/>
      <c r="D3817" s="19"/>
      <c r="H3817" s="18"/>
      <c r="J3817" s="18"/>
      <c r="N3817" s="16"/>
      <c r="O3817" s="17"/>
      <c r="P3817" s="17"/>
      <c r="Q3817" s="22"/>
      <c r="R3817" s="23"/>
    </row>
    <row r="3818" spans="1:18" ht="12.75">
      <c r="A3818" s="22"/>
      <c r="D3818" s="19"/>
      <c r="H3818" s="18"/>
      <c r="J3818" s="18"/>
      <c r="N3818" s="16"/>
      <c r="O3818" s="17"/>
      <c r="P3818" s="17"/>
      <c r="Q3818" s="22"/>
      <c r="R3818" s="23"/>
    </row>
    <row r="3819" spans="1:18" ht="12.75">
      <c r="A3819" s="22"/>
      <c r="D3819" s="19"/>
      <c r="H3819" s="18"/>
      <c r="J3819" s="18"/>
      <c r="N3819" s="16"/>
      <c r="O3819" s="17"/>
      <c r="P3819" s="17"/>
      <c r="Q3819" s="22"/>
      <c r="R3819" s="23"/>
    </row>
    <row r="3820" spans="1:18" ht="12.75">
      <c r="A3820" s="22"/>
      <c r="D3820" s="19"/>
      <c r="H3820" s="18"/>
      <c r="J3820" s="18"/>
      <c r="N3820" s="16"/>
      <c r="O3820" s="17"/>
      <c r="P3820" s="17"/>
      <c r="Q3820" s="22"/>
      <c r="R3820" s="23"/>
    </row>
    <row r="3821" spans="1:18" ht="12.75">
      <c r="A3821" s="22"/>
      <c r="D3821" s="19"/>
      <c r="H3821" s="18"/>
      <c r="J3821" s="18"/>
      <c r="N3821" s="16"/>
      <c r="O3821" s="17"/>
      <c r="P3821" s="17"/>
      <c r="Q3821" s="22"/>
      <c r="R3821" s="23"/>
    </row>
    <row r="3822" spans="1:18" ht="12.75">
      <c r="A3822" s="22"/>
      <c r="D3822" s="19"/>
      <c r="H3822" s="18"/>
      <c r="J3822" s="18"/>
      <c r="N3822" s="16"/>
      <c r="O3822" s="17"/>
      <c r="P3822" s="17"/>
      <c r="Q3822" s="22"/>
      <c r="R3822" s="23"/>
    </row>
    <row r="3823" spans="1:18" ht="12.75">
      <c r="A3823" s="22"/>
      <c r="D3823" s="19"/>
      <c r="H3823" s="18"/>
      <c r="J3823" s="18"/>
      <c r="N3823" s="16"/>
      <c r="O3823" s="17"/>
      <c r="P3823" s="17"/>
      <c r="Q3823" s="22"/>
      <c r="R3823" s="23"/>
    </row>
    <row r="3824" spans="1:18" ht="12.75">
      <c r="A3824" s="22"/>
      <c r="D3824" s="19"/>
      <c r="H3824" s="18"/>
      <c r="J3824" s="18"/>
      <c r="N3824" s="16"/>
      <c r="O3824" s="17"/>
      <c r="P3824" s="17"/>
      <c r="Q3824" s="22"/>
      <c r="R3824" s="23"/>
    </row>
    <row r="3825" spans="1:18" ht="12.75">
      <c r="A3825" s="22"/>
      <c r="D3825" s="19"/>
      <c r="H3825" s="18"/>
      <c r="J3825" s="18"/>
      <c r="N3825" s="16"/>
      <c r="O3825" s="17"/>
      <c r="P3825" s="17"/>
      <c r="Q3825" s="22"/>
      <c r="R3825" s="23"/>
    </row>
    <row r="3826" spans="1:18" ht="12.75">
      <c r="A3826" s="22"/>
      <c r="D3826" s="19"/>
      <c r="H3826" s="18"/>
      <c r="J3826" s="18"/>
      <c r="N3826" s="16"/>
      <c r="O3826" s="17"/>
      <c r="P3826" s="17"/>
      <c r="Q3826" s="22"/>
      <c r="R3826" s="23"/>
    </row>
    <row r="3827" spans="1:18" ht="12.75">
      <c r="A3827" s="22"/>
      <c r="D3827" s="19"/>
      <c r="H3827" s="18"/>
      <c r="J3827" s="18"/>
      <c r="N3827" s="16"/>
      <c r="O3827" s="17"/>
      <c r="P3827" s="17"/>
      <c r="Q3827" s="22"/>
      <c r="R3827" s="23"/>
    </row>
    <row r="3828" spans="1:18" ht="12.75">
      <c r="A3828" s="22"/>
      <c r="D3828" s="19"/>
      <c r="H3828" s="18"/>
      <c r="J3828" s="18"/>
      <c r="N3828" s="16"/>
      <c r="O3828" s="17"/>
      <c r="P3828" s="17"/>
      <c r="Q3828" s="22"/>
      <c r="R3828" s="23"/>
    </row>
    <row r="3829" spans="1:18" ht="12.75">
      <c r="A3829" s="22"/>
      <c r="D3829" s="19"/>
      <c r="H3829" s="18"/>
      <c r="J3829" s="18"/>
      <c r="N3829" s="16"/>
      <c r="O3829" s="17"/>
      <c r="P3829" s="17"/>
      <c r="Q3829" s="22"/>
      <c r="R3829" s="23"/>
    </row>
    <row r="3830" spans="1:18" ht="12.75">
      <c r="A3830" s="22"/>
      <c r="D3830" s="19"/>
      <c r="H3830" s="18"/>
      <c r="J3830" s="18"/>
      <c r="N3830" s="16"/>
      <c r="O3830" s="17"/>
      <c r="P3830" s="17"/>
      <c r="Q3830" s="22"/>
      <c r="R3830" s="23"/>
    </row>
    <row r="3831" spans="1:18" ht="12.75">
      <c r="A3831" s="22"/>
      <c r="D3831" s="19"/>
      <c r="H3831" s="18"/>
      <c r="J3831" s="18"/>
      <c r="N3831" s="16"/>
      <c r="O3831" s="17"/>
      <c r="P3831" s="17"/>
      <c r="Q3831" s="22"/>
      <c r="R3831" s="23"/>
    </row>
    <row r="3832" spans="1:18" ht="12.75">
      <c r="A3832" s="22"/>
      <c r="D3832" s="19"/>
      <c r="H3832" s="18"/>
      <c r="J3832" s="18"/>
      <c r="N3832" s="16"/>
      <c r="O3832" s="17"/>
      <c r="P3832" s="17"/>
      <c r="Q3832" s="22"/>
      <c r="R3832" s="23"/>
    </row>
    <row r="3833" spans="1:18" ht="12.75">
      <c r="A3833" s="22"/>
      <c r="D3833" s="19"/>
      <c r="H3833" s="18"/>
      <c r="J3833" s="18"/>
      <c r="N3833" s="16"/>
      <c r="O3833" s="17"/>
      <c r="P3833" s="17"/>
      <c r="Q3833" s="22"/>
      <c r="R3833" s="23"/>
    </row>
    <row r="3834" spans="1:18" ht="12.75">
      <c r="A3834" s="22"/>
      <c r="D3834" s="19"/>
      <c r="H3834" s="18"/>
      <c r="J3834" s="18"/>
      <c r="N3834" s="16"/>
      <c r="O3834" s="17"/>
      <c r="P3834" s="17"/>
      <c r="Q3834" s="22"/>
      <c r="R3834" s="23"/>
    </row>
    <row r="3835" spans="1:18" ht="12.75">
      <c r="A3835" s="22"/>
      <c r="D3835" s="19"/>
      <c r="H3835" s="18"/>
      <c r="J3835" s="18"/>
      <c r="N3835" s="16"/>
      <c r="O3835" s="17"/>
      <c r="P3835" s="17"/>
      <c r="Q3835" s="22"/>
      <c r="R3835" s="23"/>
    </row>
    <row r="3836" spans="1:18" ht="12.75">
      <c r="A3836" s="22"/>
      <c r="D3836" s="19"/>
      <c r="H3836" s="18"/>
      <c r="J3836" s="18"/>
      <c r="N3836" s="16"/>
      <c r="O3836" s="17"/>
      <c r="P3836" s="17"/>
      <c r="Q3836" s="22"/>
      <c r="R3836" s="23"/>
    </row>
    <row r="3837" spans="1:18" ht="12.75">
      <c r="A3837" s="22"/>
      <c r="D3837" s="19"/>
      <c r="H3837" s="18"/>
      <c r="J3837" s="18"/>
      <c r="N3837" s="16"/>
      <c r="O3837" s="17"/>
      <c r="P3837" s="17"/>
      <c r="Q3837" s="22"/>
      <c r="R3837" s="23"/>
    </row>
    <row r="3838" spans="1:18" ht="12.75">
      <c r="A3838" s="22"/>
      <c r="D3838" s="19"/>
      <c r="H3838" s="18"/>
      <c r="J3838" s="18"/>
      <c r="N3838" s="16"/>
      <c r="O3838" s="17"/>
      <c r="P3838" s="17"/>
      <c r="Q3838" s="22"/>
      <c r="R3838" s="23"/>
    </row>
    <row r="3839" spans="1:18" ht="12.75">
      <c r="A3839" s="22"/>
      <c r="D3839" s="19"/>
      <c r="H3839" s="18"/>
      <c r="J3839" s="18"/>
      <c r="N3839" s="16"/>
      <c r="O3839" s="17"/>
      <c r="P3839" s="17"/>
      <c r="Q3839" s="22"/>
      <c r="R3839" s="23"/>
    </row>
    <row r="3840" spans="1:18" ht="12.75">
      <c r="A3840" s="22"/>
      <c r="D3840" s="19"/>
      <c r="H3840" s="18"/>
      <c r="J3840" s="18"/>
      <c r="N3840" s="16"/>
      <c r="O3840" s="17"/>
      <c r="P3840" s="17"/>
      <c r="Q3840" s="22"/>
      <c r="R3840" s="23"/>
    </row>
    <row r="3841" spans="1:18" ht="12.75">
      <c r="A3841" s="22"/>
      <c r="D3841" s="19"/>
      <c r="H3841" s="18"/>
      <c r="J3841" s="18"/>
      <c r="N3841" s="16"/>
      <c r="O3841" s="17"/>
      <c r="P3841" s="17"/>
      <c r="Q3841" s="22"/>
      <c r="R3841" s="23"/>
    </row>
    <row r="3842" spans="1:18" ht="12.75">
      <c r="A3842" s="22"/>
      <c r="D3842" s="19"/>
      <c r="H3842" s="18"/>
      <c r="J3842" s="18"/>
      <c r="N3842" s="16"/>
      <c r="O3842" s="17"/>
      <c r="P3842" s="17"/>
      <c r="Q3842" s="22"/>
      <c r="R3842" s="23"/>
    </row>
    <row r="3843" spans="1:18" ht="12.75">
      <c r="A3843" s="22"/>
      <c r="D3843" s="19"/>
      <c r="H3843" s="18"/>
      <c r="J3843" s="18"/>
      <c r="N3843" s="16"/>
      <c r="O3843" s="17"/>
      <c r="P3843" s="17"/>
      <c r="Q3843" s="22"/>
      <c r="R3843" s="23"/>
    </row>
    <row r="3844" spans="1:18" ht="12.75">
      <c r="A3844" s="22"/>
      <c r="D3844" s="19"/>
      <c r="H3844" s="18"/>
      <c r="J3844" s="18"/>
      <c r="N3844" s="16"/>
      <c r="O3844" s="17"/>
      <c r="P3844" s="17"/>
      <c r="Q3844" s="22"/>
      <c r="R3844" s="23"/>
    </row>
    <row r="3845" spans="1:18" ht="12.75">
      <c r="A3845" s="22"/>
      <c r="D3845" s="19"/>
      <c r="H3845" s="18"/>
      <c r="J3845" s="18"/>
      <c r="N3845" s="16"/>
      <c r="O3845" s="17"/>
      <c r="P3845" s="17"/>
      <c r="Q3845" s="22"/>
      <c r="R3845" s="23"/>
    </row>
    <row r="3846" spans="1:18" ht="12.75">
      <c r="A3846" s="22"/>
      <c r="D3846" s="19"/>
      <c r="H3846" s="18"/>
      <c r="J3846" s="18"/>
      <c r="N3846" s="16"/>
      <c r="O3846" s="17"/>
      <c r="P3846" s="17"/>
      <c r="Q3846" s="22"/>
      <c r="R3846" s="23"/>
    </row>
    <row r="3847" spans="1:18" ht="12.75">
      <c r="A3847" s="22"/>
      <c r="D3847" s="19"/>
      <c r="H3847" s="18"/>
      <c r="J3847" s="18"/>
      <c r="N3847" s="16"/>
      <c r="O3847" s="17"/>
      <c r="P3847" s="17"/>
      <c r="Q3847" s="22"/>
      <c r="R3847" s="23"/>
    </row>
    <row r="3848" spans="1:18" ht="12.75">
      <c r="A3848" s="22"/>
      <c r="D3848" s="19"/>
      <c r="H3848" s="18"/>
      <c r="J3848" s="18"/>
      <c r="N3848" s="16"/>
      <c r="O3848" s="17"/>
      <c r="P3848" s="17"/>
      <c r="Q3848" s="22"/>
      <c r="R3848" s="23"/>
    </row>
    <row r="3849" spans="1:18" ht="12.75">
      <c r="A3849" s="22"/>
      <c r="D3849" s="19"/>
      <c r="H3849" s="18"/>
      <c r="J3849" s="18"/>
      <c r="N3849" s="16"/>
      <c r="O3849" s="17"/>
      <c r="P3849" s="17"/>
      <c r="Q3849" s="22"/>
      <c r="R3849" s="23"/>
    </row>
    <row r="3850" spans="1:18" ht="12.75">
      <c r="A3850" s="22"/>
      <c r="D3850" s="19"/>
      <c r="H3850" s="18"/>
      <c r="J3850" s="18"/>
      <c r="N3850" s="16"/>
      <c r="O3850" s="17"/>
      <c r="P3850" s="17"/>
      <c r="Q3850" s="22"/>
      <c r="R3850" s="23"/>
    </row>
    <row r="3851" spans="1:18" ht="12.75">
      <c r="A3851" s="22"/>
      <c r="D3851" s="19"/>
      <c r="H3851" s="18"/>
      <c r="J3851" s="18"/>
      <c r="N3851" s="16"/>
      <c r="O3851" s="17"/>
      <c r="P3851" s="17"/>
      <c r="Q3851" s="22"/>
      <c r="R3851" s="23"/>
    </row>
    <row r="3852" spans="1:18" ht="12.75">
      <c r="A3852" s="22"/>
      <c r="D3852" s="19"/>
      <c r="H3852" s="18"/>
      <c r="J3852" s="18"/>
      <c r="N3852" s="16"/>
      <c r="O3852" s="17"/>
      <c r="P3852" s="17"/>
      <c r="Q3852" s="22"/>
      <c r="R3852" s="23"/>
    </row>
    <row r="3853" spans="1:18" ht="12.75">
      <c r="A3853" s="22"/>
      <c r="D3853" s="19"/>
      <c r="H3853" s="18"/>
      <c r="J3853" s="18"/>
      <c r="N3853" s="16"/>
      <c r="O3853" s="17"/>
      <c r="P3853" s="17"/>
      <c r="Q3853" s="22"/>
      <c r="R3853" s="23"/>
    </row>
    <row r="3854" spans="1:18" ht="12.75">
      <c r="A3854" s="22"/>
      <c r="D3854" s="19"/>
      <c r="H3854" s="18"/>
      <c r="J3854" s="18"/>
      <c r="N3854" s="16"/>
      <c r="O3854" s="17"/>
      <c r="P3854" s="17"/>
      <c r="Q3854" s="22"/>
      <c r="R3854" s="23"/>
    </row>
    <row r="3855" spans="1:18" ht="12.75">
      <c r="A3855" s="22"/>
      <c r="D3855" s="19"/>
      <c r="H3855" s="18"/>
      <c r="J3855" s="18"/>
      <c r="N3855" s="16"/>
      <c r="O3855" s="17"/>
      <c r="P3855" s="17"/>
      <c r="Q3855" s="22"/>
      <c r="R3855" s="23"/>
    </row>
    <row r="3856" spans="1:18" ht="12.75">
      <c r="A3856" s="22"/>
      <c r="D3856" s="19"/>
      <c r="H3856" s="18"/>
      <c r="J3856" s="18"/>
      <c r="N3856" s="16"/>
      <c r="O3856" s="17"/>
      <c r="P3856" s="17"/>
      <c r="Q3856" s="22"/>
      <c r="R3856" s="23"/>
    </row>
    <row r="3857" spans="1:18" ht="12.75">
      <c r="A3857" s="22"/>
      <c r="D3857" s="19"/>
      <c r="H3857" s="18"/>
      <c r="J3857" s="18"/>
      <c r="N3857" s="16"/>
      <c r="O3857" s="17"/>
      <c r="P3857" s="17"/>
      <c r="Q3857" s="22"/>
      <c r="R3857" s="23"/>
    </row>
    <row r="3858" spans="1:18" ht="12.75">
      <c r="A3858" s="22"/>
      <c r="D3858" s="19"/>
      <c r="H3858" s="18"/>
      <c r="J3858" s="18"/>
      <c r="N3858" s="16"/>
      <c r="O3858" s="17"/>
      <c r="P3858" s="17"/>
      <c r="Q3858" s="22"/>
      <c r="R3858" s="23"/>
    </row>
    <row r="3859" spans="1:18" ht="12.75">
      <c r="A3859" s="22"/>
      <c r="D3859" s="19"/>
      <c r="H3859" s="18"/>
      <c r="J3859" s="18"/>
      <c r="N3859" s="16"/>
      <c r="O3859" s="17"/>
      <c r="P3859" s="17"/>
      <c r="Q3859" s="22"/>
      <c r="R3859" s="23"/>
    </row>
    <row r="3860" spans="1:18" ht="12.75">
      <c r="A3860" s="22"/>
      <c r="D3860" s="19"/>
      <c r="H3860" s="18"/>
      <c r="J3860" s="18"/>
      <c r="N3860" s="16"/>
      <c r="O3860" s="17"/>
      <c r="P3860" s="17"/>
      <c r="Q3860" s="22"/>
      <c r="R3860" s="23"/>
    </row>
    <row r="3861" spans="1:18" ht="12.75">
      <c r="A3861" s="22"/>
      <c r="D3861" s="19"/>
      <c r="H3861" s="18"/>
      <c r="J3861" s="18"/>
      <c r="N3861" s="16"/>
      <c r="O3861" s="17"/>
      <c r="P3861" s="17"/>
      <c r="Q3861" s="22"/>
      <c r="R3861" s="23"/>
    </row>
    <row r="3862" spans="1:18" ht="12.75">
      <c r="A3862" s="22"/>
      <c r="D3862" s="19"/>
      <c r="H3862" s="18"/>
      <c r="J3862" s="18"/>
      <c r="N3862" s="16"/>
      <c r="O3862" s="17"/>
      <c r="P3862" s="17"/>
      <c r="Q3862" s="22"/>
      <c r="R3862" s="23"/>
    </row>
    <row r="3863" spans="1:18" ht="12.75">
      <c r="A3863" s="22"/>
      <c r="D3863" s="19"/>
      <c r="H3863" s="18"/>
      <c r="J3863" s="18"/>
      <c r="N3863" s="16"/>
      <c r="O3863" s="17"/>
      <c r="P3863" s="17"/>
      <c r="Q3863" s="22"/>
      <c r="R3863" s="23"/>
    </row>
    <row r="3864" spans="1:18" ht="12.75">
      <c r="A3864" s="22"/>
      <c r="D3864" s="19"/>
      <c r="H3864" s="18"/>
      <c r="J3864" s="18"/>
      <c r="N3864" s="16"/>
      <c r="O3864" s="17"/>
      <c r="P3864" s="17"/>
      <c r="Q3864" s="22"/>
      <c r="R3864" s="23"/>
    </row>
    <row r="3865" spans="1:18" ht="12.75">
      <c r="A3865" s="22"/>
      <c r="D3865" s="19"/>
      <c r="H3865" s="18"/>
      <c r="J3865" s="18"/>
      <c r="N3865" s="16"/>
      <c r="O3865" s="17"/>
      <c r="P3865" s="17"/>
      <c r="Q3865" s="22"/>
      <c r="R3865" s="23"/>
    </row>
    <row r="3866" spans="1:18" ht="12.75">
      <c r="A3866" s="22"/>
      <c r="D3866" s="19"/>
      <c r="H3866" s="18"/>
      <c r="J3866" s="18"/>
      <c r="N3866" s="16"/>
      <c r="O3866" s="17"/>
      <c r="P3866" s="17"/>
      <c r="Q3866" s="22"/>
      <c r="R3866" s="23"/>
    </row>
    <row r="3867" spans="1:18" ht="12.75">
      <c r="A3867" s="22"/>
      <c r="D3867" s="19"/>
      <c r="H3867" s="18"/>
      <c r="J3867" s="18"/>
      <c r="N3867" s="16"/>
      <c r="O3867" s="17"/>
      <c r="P3867" s="17"/>
      <c r="Q3867" s="22"/>
      <c r="R3867" s="23"/>
    </row>
    <row r="3868" spans="1:18" ht="12.75">
      <c r="A3868" s="22"/>
      <c r="D3868" s="19"/>
      <c r="H3868" s="18"/>
      <c r="J3868" s="18"/>
      <c r="N3868" s="16"/>
      <c r="O3868" s="17"/>
      <c r="P3868" s="17"/>
      <c r="Q3868" s="22"/>
      <c r="R3868" s="23"/>
    </row>
    <row r="3869" spans="1:18" ht="12.75">
      <c r="A3869" s="22"/>
      <c r="D3869" s="19"/>
      <c r="H3869" s="18"/>
      <c r="J3869" s="18"/>
      <c r="N3869" s="16"/>
      <c r="O3869" s="17"/>
      <c r="P3869" s="17"/>
      <c r="Q3869" s="22"/>
      <c r="R3869" s="23"/>
    </row>
    <row r="3870" spans="1:18" ht="12.75">
      <c r="A3870" s="22"/>
      <c r="D3870" s="19"/>
      <c r="H3870" s="18"/>
      <c r="J3870" s="18"/>
      <c r="N3870" s="16"/>
      <c r="O3870" s="17"/>
      <c r="P3870" s="17"/>
      <c r="Q3870" s="22"/>
      <c r="R3870" s="23"/>
    </row>
    <row r="3871" spans="1:18" ht="12.75">
      <c r="A3871" s="22"/>
      <c r="D3871" s="19"/>
      <c r="H3871" s="18"/>
      <c r="J3871" s="18"/>
      <c r="N3871" s="16"/>
      <c r="O3871" s="17"/>
      <c r="P3871" s="17"/>
      <c r="Q3871" s="22"/>
      <c r="R3871" s="23"/>
    </row>
    <row r="3872" spans="1:18" ht="12.75">
      <c r="A3872" s="22"/>
      <c r="D3872" s="19"/>
      <c r="H3872" s="18"/>
      <c r="J3872" s="18"/>
      <c r="N3872" s="16"/>
      <c r="O3872" s="17"/>
      <c r="P3872" s="17"/>
      <c r="Q3872" s="22"/>
      <c r="R3872" s="23"/>
    </row>
    <row r="3873" spans="1:18" ht="12.75">
      <c r="A3873" s="22"/>
      <c r="D3873" s="19"/>
      <c r="H3873" s="18"/>
      <c r="J3873" s="18"/>
      <c r="N3873" s="16"/>
      <c r="O3873" s="17"/>
      <c r="P3873" s="17"/>
      <c r="Q3873" s="22"/>
      <c r="R3873" s="23"/>
    </row>
    <row r="3874" spans="1:18" ht="12.75">
      <c r="A3874" s="22"/>
      <c r="D3874" s="19"/>
      <c r="H3874" s="18"/>
      <c r="J3874" s="18"/>
      <c r="N3874" s="16"/>
      <c r="O3874" s="17"/>
      <c r="P3874" s="17"/>
      <c r="Q3874" s="22"/>
      <c r="R3874" s="23"/>
    </row>
    <row r="3875" spans="1:18" ht="12.75">
      <c r="A3875" s="22"/>
      <c r="D3875" s="19"/>
      <c r="H3875" s="18"/>
      <c r="J3875" s="18"/>
      <c r="N3875" s="16"/>
      <c r="O3875" s="17"/>
      <c r="P3875" s="17"/>
      <c r="Q3875" s="22"/>
      <c r="R3875" s="23"/>
    </row>
    <row r="3876" spans="1:18" ht="12.75">
      <c r="A3876" s="22"/>
      <c r="D3876" s="19"/>
      <c r="H3876" s="18"/>
      <c r="J3876" s="18"/>
      <c r="N3876" s="16"/>
      <c r="O3876" s="17"/>
      <c r="P3876" s="17"/>
      <c r="Q3876" s="22"/>
      <c r="R3876" s="23"/>
    </row>
    <row r="3877" spans="1:18" ht="12.75">
      <c r="A3877" s="22"/>
      <c r="D3877" s="19"/>
      <c r="H3877" s="18"/>
      <c r="J3877" s="18"/>
      <c r="N3877" s="16"/>
      <c r="O3877" s="17"/>
      <c r="P3877" s="17"/>
      <c r="Q3877" s="22"/>
      <c r="R3877" s="23"/>
    </row>
    <row r="3878" spans="1:18" ht="12.75">
      <c r="A3878" s="22"/>
      <c r="D3878" s="19"/>
      <c r="H3878" s="18"/>
      <c r="J3878" s="18"/>
      <c r="N3878" s="16"/>
      <c r="O3878" s="17"/>
      <c r="P3878" s="17"/>
      <c r="Q3878" s="22"/>
      <c r="R3878" s="23"/>
    </row>
    <row r="3879" spans="1:18" ht="12.75">
      <c r="A3879" s="22"/>
      <c r="D3879" s="19"/>
      <c r="H3879" s="18"/>
      <c r="J3879" s="18"/>
      <c r="N3879" s="16"/>
      <c r="O3879" s="17"/>
      <c r="P3879" s="17"/>
      <c r="Q3879" s="22"/>
      <c r="R3879" s="23"/>
    </row>
    <row r="3880" spans="1:18" ht="12.75">
      <c r="A3880" s="22"/>
      <c r="D3880" s="19"/>
      <c r="H3880" s="18"/>
      <c r="J3880" s="18"/>
      <c r="N3880" s="16"/>
      <c r="O3880" s="17"/>
      <c r="P3880" s="17"/>
      <c r="Q3880" s="22"/>
      <c r="R3880" s="23"/>
    </row>
    <row r="3881" spans="1:18" ht="12.75">
      <c r="A3881" s="22"/>
      <c r="D3881" s="19"/>
      <c r="H3881" s="18"/>
      <c r="J3881" s="18"/>
      <c r="N3881" s="16"/>
      <c r="O3881" s="17"/>
      <c r="P3881" s="17"/>
      <c r="Q3881" s="22"/>
      <c r="R3881" s="23"/>
    </row>
    <row r="3882" spans="1:18" ht="12.75">
      <c r="A3882" s="22"/>
      <c r="D3882" s="19"/>
      <c r="H3882" s="18"/>
      <c r="J3882" s="18"/>
      <c r="N3882" s="16"/>
      <c r="O3882" s="17"/>
      <c r="P3882" s="17"/>
      <c r="Q3882" s="22"/>
      <c r="R3882" s="23"/>
    </row>
    <row r="3883" spans="1:18" ht="12.75">
      <c r="A3883" s="22"/>
      <c r="D3883" s="19"/>
      <c r="H3883" s="18"/>
      <c r="J3883" s="18"/>
      <c r="N3883" s="16"/>
      <c r="O3883" s="17"/>
      <c r="P3883" s="17"/>
      <c r="Q3883" s="22"/>
      <c r="R3883" s="23"/>
    </row>
    <row r="3884" spans="1:18" ht="12.75">
      <c r="A3884" s="22"/>
      <c r="D3884" s="19"/>
      <c r="H3884" s="18"/>
      <c r="J3884" s="18"/>
      <c r="N3884" s="16"/>
      <c r="O3884" s="17"/>
      <c r="P3884" s="17"/>
      <c r="Q3884" s="22"/>
      <c r="R3884" s="23"/>
    </row>
    <row r="3885" spans="1:18" ht="12.75">
      <c r="A3885" s="22"/>
      <c r="D3885" s="19"/>
      <c r="H3885" s="18"/>
      <c r="J3885" s="18"/>
      <c r="N3885" s="16"/>
      <c r="O3885" s="17"/>
      <c r="P3885" s="17"/>
      <c r="Q3885" s="22"/>
      <c r="R3885" s="23"/>
    </row>
    <row r="3886" spans="1:18" ht="12.75">
      <c r="A3886" s="22"/>
      <c r="D3886" s="19"/>
      <c r="H3886" s="18"/>
      <c r="J3886" s="18"/>
      <c r="N3886" s="16"/>
      <c r="O3886" s="17"/>
      <c r="P3886" s="17"/>
      <c r="Q3886" s="22"/>
      <c r="R3886" s="23"/>
    </row>
    <row r="3887" spans="1:18" ht="12.75">
      <c r="A3887" s="22"/>
      <c r="D3887" s="19"/>
      <c r="H3887" s="18"/>
      <c r="J3887" s="18"/>
      <c r="N3887" s="16"/>
      <c r="O3887" s="17"/>
      <c r="P3887" s="17"/>
      <c r="Q3887" s="22"/>
      <c r="R3887" s="23"/>
    </row>
    <row r="3888" spans="1:18" ht="12.75">
      <c r="A3888" s="22"/>
      <c r="D3888" s="19"/>
      <c r="H3888" s="18"/>
      <c r="J3888" s="18"/>
      <c r="N3888" s="16"/>
      <c r="O3888" s="17"/>
      <c r="P3888" s="17"/>
      <c r="Q3888" s="22"/>
      <c r="R3888" s="23"/>
    </row>
    <row r="3889" spans="1:18" ht="12.75">
      <c r="A3889" s="22"/>
      <c r="D3889" s="19"/>
      <c r="H3889" s="18"/>
      <c r="J3889" s="18"/>
      <c r="N3889" s="16"/>
      <c r="O3889" s="17"/>
      <c r="P3889" s="17"/>
      <c r="Q3889" s="22"/>
      <c r="R3889" s="23"/>
    </row>
    <row r="3890" spans="1:18" ht="12.75">
      <c r="A3890" s="22"/>
      <c r="D3890" s="19"/>
      <c r="H3890" s="18"/>
      <c r="J3890" s="18"/>
      <c r="N3890" s="16"/>
      <c r="O3890" s="17"/>
      <c r="P3890" s="17"/>
      <c r="Q3890" s="22"/>
      <c r="R3890" s="23"/>
    </row>
    <row r="3891" spans="1:18" ht="12.75">
      <c r="A3891" s="22"/>
      <c r="D3891" s="19"/>
      <c r="H3891" s="18"/>
      <c r="J3891" s="18"/>
      <c r="N3891" s="16"/>
      <c r="O3891" s="17"/>
      <c r="P3891" s="17"/>
      <c r="Q3891" s="22"/>
      <c r="R3891" s="23"/>
    </row>
    <row r="3892" spans="1:18" ht="12.75">
      <c r="A3892" s="22"/>
      <c r="D3892" s="19"/>
      <c r="H3892" s="18"/>
      <c r="J3892" s="18"/>
      <c r="N3892" s="16"/>
      <c r="O3892" s="17"/>
      <c r="P3892" s="17"/>
      <c r="Q3892" s="22"/>
      <c r="R3892" s="23"/>
    </row>
    <row r="3893" spans="1:18" ht="12.75">
      <c r="A3893" s="22"/>
      <c r="D3893" s="19"/>
      <c r="H3893" s="18"/>
      <c r="J3893" s="18"/>
      <c r="N3893" s="16"/>
      <c r="O3893" s="17"/>
      <c r="P3893" s="17"/>
      <c r="Q3893" s="22"/>
      <c r="R3893" s="23"/>
    </row>
    <row r="3894" spans="1:18" ht="12.75">
      <c r="A3894" s="22"/>
      <c r="D3894" s="19"/>
      <c r="H3894" s="18"/>
      <c r="J3894" s="18"/>
      <c r="N3894" s="16"/>
      <c r="O3894" s="17"/>
      <c r="P3894" s="17"/>
      <c r="Q3894" s="22"/>
      <c r="R3894" s="23"/>
    </row>
    <row r="3895" spans="1:18" ht="12.75">
      <c r="A3895" s="22"/>
      <c r="D3895" s="19"/>
      <c r="H3895" s="18"/>
      <c r="J3895" s="18"/>
      <c r="N3895" s="16"/>
      <c r="O3895" s="17"/>
      <c r="P3895" s="17"/>
      <c r="Q3895" s="22"/>
      <c r="R3895" s="23"/>
    </row>
    <row r="3896" spans="1:18" ht="12.75">
      <c r="A3896" s="22"/>
      <c r="D3896" s="19"/>
      <c r="H3896" s="18"/>
      <c r="J3896" s="18"/>
      <c r="N3896" s="16"/>
      <c r="O3896" s="17"/>
      <c r="P3896" s="17"/>
      <c r="Q3896" s="22"/>
      <c r="R3896" s="23"/>
    </row>
    <row r="3897" spans="1:18" ht="12.75">
      <c r="A3897" s="22"/>
      <c r="D3897" s="19"/>
      <c r="H3897" s="18"/>
      <c r="J3897" s="18"/>
      <c r="N3897" s="16"/>
      <c r="O3897" s="17"/>
      <c r="P3897" s="17"/>
      <c r="Q3897" s="22"/>
      <c r="R3897" s="23"/>
    </row>
    <row r="3898" spans="1:18" ht="12.75">
      <c r="A3898" s="22"/>
      <c r="D3898" s="19"/>
      <c r="H3898" s="18"/>
      <c r="J3898" s="18"/>
      <c r="N3898" s="16"/>
      <c r="O3898" s="17"/>
      <c r="P3898" s="17"/>
      <c r="Q3898" s="22"/>
      <c r="R3898" s="23"/>
    </row>
    <row r="3899" spans="1:18" ht="12.75">
      <c r="A3899" s="22"/>
      <c r="D3899" s="19"/>
      <c r="H3899" s="18"/>
      <c r="J3899" s="18"/>
      <c r="N3899" s="16"/>
      <c r="O3899" s="17"/>
      <c r="P3899" s="17"/>
      <c r="Q3899" s="22"/>
      <c r="R3899" s="23"/>
    </row>
    <row r="3900" spans="1:18" ht="12.75">
      <c r="A3900" s="22"/>
      <c r="D3900" s="19"/>
      <c r="H3900" s="18"/>
      <c r="J3900" s="18"/>
      <c r="N3900" s="16"/>
      <c r="O3900" s="17"/>
      <c r="P3900" s="17"/>
      <c r="Q3900" s="22"/>
      <c r="R3900" s="23"/>
    </row>
    <row r="3901" spans="1:18" ht="12.75">
      <c r="A3901" s="22"/>
      <c r="D3901" s="19"/>
      <c r="H3901" s="18"/>
      <c r="J3901" s="18"/>
      <c r="N3901" s="16"/>
      <c r="O3901" s="17"/>
      <c r="P3901" s="17"/>
      <c r="Q3901" s="22"/>
      <c r="R3901" s="23"/>
    </row>
    <row r="3902" spans="1:18" ht="12.75">
      <c r="A3902" s="22"/>
      <c r="D3902" s="19"/>
      <c r="H3902" s="18"/>
      <c r="J3902" s="18"/>
      <c r="N3902" s="16"/>
      <c r="O3902" s="17"/>
      <c r="P3902" s="17"/>
      <c r="Q3902" s="22"/>
      <c r="R3902" s="23"/>
    </row>
    <row r="3903" spans="1:18" ht="12.75">
      <c r="A3903" s="22"/>
      <c r="D3903" s="19"/>
      <c r="H3903" s="18"/>
      <c r="J3903" s="18"/>
      <c r="N3903" s="16"/>
      <c r="O3903" s="17"/>
      <c r="P3903" s="17"/>
      <c r="Q3903" s="22"/>
      <c r="R3903" s="23"/>
    </row>
    <row r="3904" spans="1:18" ht="12.75">
      <c r="A3904" s="22"/>
      <c r="D3904" s="19"/>
      <c r="H3904" s="18"/>
      <c r="J3904" s="18"/>
      <c r="N3904" s="16"/>
      <c r="O3904" s="17"/>
      <c r="P3904" s="17"/>
      <c r="Q3904" s="22"/>
      <c r="R3904" s="23"/>
    </row>
    <row r="3905" spans="1:18" ht="12.75">
      <c r="A3905" s="22"/>
      <c r="D3905" s="19"/>
      <c r="H3905" s="18"/>
      <c r="J3905" s="18"/>
      <c r="N3905" s="16"/>
      <c r="O3905" s="17"/>
      <c r="P3905" s="17"/>
      <c r="Q3905" s="22"/>
      <c r="R3905" s="23"/>
    </row>
    <row r="3906" spans="1:18" ht="12.75">
      <c r="A3906" s="22"/>
      <c r="D3906" s="19"/>
      <c r="H3906" s="18"/>
      <c r="J3906" s="18"/>
      <c r="N3906" s="16"/>
      <c r="O3906" s="17"/>
      <c r="P3906" s="17"/>
      <c r="Q3906" s="22"/>
      <c r="R3906" s="23"/>
    </row>
    <row r="3907" spans="1:18" ht="12.75">
      <c r="A3907" s="22"/>
      <c r="D3907" s="19"/>
      <c r="H3907" s="18"/>
      <c r="J3907" s="18"/>
      <c r="N3907" s="16"/>
      <c r="O3907" s="17"/>
      <c r="P3907" s="17"/>
      <c r="Q3907" s="22"/>
      <c r="R3907" s="23"/>
    </row>
    <row r="3908" spans="1:18" ht="12.75">
      <c r="A3908" s="22"/>
      <c r="D3908" s="19"/>
      <c r="H3908" s="18"/>
      <c r="J3908" s="18"/>
      <c r="N3908" s="16"/>
      <c r="O3908" s="17"/>
      <c r="P3908" s="17"/>
      <c r="Q3908" s="22"/>
      <c r="R3908" s="23"/>
    </row>
    <row r="3909" spans="1:18" ht="12.75">
      <c r="A3909" s="22"/>
      <c r="D3909" s="19"/>
      <c r="H3909" s="18"/>
      <c r="J3909" s="18"/>
      <c r="N3909" s="16"/>
      <c r="O3909" s="17"/>
      <c r="P3909" s="17"/>
      <c r="Q3909" s="22"/>
      <c r="R3909" s="23"/>
    </row>
    <row r="3910" spans="1:18" ht="12.75">
      <c r="A3910" s="22"/>
      <c r="D3910" s="19"/>
      <c r="H3910" s="18"/>
      <c r="J3910" s="18"/>
      <c r="N3910" s="16"/>
      <c r="O3910" s="17"/>
      <c r="P3910" s="17"/>
      <c r="Q3910" s="22"/>
      <c r="R3910" s="23"/>
    </row>
    <row r="3911" spans="1:18" ht="12.75">
      <c r="A3911" s="22"/>
      <c r="D3911" s="19"/>
      <c r="H3911" s="18"/>
      <c r="J3911" s="18"/>
      <c r="N3911" s="16"/>
      <c r="O3911" s="17"/>
      <c r="P3911" s="17"/>
      <c r="Q3911" s="22"/>
      <c r="R3911" s="23"/>
    </row>
    <row r="3912" spans="1:18" ht="12.75">
      <c r="A3912" s="22"/>
      <c r="D3912" s="19"/>
      <c r="H3912" s="18"/>
      <c r="J3912" s="18"/>
      <c r="N3912" s="16"/>
      <c r="O3912" s="17"/>
      <c r="P3912" s="17"/>
      <c r="Q3912" s="22"/>
      <c r="R3912" s="23"/>
    </row>
    <row r="3913" spans="1:18" ht="12.75">
      <c r="A3913" s="22"/>
      <c r="D3913" s="19"/>
      <c r="H3913" s="18"/>
      <c r="J3913" s="18"/>
      <c r="N3913" s="16"/>
      <c r="O3913" s="17"/>
      <c r="P3913" s="17"/>
      <c r="Q3913" s="22"/>
      <c r="R3913" s="23"/>
    </row>
    <row r="3914" spans="1:18" ht="12.75">
      <c r="A3914" s="22"/>
      <c r="D3914" s="19"/>
      <c r="H3914" s="18"/>
      <c r="J3914" s="18"/>
      <c r="N3914" s="16"/>
      <c r="O3914" s="17"/>
      <c r="P3914" s="17"/>
      <c r="Q3914" s="22"/>
      <c r="R3914" s="23"/>
    </row>
    <row r="3915" spans="1:18" ht="12.75">
      <c r="A3915" s="22"/>
      <c r="D3915" s="19"/>
      <c r="H3915" s="18"/>
      <c r="J3915" s="18"/>
      <c r="N3915" s="16"/>
      <c r="O3915" s="17"/>
      <c r="P3915" s="17"/>
      <c r="Q3915" s="22"/>
      <c r="R3915" s="23"/>
    </row>
    <row r="3916" spans="1:18" ht="12.75">
      <c r="A3916" s="22"/>
      <c r="D3916" s="19"/>
      <c r="H3916" s="18"/>
      <c r="J3916" s="18"/>
      <c r="N3916" s="16"/>
      <c r="O3916" s="17"/>
      <c r="P3916" s="17"/>
      <c r="Q3916" s="22"/>
      <c r="R3916" s="23"/>
    </row>
    <row r="3917" spans="1:18" ht="12.75">
      <c r="A3917" s="22"/>
      <c r="D3917" s="19"/>
      <c r="H3917" s="18"/>
      <c r="J3917" s="18"/>
      <c r="N3917" s="16"/>
      <c r="O3917" s="17"/>
      <c r="P3917" s="17"/>
      <c r="Q3917" s="22"/>
      <c r="R3917" s="23"/>
    </row>
    <row r="3918" spans="1:18" ht="12.75">
      <c r="A3918" s="22"/>
      <c r="D3918" s="19"/>
      <c r="H3918" s="18"/>
      <c r="J3918" s="18"/>
      <c r="N3918" s="16"/>
      <c r="O3918" s="17"/>
      <c r="P3918" s="17"/>
      <c r="Q3918" s="22"/>
      <c r="R3918" s="23"/>
    </row>
    <row r="3919" spans="1:18" ht="12.75">
      <c r="A3919" s="22"/>
      <c r="D3919" s="19"/>
      <c r="H3919" s="18"/>
      <c r="J3919" s="18"/>
      <c r="N3919" s="16"/>
      <c r="O3919" s="17"/>
      <c r="P3919" s="17"/>
      <c r="Q3919" s="22"/>
      <c r="R3919" s="23"/>
    </row>
    <row r="3920" spans="1:18" ht="12.75">
      <c r="A3920" s="22"/>
      <c r="D3920" s="19"/>
      <c r="H3920" s="18"/>
      <c r="J3920" s="18"/>
      <c r="N3920" s="16"/>
      <c r="O3920" s="17"/>
      <c r="P3920" s="17"/>
      <c r="Q3920" s="22"/>
      <c r="R3920" s="23"/>
    </row>
    <row r="3921" spans="1:18" ht="12.75">
      <c r="A3921" s="22"/>
      <c r="D3921" s="19"/>
      <c r="H3921" s="18"/>
      <c r="J3921" s="18"/>
      <c r="N3921" s="16"/>
      <c r="O3921" s="17"/>
      <c r="P3921" s="17"/>
      <c r="Q3921" s="22"/>
      <c r="R3921" s="23"/>
    </row>
    <row r="3922" spans="1:18" ht="12.75">
      <c r="A3922" s="22"/>
      <c r="D3922" s="19"/>
      <c r="H3922" s="18"/>
      <c r="J3922" s="18"/>
      <c r="N3922" s="16"/>
      <c r="O3922" s="17"/>
      <c r="P3922" s="17"/>
      <c r="Q3922" s="22"/>
      <c r="R3922" s="23"/>
    </row>
    <row r="3923" spans="1:18" ht="12.75">
      <c r="A3923" s="22"/>
      <c r="D3923" s="19"/>
      <c r="H3923" s="18"/>
      <c r="J3923" s="18"/>
      <c r="N3923" s="16"/>
      <c r="O3923" s="17"/>
      <c r="P3923" s="17"/>
      <c r="Q3923" s="22"/>
      <c r="R3923" s="23"/>
    </row>
    <row r="3924" spans="1:18" ht="12.75">
      <c r="A3924" s="22"/>
      <c r="D3924" s="19"/>
      <c r="H3924" s="18"/>
      <c r="J3924" s="18"/>
      <c r="N3924" s="16"/>
      <c r="O3924" s="17"/>
      <c r="P3924" s="17"/>
      <c r="Q3924" s="22"/>
      <c r="R3924" s="23"/>
    </row>
    <row r="3925" spans="1:18" ht="12.75">
      <c r="A3925" s="22"/>
      <c r="D3925" s="19"/>
      <c r="H3925" s="18"/>
      <c r="J3925" s="18"/>
      <c r="N3925" s="16"/>
      <c r="O3925" s="17"/>
      <c r="P3925" s="17"/>
      <c r="Q3925" s="22"/>
      <c r="R3925" s="23"/>
    </row>
    <row r="3926" spans="1:18" ht="12.75">
      <c r="A3926" s="22"/>
      <c r="D3926" s="19"/>
      <c r="H3926" s="18"/>
      <c r="J3926" s="18"/>
      <c r="N3926" s="16"/>
      <c r="O3926" s="17"/>
      <c r="P3926" s="17"/>
      <c r="Q3926" s="22"/>
      <c r="R3926" s="23"/>
    </row>
    <row r="3927" spans="1:18" ht="12.75">
      <c r="A3927" s="22"/>
      <c r="D3927" s="19"/>
      <c r="H3927" s="18"/>
      <c r="J3927" s="18"/>
      <c r="N3927" s="16"/>
      <c r="O3927" s="17"/>
      <c r="P3927" s="17"/>
      <c r="Q3927" s="22"/>
      <c r="R3927" s="23"/>
    </row>
    <row r="3928" spans="1:18" ht="12.75">
      <c r="A3928" s="22"/>
      <c r="D3928" s="19"/>
      <c r="H3928" s="18"/>
      <c r="J3928" s="18"/>
      <c r="N3928" s="16"/>
      <c r="O3928" s="17"/>
      <c r="P3928" s="17"/>
      <c r="Q3928" s="22"/>
      <c r="R3928" s="23"/>
    </row>
    <row r="3929" spans="1:18" ht="12.75">
      <c r="A3929" s="22"/>
      <c r="D3929" s="19"/>
      <c r="H3929" s="18"/>
      <c r="J3929" s="18"/>
      <c r="N3929" s="16"/>
      <c r="O3929" s="17"/>
      <c r="P3929" s="17"/>
      <c r="Q3929" s="22"/>
      <c r="R3929" s="23"/>
    </row>
    <row r="3930" spans="1:18" ht="12.75">
      <c r="A3930" s="22"/>
      <c r="D3930" s="19"/>
      <c r="H3930" s="18"/>
      <c r="J3930" s="18"/>
      <c r="N3930" s="16"/>
      <c r="O3930" s="17"/>
      <c r="P3930" s="17"/>
      <c r="Q3930" s="22"/>
      <c r="R3930" s="23"/>
    </row>
    <row r="3931" spans="1:18" ht="12.75">
      <c r="A3931" s="22"/>
      <c r="D3931" s="19"/>
      <c r="H3931" s="18"/>
      <c r="J3931" s="18"/>
      <c r="N3931" s="16"/>
      <c r="O3931" s="17"/>
      <c r="P3931" s="17"/>
      <c r="Q3931" s="22"/>
      <c r="R3931" s="23"/>
    </row>
    <row r="3932" spans="1:18" ht="12.75">
      <c r="A3932" s="22"/>
      <c r="D3932" s="19"/>
      <c r="H3932" s="18"/>
      <c r="J3932" s="18"/>
      <c r="N3932" s="16"/>
      <c r="O3932" s="17"/>
      <c r="P3932" s="17"/>
      <c r="Q3932" s="22"/>
      <c r="R3932" s="23"/>
    </row>
    <row r="3933" spans="1:18" ht="12.75">
      <c r="A3933" s="22"/>
      <c r="D3933" s="19"/>
      <c r="H3933" s="18"/>
      <c r="J3933" s="18"/>
      <c r="N3933" s="16"/>
      <c r="O3933" s="17"/>
      <c r="P3933" s="17"/>
      <c r="Q3933" s="22"/>
      <c r="R3933" s="23"/>
    </row>
    <row r="3934" spans="1:18" ht="12.75">
      <c r="A3934" s="22"/>
      <c r="D3934" s="19"/>
      <c r="H3934" s="18"/>
      <c r="J3934" s="18"/>
      <c r="N3934" s="16"/>
      <c r="O3934" s="17"/>
      <c r="P3934" s="17"/>
      <c r="Q3934" s="22"/>
      <c r="R3934" s="23"/>
    </row>
    <row r="3935" spans="1:18" ht="12.75">
      <c r="A3935" s="22"/>
      <c r="D3935" s="19"/>
      <c r="H3935" s="18"/>
      <c r="J3935" s="18"/>
      <c r="N3935" s="16"/>
      <c r="O3935" s="17"/>
      <c r="P3935" s="17"/>
      <c r="Q3935" s="22"/>
      <c r="R3935" s="23"/>
    </row>
    <row r="3936" spans="1:18" ht="12.75">
      <c r="A3936" s="22"/>
      <c r="D3936" s="19"/>
      <c r="H3936" s="18"/>
      <c r="J3936" s="18"/>
      <c r="N3936" s="16"/>
      <c r="O3936" s="17"/>
      <c r="P3936" s="17"/>
      <c r="Q3936" s="22"/>
      <c r="R3936" s="23"/>
    </row>
    <row r="3937" spans="1:18" ht="12.75">
      <c r="A3937" s="22"/>
      <c r="D3937" s="19"/>
      <c r="H3937" s="18"/>
      <c r="J3937" s="18"/>
      <c r="N3937" s="16"/>
      <c r="O3937" s="17"/>
      <c r="P3937" s="17"/>
      <c r="Q3937" s="22"/>
      <c r="R3937" s="23"/>
    </row>
    <row r="3938" spans="1:18" ht="12.75">
      <c r="A3938" s="22"/>
      <c r="D3938" s="19"/>
      <c r="H3938" s="18"/>
      <c r="J3938" s="18"/>
      <c r="N3938" s="16"/>
      <c r="O3938" s="17"/>
      <c r="P3938" s="17"/>
      <c r="Q3938" s="22"/>
      <c r="R3938" s="23"/>
    </row>
    <row r="3939" spans="1:18" ht="12.75">
      <c r="A3939" s="22"/>
      <c r="D3939" s="19"/>
      <c r="H3939" s="18"/>
      <c r="J3939" s="18"/>
      <c r="N3939" s="16"/>
      <c r="O3939" s="17"/>
      <c r="P3939" s="17"/>
      <c r="Q3939" s="22"/>
      <c r="R3939" s="23"/>
    </row>
    <row r="3940" spans="1:18" ht="12.75">
      <c r="A3940" s="22"/>
      <c r="D3940" s="19"/>
      <c r="H3940" s="18"/>
      <c r="J3940" s="18"/>
      <c r="N3940" s="16"/>
      <c r="O3940" s="17"/>
      <c r="P3940" s="17"/>
      <c r="Q3940" s="22"/>
      <c r="R3940" s="23"/>
    </row>
    <row r="3941" spans="1:18" ht="12.75">
      <c r="A3941" s="22"/>
      <c r="D3941" s="19"/>
      <c r="H3941" s="18"/>
      <c r="J3941" s="18"/>
      <c r="N3941" s="16"/>
      <c r="O3941" s="17"/>
      <c r="P3941" s="17"/>
      <c r="Q3941" s="22"/>
      <c r="R3941" s="23"/>
    </row>
    <row r="3942" spans="1:18" ht="12.75">
      <c r="A3942" s="22"/>
      <c r="D3942" s="19"/>
      <c r="H3942" s="18"/>
      <c r="J3942" s="18"/>
      <c r="N3942" s="16"/>
      <c r="O3942" s="17"/>
      <c r="P3942" s="17"/>
      <c r="Q3942" s="22"/>
      <c r="R3942" s="23"/>
    </row>
    <row r="3943" spans="1:18" ht="12.75">
      <c r="A3943" s="22"/>
      <c r="D3943" s="19"/>
      <c r="H3943" s="18"/>
      <c r="J3943" s="18"/>
      <c r="N3943" s="16"/>
      <c r="O3943" s="17"/>
      <c r="P3943" s="17"/>
      <c r="Q3943" s="22"/>
      <c r="R3943" s="23"/>
    </row>
    <row r="3944" spans="1:18" ht="12.75">
      <c r="A3944" s="22"/>
      <c r="D3944" s="19"/>
      <c r="H3944" s="18"/>
      <c r="J3944" s="18"/>
      <c r="N3944" s="16"/>
      <c r="O3944" s="17"/>
      <c r="P3944" s="17"/>
      <c r="Q3944" s="22"/>
      <c r="R3944" s="23"/>
    </row>
    <row r="3945" spans="1:18" ht="12.75">
      <c r="A3945" s="22"/>
      <c r="D3945" s="19"/>
      <c r="H3945" s="18"/>
      <c r="J3945" s="18"/>
      <c r="N3945" s="16"/>
      <c r="O3945" s="17"/>
      <c r="P3945" s="17"/>
      <c r="Q3945" s="22"/>
      <c r="R3945" s="23"/>
    </row>
    <row r="3946" spans="1:18" ht="12.75">
      <c r="A3946" s="22"/>
      <c r="D3946" s="19"/>
      <c r="H3946" s="18"/>
      <c r="J3946" s="18"/>
      <c r="N3946" s="16"/>
      <c r="O3946" s="17"/>
      <c r="P3946" s="17"/>
      <c r="Q3946" s="22"/>
      <c r="R3946" s="23"/>
    </row>
    <row r="3947" spans="1:18" ht="12.75">
      <c r="A3947" s="22"/>
      <c r="D3947" s="19"/>
      <c r="H3947" s="18"/>
      <c r="J3947" s="18"/>
      <c r="N3947" s="16"/>
      <c r="O3947" s="17"/>
      <c r="P3947" s="17"/>
      <c r="Q3947" s="22"/>
      <c r="R3947" s="23"/>
    </row>
    <row r="3948" spans="1:18" ht="12.75">
      <c r="A3948" s="22"/>
      <c r="D3948" s="19"/>
      <c r="H3948" s="18"/>
      <c r="J3948" s="18"/>
      <c r="N3948" s="16"/>
      <c r="O3948" s="17"/>
      <c r="P3948" s="17"/>
      <c r="Q3948" s="22"/>
      <c r="R3948" s="23"/>
    </row>
    <row r="3949" spans="1:18" ht="12.75">
      <c r="A3949" s="22"/>
      <c r="D3949" s="19"/>
      <c r="H3949" s="18"/>
      <c r="J3949" s="18"/>
      <c r="N3949" s="16"/>
      <c r="O3949" s="17"/>
      <c r="P3949" s="17"/>
      <c r="Q3949" s="22"/>
      <c r="R3949" s="23"/>
    </row>
    <row r="3950" spans="1:18" ht="12.75">
      <c r="A3950" s="22"/>
      <c r="D3950" s="19"/>
      <c r="H3950" s="18"/>
      <c r="J3950" s="18"/>
      <c r="N3950" s="16"/>
      <c r="O3950" s="17"/>
      <c r="P3950" s="17"/>
      <c r="Q3950" s="22"/>
      <c r="R3950" s="23"/>
    </row>
    <row r="3951" spans="1:18" ht="12.75">
      <c r="A3951" s="22"/>
      <c r="D3951" s="19"/>
      <c r="H3951" s="18"/>
      <c r="J3951" s="18"/>
      <c r="N3951" s="16"/>
      <c r="O3951" s="17"/>
      <c r="P3951" s="17"/>
      <c r="Q3951" s="22"/>
      <c r="R3951" s="23"/>
    </row>
    <row r="3952" spans="1:18" ht="12.75">
      <c r="A3952" s="22"/>
      <c r="D3952" s="19"/>
      <c r="H3952" s="18"/>
      <c r="J3952" s="18"/>
      <c r="N3952" s="16"/>
      <c r="O3952" s="17"/>
      <c r="P3952" s="17"/>
      <c r="Q3952" s="22"/>
      <c r="R3952" s="23"/>
    </row>
    <row r="3953" spans="1:18" ht="12.75">
      <c r="A3953" s="22"/>
      <c r="D3953" s="19"/>
      <c r="H3953" s="18"/>
      <c r="J3953" s="18"/>
      <c r="N3953" s="16"/>
      <c r="O3953" s="17"/>
      <c r="P3953" s="17"/>
      <c r="Q3953" s="22"/>
      <c r="R3953" s="23"/>
    </row>
    <row r="3954" spans="1:18" ht="12.75">
      <c r="A3954" s="22"/>
      <c r="D3954" s="19"/>
      <c r="H3954" s="18"/>
      <c r="J3954" s="18"/>
      <c r="N3954" s="16"/>
      <c r="O3954" s="17"/>
      <c r="P3954" s="17"/>
      <c r="Q3954" s="22"/>
      <c r="R3954" s="23"/>
    </row>
    <row r="3955" spans="1:18" ht="12.75">
      <c r="A3955" s="22"/>
      <c r="D3955" s="19"/>
      <c r="H3955" s="18"/>
      <c r="J3955" s="18"/>
      <c r="N3955" s="16"/>
      <c r="O3955" s="17"/>
      <c r="P3955" s="17"/>
      <c r="Q3955" s="22"/>
      <c r="R3955" s="23"/>
    </row>
    <row r="3956" spans="1:18" ht="12.75">
      <c r="A3956" s="22"/>
      <c r="D3956" s="19"/>
      <c r="H3956" s="18"/>
      <c r="J3956" s="18"/>
      <c r="N3956" s="16"/>
      <c r="O3956" s="17"/>
      <c r="P3956" s="17"/>
      <c r="Q3956" s="22"/>
      <c r="R3956" s="23"/>
    </row>
    <row r="3957" spans="1:18" ht="12.75">
      <c r="A3957" s="22"/>
      <c r="D3957" s="19"/>
      <c r="H3957" s="18"/>
      <c r="J3957" s="18"/>
      <c r="N3957" s="16"/>
      <c r="O3957" s="17"/>
      <c r="P3957" s="17"/>
      <c r="Q3957" s="22"/>
      <c r="R3957" s="23"/>
    </row>
    <row r="3958" spans="1:18" ht="12.75">
      <c r="A3958" s="22"/>
      <c r="D3958" s="19"/>
      <c r="H3958" s="18"/>
      <c r="J3958" s="18"/>
      <c r="N3958" s="16"/>
      <c r="O3958" s="17"/>
      <c r="P3958" s="17"/>
      <c r="Q3958" s="22"/>
      <c r="R3958" s="23"/>
    </row>
    <row r="3959" spans="1:18" ht="12.75">
      <c r="A3959" s="22"/>
      <c r="D3959" s="19"/>
      <c r="H3959" s="18"/>
      <c r="J3959" s="18"/>
      <c r="N3959" s="16"/>
      <c r="O3959" s="17"/>
      <c r="P3959" s="17"/>
      <c r="Q3959" s="22"/>
      <c r="R3959" s="23"/>
    </row>
    <row r="3960" spans="1:18" ht="12.75">
      <c r="A3960" s="22"/>
      <c r="D3960" s="19"/>
      <c r="H3960" s="18"/>
      <c r="J3960" s="18"/>
      <c r="N3960" s="16"/>
      <c r="O3960" s="17"/>
      <c r="P3960" s="17"/>
      <c r="Q3960" s="22"/>
      <c r="R3960" s="23"/>
    </row>
    <row r="3961" spans="1:18" ht="12.75">
      <c r="A3961" s="22"/>
      <c r="D3961" s="19"/>
      <c r="H3961" s="18"/>
      <c r="J3961" s="18"/>
      <c r="N3961" s="16"/>
      <c r="O3961" s="17"/>
      <c r="P3961" s="17"/>
      <c r="Q3961" s="22"/>
      <c r="R3961" s="23"/>
    </row>
    <row r="3962" spans="1:18" ht="12.75">
      <c r="A3962" s="22"/>
      <c r="D3962" s="19"/>
      <c r="H3962" s="18"/>
      <c r="J3962" s="18"/>
      <c r="N3962" s="16"/>
      <c r="O3962" s="17"/>
      <c r="P3962" s="17"/>
      <c r="Q3962" s="22"/>
      <c r="R3962" s="23"/>
    </row>
    <row r="3963" spans="1:18" ht="12.75">
      <c r="A3963" s="22"/>
      <c r="D3963" s="19"/>
      <c r="H3963" s="18"/>
      <c r="J3963" s="18"/>
      <c r="N3963" s="16"/>
      <c r="O3963" s="17"/>
      <c r="P3963" s="17"/>
      <c r="Q3963" s="22"/>
      <c r="R3963" s="23"/>
    </row>
    <row r="3964" spans="1:18" ht="12.75">
      <c r="A3964" s="22"/>
      <c r="D3964" s="19"/>
      <c r="H3964" s="18"/>
      <c r="J3964" s="18"/>
      <c r="N3964" s="16"/>
      <c r="O3964" s="17"/>
      <c r="P3964" s="17"/>
      <c r="Q3964" s="22"/>
      <c r="R3964" s="23"/>
    </row>
    <row r="3965" spans="1:18" ht="12.75">
      <c r="A3965" s="22"/>
      <c r="D3965" s="19"/>
      <c r="H3965" s="18"/>
      <c r="J3965" s="18"/>
      <c r="N3965" s="16"/>
      <c r="O3965" s="17"/>
      <c r="P3965" s="17"/>
      <c r="Q3965" s="22"/>
      <c r="R3965" s="23"/>
    </row>
    <row r="3966" spans="1:18" ht="12.75">
      <c r="A3966" s="22"/>
      <c r="D3966" s="19"/>
      <c r="H3966" s="18"/>
      <c r="J3966" s="18"/>
      <c r="N3966" s="16"/>
      <c r="O3966" s="17"/>
      <c r="P3966" s="17"/>
      <c r="Q3966" s="22"/>
      <c r="R3966" s="23"/>
    </row>
    <row r="3967" spans="1:18" ht="12.75">
      <c r="A3967" s="22"/>
      <c r="D3967" s="19"/>
      <c r="H3967" s="18"/>
      <c r="J3967" s="18"/>
      <c r="N3967" s="16"/>
      <c r="O3967" s="17"/>
      <c r="P3967" s="17"/>
      <c r="Q3967" s="22"/>
      <c r="R3967" s="23"/>
    </row>
    <row r="3968" spans="1:18" ht="12.75">
      <c r="A3968" s="22"/>
      <c r="D3968" s="19"/>
      <c r="H3968" s="18"/>
      <c r="J3968" s="18"/>
      <c r="N3968" s="16"/>
      <c r="O3968" s="17"/>
      <c r="P3968" s="17"/>
      <c r="Q3968" s="22"/>
      <c r="R3968" s="23"/>
    </row>
    <row r="3969" spans="1:18" ht="12.75">
      <c r="A3969" s="22"/>
      <c r="D3969" s="19"/>
      <c r="H3969" s="18"/>
      <c r="J3969" s="18"/>
      <c r="N3969" s="16"/>
      <c r="O3969" s="17"/>
      <c r="P3969" s="17"/>
      <c r="Q3969" s="22"/>
      <c r="R3969" s="23"/>
    </row>
    <row r="3970" spans="1:18" ht="12.75">
      <c r="A3970" s="22"/>
      <c r="D3970" s="19"/>
      <c r="H3970" s="18"/>
      <c r="J3970" s="18"/>
      <c r="N3970" s="16"/>
      <c r="O3970" s="17"/>
      <c r="P3970" s="17"/>
      <c r="Q3970" s="22"/>
      <c r="R3970" s="23"/>
    </row>
    <row r="3971" spans="1:18" ht="12.75">
      <c r="A3971" s="22"/>
      <c r="D3971" s="19"/>
      <c r="H3971" s="18"/>
      <c r="J3971" s="18"/>
      <c r="N3971" s="16"/>
      <c r="O3971" s="17"/>
      <c r="P3971" s="17"/>
      <c r="Q3971" s="22"/>
      <c r="R3971" s="23"/>
    </row>
    <row r="3972" spans="1:18" ht="12.75">
      <c r="A3972" s="22"/>
      <c r="D3972" s="19"/>
      <c r="H3972" s="18"/>
      <c r="J3972" s="18"/>
      <c r="N3972" s="16"/>
      <c r="O3972" s="17"/>
      <c r="P3972" s="17"/>
      <c r="Q3972" s="22"/>
      <c r="R3972" s="23"/>
    </row>
    <row r="3973" spans="1:18" ht="12.75">
      <c r="A3973" s="22"/>
      <c r="D3973" s="19"/>
      <c r="H3973" s="18"/>
      <c r="J3973" s="18"/>
      <c r="N3973" s="16"/>
      <c r="O3973" s="17"/>
      <c r="P3973" s="17"/>
      <c r="Q3973" s="22"/>
      <c r="R3973" s="23"/>
    </row>
    <row r="3974" spans="1:18" ht="12.75">
      <c r="A3974" s="22"/>
      <c r="D3974" s="19"/>
      <c r="H3974" s="18"/>
      <c r="J3974" s="18"/>
      <c r="N3974" s="16"/>
      <c r="O3974" s="17"/>
      <c r="P3974" s="17"/>
      <c r="Q3974" s="22"/>
      <c r="R3974" s="23"/>
    </row>
    <row r="3975" spans="1:18" ht="12.75">
      <c r="A3975" s="22"/>
      <c r="D3975" s="19"/>
      <c r="H3975" s="18"/>
      <c r="J3975" s="18"/>
      <c r="N3975" s="16"/>
      <c r="O3975" s="17"/>
      <c r="P3975" s="17"/>
      <c r="Q3975" s="22"/>
      <c r="R3975" s="23"/>
    </row>
    <row r="3976" spans="1:18" ht="12.75">
      <c r="A3976" s="22"/>
      <c r="D3976" s="19"/>
      <c r="H3976" s="18"/>
      <c r="J3976" s="18"/>
      <c r="N3976" s="16"/>
      <c r="O3976" s="17"/>
      <c r="P3976" s="17"/>
      <c r="Q3976" s="22"/>
      <c r="R3976" s="23"/>
    </row>
    <row r="3977" spans="1:18" ht="12.75">
      <c r="A3977" s="22"/>
      <c r="D3977" s="19"/>
      <c r="H3977" s="18"/>
      <c r="J3977" s="18"/>
      <c r="N3977" s="16"/>
      <c r="O3977" s="17"/>
      <c r="P3977" s="17"/>
      <c r="Q3977" s="22"/>
      <c r="R3977" s="23"/>
    </row>
    <row r="3978" spans="1:18" ht="12.75">
      <c r="A3978" s="22"/>
      <c r="D3978" s="19"/>
      <c r="H3978" s="18"/>
      <c r="J3978" s="18"/>
      <c r="N3978" s="16"/>
      <c r="O3978" s="17"/>
      <c r="P3978" s="17"/>
      <c r="Q3978" s="22"/>
      <c r="R3978" s="23"/>
    </row>
    <row r="3979" spans="1:18" ht="12.75">
      <c r="A3979" s="22"/>
      <c r="D3979" s="19"/>
      <c r="H3979" s="18"/>
      <c r="J3979" s="18"/>
      <c r="N3979" s="16"/>
      <c r="O3979" s="17"/>
      <c r="P3979" s="17"/>
      <c r="Q3979" s="22"/>
      <c r="R3979" s="23"/>
    </row>
    <row r="3980" spans="1:18" ht="12.75">
      <c r="A3980" s="22"/>
      <c r="D3980" s="19"/>
      <c r="H3980" s="18"/>
      <c r="J3980" s="18"/>
      <c r="N3980" s="16"/>
      <c r="O3980" s="17"/>
      <c r="P3980" s="17"/>
      <c r="Q3980" s="22"/>
      <c r="R3980" s="23"/>
    </row>
    <row r="3981" spans="1:18" ht="12.75">
      <c r="A3981" s="22"/>
      <c r="D3981" s="19"/>
      <c r="H3981" s="18"/>
      <c r="J3981" s="18"/>
      <c r="N3981" s="16"/>
      <c r="O3981" s="17"/>
      <c r="P3981" s="17"/>
      <c r="Q3981" s="22"/>
      <c r="R3981" s="23"/>
    </row>
    <row r="3982" spans="1:18" ht="12.75">
      <c r="A3982" s="22"/>
      <c r="D3982" s="19"/>
      <c r="H3982" s="18"/>
      <c r="J3982" s="18"/>
      <c r="N3982" s="16"/>
      <c r="O3982" s="17"/>
      <c r="P3982" s="17"/>
      <c r="Q3982" s="22"/>
      <c r="R3982" s="23"/>
    </row>
    <row r="3983" spans="1:18" ht="12.75">
      <c r="A3983" s="22"/>
      <c r="D3983" s="19"/>
      <c r="H3983" s="18"/>
      <c r="J3983" s="18"/>
      <c r="N3983" s="16"/>
      <c r="O3983" s="17"/>
      <c r="P3983" s="17"/>
      <c r="Q3983" s="22"/>
      <c r="R3983" s="23"/>
    </row>
    <row r="3984" spans="1:18" ht="12.75">
      <c r="A3984" s="22"/>
      <c r="D3984" s="19"/>
      <c r="H3984" s="18"/>
      <c r="J3984" s="18"/>
      <c r="N3984" s="16"/>
      <c r="O3984" s="17"/>
      <c r="P3984" s="17"/>
      <c r="Q3984" s="22"/>
      <c r="R3984" s="23"/>
    </row>
    <row r="3985" spans="1:18" ht="12.75">
      <c r="A3985" s="22"/>
      <c r="D3985" s="19"/>
      <c r="H3985" s="18"/>
      <c r="J3985" s="18"/>
      <c r="N3985" s="16"/>
      <c r="O3985" s="17"/>
      <c r="P3985" s="17"/>
      <c r="Q3985" s="22"/>
      <c r="R3985" s="23"/>
    </row>
    <row r="3986" spans="1:18" ht="12.75">
      <c r="A3986" s="22"/>
      <c r="D3986" s="19"/>
      <c r="H3986" s="18"/>
      <c r="J3986" s="18"/>
      <c r="N3986" s="16"/>
      <c r="O3986" s="17"/>
      <c r="P3986" s="17"/>
      <c r="Q3986" s="22"/>
      <c r="R3986" s="23"/>
    </row>
    <row r="3987" spans="1:18" ht="12.75">
      <c r="A3987" s="22"/>
      <c r="D3987" s="19"/>
      <c r="H3987" s="18"/>
      <c r="J3987" s="18"/>
      <c r="N3987" s="16"/>
      <c r="O3987" s="17"/>
      <c r="P3987" s="17"/>
      <c r="Q3987" s="22"/>
      <c r="R3987" s="23"/>
    </row>
    <row r="3988" spans="1:18" ht="12.75">
      <c r="A3988" s="22"/>
      <c r="D3988" s="19"/>
      <c r="H3988" s="18"/>
      <c r="J3988" s="18"/>
      <c r="N3988" s="16"/>
      <c r="O3988" s="17"/>
      <c r="P3988" s="17"/>
      <c r="Q3988" s="22"/>
      <c r="R3988" s="23"/>
    </row>
    <row r="3989" spans="1:18" ht="12.75">
      <c r="A3989" s="22"/>
      <c r="D3989" s="19"/>
      <c r="H3989" s="18"/>
      <c r="J3989" s="18"/>
      <c r="N3989" s="16"/>
      <c r="O3989" s="17"/>
      <c r="P3989" s="17"/>
      <c r="Q3989" s="22"/>
      <c r="R3989" s="23"/>
    </row>
    <row r="3990" spans="1:18" ht="12.75">
      <c r="A3990" s="22"/>
      <c r="D3990" s="19"/>
      <c r="H3990" s="18"/>
      <c r="J3990" s="18"/>
      <c r="N3990" s="16"/>
      <c r="O3990" s="17"/>
      <c r="P3990" s="17"/>
      <c r="Q3990" s="22"/>
      <c r="R3990" s="23"/>
    </row>
    <row r="3991" spans="1:18" ht="12.75">
      <c r="A3991" s="22"/>
      <c r="D3991" s="19"/>
      <c r="H3991" s="18"/>
      <c r="J3991" s="18"/>
      <c r="N3991" s="16"/>
      <c r="O3991" s="17"/>
      <c r="P3991" s="17"/>
      <c r="Q3991" s="22"/>
      <c r="R3991" s="23"/>
    </row>
    <row r="3992" spans="1:18" ht="12.75">
      <c r="A3992" s="22"/>
      <c r="D3992" s="19"/>
      <c r="H3992" s="18"/>
      <c r="J3992" s="18"/>
      <c r="N3992" s="16"/>
      <c r="O3992" s="17"/>
      <c r="P3992" s="17"/>
      <c r="Q3992" s="22"/>
      <c r="R3992" s="23"/>
    </row>
    <row r="3993" spans="1:18" ht="12.75">
      <c r="A3993" s="22"/>
      <c r="D3993" s="19"/>
      <c r="H3993" s="18"/>
      <c r="J3993" s="18"/>
      <c r="N3993" s="16"/>
      <c r="O3993" s="17"/>
      <c r="P3993" s="17"/>
      <c r="Q3993" s="22"/>
      <c r="R3993" s="23"/>
    </row>
    <row r="3994" spans="1:18" ht="12.75">
      <c r="A3994" s="22"/>
      <c r="D3994" s="19"/>
      <c r="H3994" s="18"/>
      <c r="J3994" s="18"/>
      <c r="N3994" s="16"/>
      <c r="O3994" s="17"/>
      <c r="P3994" s="17"/>
      <c r="Q3994" s="22"/>
      <c r="R3994" s="23"/>
    </row>
    <row r="3995" spans="1:18" ht="12.75">
      <c r="A3995" s="22"/>
      <c r="D3995" s="19"/>
      <c r="H3995" s="18"/>
      <c r="J3995" s="18"/>
      <c r="N3995" s="16"/>
      <c r="O3995" s="17"/>
      <c r="P3995" s="17"/>
      <c r="Q3995" s="22"/>
      <c r="R3995" s="23"/>
    </row>
    <row r="3996" spans="1:18" ht="12.75">
      <c r="A3996" s="22"/>
      <c r="D3996" s="19"/>
      <c r="H3996" s="18"/>
      <c r="J3996" s="18"/>
      <c r="N3996" s="16"/>
      <c r="O3996" s="17"/>
      <c r="P3996" s="17"/>
      <c r="Q3996" s="22"/>
      <c r="R3996" s="23"/>
    </row>
    <row r="3997" spans="1:18" ht="12.75">
      <c r="A3997" s="22"/>
      <c r="D3997" s="19"/>
      <c r="H3997" s="18"/>
      <c r="J3997" s="18"/>
      <c r="N3997" s="16"/>
      <c r="O3997" s="17"/>
      <c r="P3997" s="17"/>
      <c r="Q3997" s="22"/>
      <c r="R3997" s="23"/>
    </row>
    <row r="3998" spans="1:18" ht="12.75">
      <c r="A3998" s="22"/>
      <c r="D3998" s="19"/>
      <c r="H3998" s="18"/>
      <c r="J3998" s="18"/>
      <c r="N3998" s="16"/>
      <c r="O3998" s="17"/>
      <c r="P3998" s="17"/>
      <c r="Q3998" s="22"/>
      <c r="R3998" s="23"/>
    </row>
    <row r="3999" spans="1:18" ht="12.75">
      <c r="A3999" s="22"/>
      <c r="D3999" s="19"/>
      <c r="H3999" s="18"/>
      <c r="J3999" s="18"/>
      <c r="N3999" s="16"/>
      <c r="O3999" s="17"/>
      <c r="P3999" s="17"/>
      <c r="Q3999" s="22"/>
      <c r="R3999" s="23"/>
    </row>
    <row r="4000" spans="1:18" ht="12.75">
      <c r="A4000" s="22"/>
      <c r="D4000" s="19"/>
      <c r="H4000" s="18"/>
      <c r="J4000" s="18"/>
      <c r="N4000" s="16"/>
      <c r="O4000" s="17"/>
      <c r="P4000" s="17"/>
      <c r="Q4000" s="22"/>
      <c r="R4000" s="23"/>
    </row>
    <row r="4001" spans="1:18" ht="12.75">
      <c r="A4001" s="22"/>
      <c r="D4001" s="19"/>
      <c r="H4001" s="18"/>
      <c r="J4001" s="18"/>
      <c r="N4001" s="16"/>
      <c r="O4001" s="17"/>
      <c r="P4001" s="17"/>
      <c r="Q4001" s="22"/>
      <c r="R4001" s="23"/>
    </row>
    <row r="4002" spans="1:18" ht="12.75">
      <c r="A4002" s="22"/>
      <c r="D4002" s="19"/>
      <c r="H4002" s="18"/>
      <c r="J4002" s="18"/>
      <c r="N4002" s="16"/>
      <c r="O4002" s="17"/>
      <c r="P4002" s="17"/>
      <c r="Q4002" s="22"/>
      <c r="R4002" s="23"/>
    </row>
    <row r="4003" spans="1:18" ht="12.75">
      <c r="A4003" s="22"/>
      <c r="D4003" s="19"/>
      <c r="H4003" s="18"/>
      <c r="J4003" s="18"/>
      <c r="N4003" s="16"/>
      <c r="O4003" s="17"/>
      <c r="P4003" s="17"/>
      <c r="Q4003" s="22"/>
      <c r="R4003" s="23"/>
    </row>
    <row r="4004" spans="1:18" ht="12.75">
      <c r="A4004" s="22"/>
      <c r="D4004" s="19"/>
      <c r="H4004" s="18"/>
      <c r="J4004" s="18"/>
      <c r="N4004" s="16"/>
      <c r="O4004" s="17"/>
      <c r="P4004" s="17"/>
      <c r="Q4004" s="22"/>
      <c r="R4004" s="23"/>
    </row>
    <row r="4005" spans="1:18" ht="12.75">
      <c r="A4005" s="22"/>
      <c r="D4005" s="19"/>
      <c r="H4005" s="18"/>
      <c r="J4005" s="18"/>
      <c r="N4005" s="16"/>
      <c r="O4005" s="17"/>
      <c r="P4005" s="17"/>
      <c r="Q4005" s="22"/>
      <c r="R4005" s="23"/>
    </row>
    <row r="4006" spans="1:18" ht="12.75">
      <c r="A4006" s="22"/>
      <c r="D4006" s="19"/>
      <c r="H4006" s="18"/>
      <c r="J4006" s="18"/>
      <c r="N4006" s="16"/>
      <c r="O4006" s="17"/>
      <c r="P4006" s="17"/>
      <c r="Q4006" s="22"/>
      <c r="R4006" s="23"/>
    </row>
    <row r="4007" spans="1:18" ht="12.75">
      <c r="A4007" s="22"/>
      <c r="D4007" s="19"/>
      <c r="H4007" s="18"/>
      <c r="J4007" s="18"/>
      <c r="N4007" s="16"/>
      <c r="O4007" s="17"/>
      <c r="P4007" s="17"/>
      <c r="Q4007" s="22"/>
      <c r="R4007" s="23"/>
    </row>
    <row r="4008" spans="1:18" ht="12.75">
      <c r="A4008" s="22"/>
      <c r="D4008" s="19"/>
      <c r="H4008" s="18"/>
      <c r="J4008" s="18"/>
      <c r="N4008" s="16"/>
      <c r="O4008" s="17"/>
      <c r="P4008" s="17"/>
      <c r="Q4008" s="22"/>
      <c r="R4008" s="23"/>
    </row>
    <row r="4009" spans="1:18" ht="12.75">
      <c r="A4009" s="22"/>
      <c r="D4009" s="19"/>
      <c r="H4009" s="18"/>
      <c r="J4009" s="18"/>
      <c r="N4009" s="16"/>
      <c r="O4009" s="17"/>
      <c r="P4009" s="17"/>
      <c r="Q4009" s="22"/>
      <c r="R4009" s="23"/>
    </row>
    <row r="4010" spans="1:18" ht="12.75">
      <c r="A4010" s="22"/>
      <c r="D4010" s="19"/>
      <c r="H4010" s="18"/>
      <c r="J4010" s="18"/>
      <c r="N4010" s="16"/>
      <c r="O4010" s="17"/>
      <c r="P4010" s="17"/>
      <c r="Q4010" s="22"/>
      <c r="R4010" s="23"/>
    </row>
    <row r="4011" spans="1:18" ht="12.75">
      <c r="A4011" s="22"/>
      <c r="D4011" s="19"/>
      <c r="H4011" s="18"/>
      <c r="J4011" s="18"/>
      <c r="N4011" s="16"/>
      <c r="O4011" s="17"/>
      <c r="P4011" s="17"/>
      <c r="Q4011" s="22"/>
      <c r="R4011" s="23"/>
    </row>
    <row r="4012" spans="1:18" ht="12.75">
      <c r="A4012" s="22"/>
      <c r="D4012" s="19"/>
      <c r="H4012" s="18"/>
      <c r="J4012" s="18"/>
      <c r="N4012" s="16"/>
      <c r="O4012" s="17"/>
      <c r="P4012" s="17"/>
      <c r="Q4012" s="22"/>
      <c r="R4012" s="23"/>
    </row>
    <row r="4013" spans="1:18" ht="12.75">
      <c r="A4013" s="22"/>
      <c r="D4013" s="19"/>
      <c r="H4013" s="18"/>
      <c r="J4013" s="18"/>
      <c r="N4013" s="16"/>
      <c r="O4013" s="17"/>
      <c r="P4013" s="17"/>
      <c r="Q4013" s="22"/>
      <c r="R4013" s="23"/>
    </row>
    <row r="4014" spans="1:18" ht="12.75">
      <c r="A4014" s="22"/>
      <c r="D4014" s="19"/>
      <c r="H4014" s="18"/>
      <c r="J4014" s="18"/>
      <c r="N4014" s="16"/>
      <c r="O4014" s="17"/>
      <c r="P4014" s="17"/>
      <c r="Q4014" s="22"/>
      <c r="R4014" s="23"/>
    </row>
    <row r="4015" spans="1:18" ht="12.75">
      <c r="A4015" s="22"/>
      <c r="D4015" s="19"/>
      <c r="H4015" s="18"/>
      <c r="J4015" s="18"/>
      <c r="N4015" s="16"/>
      <c r="O4015" s="17"/>
      <c r="P4015" s="17"/>
      <c r="Q4015" s="22"/>
      <c r="R4015" s="23"/>
    </row>
    <row r="4016" spans="1:18" ht="12.75">
      <c r="A4016" s="22"/>
      <c r="D4016" s="19"/>
      <c r="H4016" s="18"/>
      <c r="J4016" s="18"/>
      <c r="N4016" s="16"/>
      <c r="O4016" s="17"/>
      <c r="P4016" s="17"/>
      <c r="Q4016" s="22"/>
      <c r="R4016" s="23"/>
    </row>
    <row r="4017" spans="1:18" ht="12.75">
      <c r="A4017" s="22"/>
      <c r="D4017" s="19"/>
      <c r="H4017" s="18"/>
      <c r="J4017" s="18"/>
      <c r="N4017" s="16"/>
      <c r="O4017" s="17"/>
      <c r="P4017" s="17"/>
      <c r="Q4017" s="22"/>
      <c r="R4017" s="23"/>
    </row>
    <row r="4018" spans="1:18" ht="12.75">
      <c r="A4018" s="22"/>
      <c r="D4018" s="19"/>
      <c r="H4018" s="18"/>
      <c r="J4018" s="18"/>
      <c r="N4018" s="16"/>
      <c r="O4018" s="17"/>
      <c r="P4018" s="17"/>
      <c r="Q4018" s="22"/>
      <c r="R4018" s="23"/>
    </row>
    <row r="4019" spans="1:18" ht="12.75">
      <c r="A4019" s="22"/>
      <c r="D4019" s="19"/>
      <c r="H4019" s="18"/>
      <c r="J4019" s="18"/>
      <c r="N4019" s="16"/>
      <c r="O4019" s="17"/>
      <c r="P4019" s="17"/>
      <c r="Q4019" s="22"/>
      <c r="R4019" s="23"/>
    </row>
    <row r="4020" spans="1:18" ht="12.75">
      <c r="A4020" s="22"/>
      <c r="D4020" s="19"/>
      <c r="H4020" s="18"/>
      <c r="J4020" s="18"/>
      <c r="N4020" s="16"/>
      <c r="O4020" s="17"/>
      <c r="P4020" s="17"/>
      <c r="Q4020" s="22"/>
      <c r="R4020" s="23"/>
    </row>
    <row r="4021" spans="1:18" ht="12.75">
      <c r="A4021" s="22"/>
      <c r="D4021" s="19"/>
      <c r="H4021" s="18"/>
      <c r="J4021" s="18"/>
      <c r="N4021" s="16"/>
      <c r="O4021" s="17"/>
      <c r="P4021" s="17"/>
      <c r="Q4021" s="22"/>
      <c r="R4021" s="23"/>
    </row>
    <row r="4022" spans="1:18" ht="12.75">
      <c r="A4022" s="22"/>
      <c r="D4022" s="19"/>
      <c r="H4022" s="18"/>
      <c r="J4022" s="18"/>
      <c r="N4022" s="16"/>
      <c r="O4022" s="17"/>
      <c r="P4022" s="17"/>
      <c r="Q4022" s="22"/>
      <c r="R4022" s="23"/>
    </row>
    <row r="4023" spans="1:18" ht="12.75">
      <c r="A4023" s="22"/>
      <c r="D4023" s="19"/>
      <c r="H4023" s="18"/>
      <c r="J4023" s="18"/>
      <c r="N4023" s="16"/>
      <c r="O4023" s="17"/>
      <c r="P4023" s="17"/>
      <c r="Q4023" s="22"/>
      <c r="R4023" s="23"/>
    </row>
    <row r="4024" spans="1:18" ht="12.75">
      <c r="A4024" s="22"/>
      <c r="D4024" s="19"/>
      <c r="H4024" s="18"/>
      <c r="J4024" s="18"/>
      <c r="N4024" s="16"/>
      <c r="O4024" s="17"/>
      <c r="P4024" s="17"/>
      <c r="Q4024" s="22"/>
      <c r="R4024" s="23"/>
    </row>
    <row r="4025" spans="1:18" ht="12.75">
      <c r="A4025" s="22"/>
      <c r="D4025" s="19"/>
      <c r="H4025" s="18"/>
      <c r="J4025" s="18"/>
      <c r="N4025" s="16"/>
      <c r="O4025" s="17"/>
      <c r="P4025" s="17"/>
      <c r="Q4025" s="22"/>
      <c r="R4025" s="23"/>
    </row>
    <row r="4026" spans="1:18" ht="12.75">
      <c r="A4026" s="22"/>
      <c r="D4026" s="19"/>
      <c r="H4026" s="18"/>
      <c r="J4026" s="18"/>
      <c r="N4026" s="16"/>
      <c r="O4026" s="17"/>
      <c r="P4026" s="17"/>
      <c r="Q4026" s="22"/>
      <c r="R4026" s="23"/>
    </row>
    <row r="4027" spans="1:18" ht="12.75">
      <c r="A4027" s="22"/>
      <c r="D4027" s="19"/>
      <c r="H4027" s="18"/>
      <c r="J4027" s="18"/>
      <c r="N4027" s="16"/>
      <c r="O4027" s="17"/>
      <c r="P4027" s="17"/>
      <c r="Q4027" s="22"/>
      <c r="R4027" s="23"/>
    </row>
    <row r="4028" spans="1:18" ht="12.75">
      <c r="A4028" s="22"/>
      <c r="D4028" s="19"/>
      <c r="H4028" s="18"/>
      <c r="J4028" s="18"/>
      <c r="N4028" s="16"/>
      <c r="O4028" s="17"/>
      <c r="P4028" s="17"/>
      <c r="Q4028" s="22"/>
      <c r="R4028" s="23"/>
    </row>
    <row r="4029" spans="1:18" ht="12.75">
      <c r="A4029" s="22"/>
      <c r="D4029" s="19"/>
      <c r="H4029" s="18"/>
      <c r="J4029" s="18"/>
      <c r="N4029" s="16"/>
      <c r="O4029" s="17"/>
      <c r="P4029" s="17"/>
      <c r="Q4029" s="22"/>
      <c r="R4029" s="23"/>
    </row>
    <row r="4030" spans="1:18" ht="12.75">
      <c r="A4030" s="22"/>
      <c r="D4030" s="19"/>
      <c r="H4030" s="18"/>
      <c r="J4030" s="18"/>
      <c r="N4030" s="16"/>
      <c r="O4030" s="17"/>
      <c r="P4030" s="17"/>
      <c r="Q4030" s="22"/>
      <c r="R4030" s="23"/>
    </row>
    <row r="4031" spans="1:18" ht="12.75">
      <c r="A4031" s="22"/>
      <c r="D4031" s="19"/>
      <c r="H4031" s="18"/>
      <c r="J4031" s="18"/>
      <c r="N4031" s="16"/>
      <c r="O4031" s="17"/>
      <c r="P4031" s="17"/>
      <c r="Q4031" s="22"/>
      <c r="R4031" s="23"/>
    </row>
    <row r="4032" spans="1:18" ht="12.75">
      <c r="A4032" s="22"/>
      <c r="D4032" s="19"/>
      <c r="H4032" s="18"/>
      <c r="J4032" s="18"/>
      <c r="N4032" s="16"/>
      <c r="O4032" s="17"/>
      <c r="P4032" s="17"/>
      <c r="Q4032" s="22"/>
      <c r="R4032" s="23"/>
    </row>
    <row r="4033" spans="1:18" ht="12.75">
      <c r="A4033" s="22"/>
      <c r="D4033" s="19"/>
      <c r="H4033" s="18"/>
      <c r="J4033" s="18"/>
      <c r="N4033" s="16"/>
      <c r="O4033" s="17"/>
      <c r="P4033" s="17"/>
      <c r="Q4033" s="22"/>
      <c r="R4033" s="23"/>
    </row>
    <row r="4034" spans="1:18" ht="12.75">
      <c r="A4034" s="22"/>
      <c r="D4034" s="19"/>
      <c r="H4034" s="18"/>
      <c r="J4034" s="18"/>
      <c r="N4034" s="16"/>
      <c r="O4034" s="17"/>
      <c r="P4034" s="17"/>
      <c r="Q4034" s="22"/>
      <c r="R4034" s="23"/>
    </row>
    <row r="4035" spans="1:18" ht="12.75">
      <c r="A4035" s="22"/>
      <c r="D4035" s="19"/>
      <c r="H4035" s="18"/>
      <c r="J4035" s="18"/>
      <c r="N4035" s="16"/>
      <c r="O4035" s="17"/>
      <c r="P4035" s="17"/>
      <c r="Q4035" s="22"/>
      <c r="R4035" s="23"/>
    </row>
    <row r="4036" spans="1:18" ht="12.75">
      <c r="A4036" s="22"/>
      <c r="D4036" s="19"/>
      <c r="H4036" s="18"/>
      <c r="J4036" s="18"/>
      <c r="N4036" s="16"/>
      <c r="O4036" s="17"/>
      <c r="P4036" s="17"/>
      <c r="Q4036" s="22"/>
      <c r="R4036" s="23"/>
    </row>
    <row r="4037" spans="1:18" ht="12.75">
      <c r="A4037" s="22"/>
      <c r="D4037" s="19"/>
      <c r="H4037" s="18"/>
      <c r="J4037" s="18"/>
      <c r="N4037" s="16"/>
      <c r="O4037" s="17"/>
      <c r="P4037" s="17"/>
      <c r="Q4037" s="22"/>
      <c r="R4037" s="23"/>
    </row>
    <row r="4038" spans="1:18" ht="12.75">
      <c r="A4038" s="22"/>
      <c r="D4038" s="19"/>
      <c r="H4038" s="18"/>
      <c r="J4038" s="18"/>
      <c r="N4038" s="16"/>
      <c r="O4038" s="17"/>
      <c r="P4038" s="17"/>
      <c r="Q4038" s="22"/>
      <c r="R4038" s="23"/>
    </row>
    <row r="4039" spans="1:18" ht="12.75">
      <c r="A4039" s="22"/>
      <c r="D4039" s="19"/>
      <c r="H4039" s="18"/>
      <c r="J4039" s="18"/>
      <c r="N4039" s="16"/>
      <c r="O4039" s="17"/>
      <c r="P4039" s="17"/>
      <c r="Q4039" s="22"/>
      <c r="R4039" s="23"/>
    </row>
    <row r="4040" spans="1:18" ht="12.75">
      <c r="A4040" s="22"/>
      <c r="D4040" s="19"/>
      <c r="H4040" s="18"/>
      <c r="J4040" s="18"/>
      <c r="N4040" s="16"/>
      <c r="O4040" s="17"/>
      <c r="P4040" s="17"/>
      <c r="Q4040" s="22"/>
      <c r="R4040" s="23"/>
    </row>
    <row r="4041" spans="1:18" ht="12.75">
      <c r="A4041" s="22"/>
      <c r="D4041" s="19"/>
      <c r="H4041" s="18"/>
      <c r="J4041" s="18"/>
      <c r="N4041" s="16"/>
      <c r="O4041" s="17"/>
      <c r="P4041" s="17"/>
      <c r="Q4041" s="22"/>
      <c r="R4041" s="23"/>
    </row>
    <row r="4042" spans="1:18" ht="12.75">
      <c r="A4042" s="22"/>
      <c r="D4042" s="19"/>
      <c r="H4042" s="18"/>
      <c r="J4042" s="18"/>
      <c r="N4042" s="16"/>
      <c r="O4042" s="17"/>
      <c r="P4042" s="17"/>
      <c r="Q4042" s="22"/>
      <c r="R4042" s="23"/>
    </row>
    <row r="4043" spans="1:18" ht="12.75">
      <c r="A4043" s="22"/>
      <c r="D4043" s="19"/>
      <c r="H4043" s="18"/>
      <c r="J4043" s="18"/>
      <c r="N4043" s="16"/>
      <c r="O4043" s="17"/>
      <c r="P4043" s="17"/>
      <c r="Q4043" s="22"/>
      <c r="R4043" s="23"/>
    </row>
    <row r="4044" spans="1:18" ht="12.75">
      <c r="A4044" s="22"/>
      <c r="D4044" s="19"/>
      <c r="H4044" s="18"/>
      <c r="J4044" s="18"/>
      <c r="N4044" s="16"/>
      <c r="O4044" s="17"/>
      <c r="P4044" s="17"/>
      <c r="Q4044" s="22"/>
      <c r="R4044" s="23"/>
    </row>
    <row r="4045" spans="1:18" ht="12.75">
      <c r="A4045" s="22"/>
      <c r="D4045" s="19"/>
      <c r="H4045" s="18"/>
      <c r="J4045" s="18"/>
      <c r="N4045" s="16"/>
      <c r="O4045" s="17"/>
      <c r="P4045" s="17"/>
      <c r="Q4045" s="22"/>
      <c r="R4045" s="23"/>
    </row>
    <row r="4046" spans="1:18" ht="12.75">
      <c r="A4046" s="22"/>
      <c r="D4046" s="19"/>
      <c r="H4046" s="18"/>
      <c r="J4046" s="18"/>
      <c r="N4046" s="16"/>
      <c r="O4046" s="17"/>
      <c r="P4046" s="17"/>
      <c r="Q4046" s="22"/>
      <c r="R4046" s="23"/>
    </row>
    <row r="4047" spans="1:18" ht="12.75">
      <c r="A4047" s="22"/>
      <c r="D4047" s="19"/>
      <c r="H4047" s="18"/>
      <c r="J4047" s="18"/>
      <c r="N4047" s="16"/>
      <c r="O4047" s="17"/>
      <c r="P4047" s="17"/>
      <c r="Q4047" s="22"/>
      <c r="R4047" s="23"/>
    </row>
    <row r="4048" spans="1:18" ht="12.75">
      <c r="A4048" s="22"/>
      <c r="D4048" s="19"/>
      <c r="H4048" s="18"/>
      <c r="J4048" s="18"/>
      <c r="N4048" s="16"/>
      <c r="O4048" s="17"/>
      <c r="P4048" s="17"/>
      <c r="Q4048" s="22"/>
      <c r="R4048" s="23"/>
    </row>
    <row r="4049" spans="1:18" ht="12.75">
      <c r="A4049" s="22"/>
      <c r="D4049" s="19"/>
      <c r="H4049" s="18"/>
      <c r="J4049" s="18"/>
      <c r="N4049" s="16"/>
      <c r="O4049" s="17"/>
      <c r="P4049" s="17"/>
      <c r="Q4049" s="22"/>
      <c r="R4049" s="23"/>
    </row>
    <row r="4050" spans="1:18" ht="12.75">
      <c r="A4050" s="22"/>
      <c r="D4050" s="19"/>
      <c r="H4050" s="18"/>
      <c r="J4050" s="18"/>
      <c r="N4050" s="16"/>
      <c r="O4050" s="17"/>
      <c r="P4050" s="17"/>
      <c r="Q4050" s="22"/>
      <c r="R4050" s="23"/>
    </row>
    <row r="4051" spans="1:18" ht="12.75">
      <c r="A4051" s="22"/>
      <c r="D4051" s="19"/>
      <c r="H4051" s="18"/>
      <c r="J4051" s="18"/>
      <c r="N4051" s="16"/>
      <c r="O4051" s="17"/>
      <c r="P4051" s="17"/>
      <c r="Q4051" s="22"/>
      <c r="R4051" s="23"/>
    </row>
    <row r="4052" spans="1:18" ht="12.75">
      <c r="A4052" s="22"/>
      <c r="D4052" s="19"/>
      <c r="H4052" s="18"/>
      <c r="J4052" s="18"/>
      <c r="N4052" s="16"/>
      <c r="O4052" s="17"/>
      <c r="P4052" s="17"/>
      <c r="Q4052" s="22"/>
      <c r="R4052" s="23"/>
    </row>
    <row r="4053" spans="1:18" ht="12.75">
      <c r="A4053" s="22"/>
      <c r="D4053" s="19"/>
      <c r="H4053" s="18"/>
      <c r="J4053" s="18"/>
      <c r="N4053" s="16"/>
      <c r="O4053" s="17"/>
      <c r="P4053" s="17"/>
      <c r="Q4053" s="22"/>
      <c r="R4053" s="23"/>
    </row>
    <row r="4054" spans="1:18" ht="12.75">
      <c r="A4054" s="22"/>
      <c r="D4054" s="19"/>
      <c r="H4054" s="18"/>
      <c r="J4054" s="18"/>
      <c r="N4054" s="16"/>
      <c r="O4054" s="17"/>
      <c r="P4054" s="17"/>
      <c r="Q4054" s="22"/>
      <c r="R4054" s="23"/>
    </row>
    <row r="4055" spans="1:18" ht="12.75">
      <c r="A4055" s="22"/>
      <c r="D4055" s="19"/>
      <c r="H4055" s="18"/>
      <c r="J4055" s="18"/>
      <c r="N4055" s="16"/>
      <c r="O4055" s="17"/>
      <c r="P4055" s="17"/>
      <c r="Q4055" s="22"/>
      <c r="R4055" s="23"/>
    </row>
    <row r="4056" spans="1:18" ht="12.75">
      <c r="A4056" s="22"/>
      <c r="D4056" s="19"/>
      <c r="H4056" s="18"/>
      <c r="J4056" s="18"/>
      <c r="N4056" s="16"/>
      <c r="O4056" s="17"/>
      <c r="P4056" s="17"/>
      <c r="Q4056" s="22"/>
      <c r="R4056" s="23"/>
    </row>
    <row r="4057" spans="1:18" ht="12.75">
      <c r="A4057" s="22"/>
      <c r="D4057" s="19"/>
      <c r="H4057" s="18"/>
      <c r="J4057" s="18"/>
      <c r="N4057" s="16"/>
      <c r="O4057" s="17"/>
      <c r="P4057" s="17"/>
      <c r="Q4057" s="22"/>
      <c r="R4057" s="23"/>
    </row>
    <row r="4058" spans="1:18" ht="12.75">
      <c r="A4058" s="22"/>
      <c r="D4058" s="19"/>
      <c r="H4058" s="18"/>
      <c r="J4058" s="18"/>
      <c r="N4058" s="16"/>
      <c r="O4058" s="17"/>
      <c r="P4058" s="17"/>
      <c r="Q4058" s="22"/>
      <c r="R4058" s="23"/>
    </row>
    <row r="4059" spans="1:18" ht="12.75">
      <c r="A4059" s="22"/>
      <c r="D4059" s="19"/>
      <c r="H4059" s="18"/>
      <c r="J4059" s="18"/>
      <c r="N4059" s="16"/>
      <c r="O4059" s="17"/>
      <c r="P4059" s="17"/>
      <c r="Q4059" s="22"/>
      <c r="R4059" s="23"/>
    </row>
    <row r="4060" spans="1:18" ht="12.75">
      <c r="A4060" s="22"/>
      <c r="D4060" s="19"/>
      <c r="H4060" s="18"/>
      <c r="J4060" s="18"/>
      <c r="N4060" s="16"/>
      <c r="O4060" s="17"/>
      <c r="P4060" s="17"/>
      <c r="Q4060" s="22"/>
      <c r="R4060" s="23"/>
    </row>
    <row r="4061" spans="1:18" ht="12.75">
      <c r="A4061" s="22"/>
      <c r="D4061" s="19"/>
      <c r="H4061" s="18"/>
      <c r="J4061" s="18"/>
      <c r="N4061" s="16"/>
      <c r="O4061" s="17"/>
      <c r="P4061" s="17"/>
      <c r="Q4061" s="22"/>
      <c r="R4061" s="23"/>
    </row>
    <row r="4062" spans="1:18" ht="12.75">
      <c r="A4062" s="22"/>
      <c r="D4062" s="19"/>
      <c r="H4062" s="18"/>
      <c r="J4062" s="18"/>
      <c r="N4062" s="16"/>
      <c r="O4062" s="17"/>
      <c r="P4062" s="17"/>
      <c r="Q4062" s="22"/>
      <c r="R4062" s="23"/>
    </row>
    <row r="4063" spans="1:18" ht="12.75">
      <c r="A4063" s="22"/>
      <c r="D4063" s="19"/>
      <c r="H4063" s="18"/>
      <c r="J4063" s="18"/>
      <c r="N4063" s="16"/>
      <c r="O4063" s="17"/>
      <c r="P4063" s="17"/>
      <c r="Q4063" s="22"/>
      <c r="R4063" s="23"/>
    </row>
    <row r="4064" spans="1:18" ht="12.75">
      <c r="A4064" s="22"/>
      <c r="D4064" s="19"/>
      <c r="H4064" s="18"/>
      <c r="J4064" s="18"/>
      <c r="N4064" s="16"/>
      <c r="O4064" s="17"/>
      <c r="P4064" s="17"/>
      <c r="Q4064" s="22"/>
      <c r="R4064" s="23"/>
    </row>
    <row r="4065" spans="1:18" ht="12.75">
      <c r="A4065" s="22"/>
      <c r="D4065" s="19"/>
      <c r="H4065" s="18"/>
      <c r="J4065" s="18"/>
      <c r="N4065" s="16"/>
      <c r="O4065" s="17"/>
      <c r="P4065" s="17"/>
      <c r="Q4065" s="22"/>
      <c r="R4065" s="23"/>
    </row>
    <row r="4066" spans="1:18" ht="12.75">
      <c r="A4066" s="22"/>
      <c r="D4066" s="19"/>
      <c r="H4066" s="18"/>
      <c r="J4066" s="18"/>
      <c r="N4066" s="16"/>
      <c r="O4066" s="17"/>
      <c r="P4066" s="17"/>
      <c r="Q4066" s="22"/>
      <c r="R4066" s="23"/>
    </row>
    <row r="4067" spans="1:18" ht="12.75">
      <c r="A4067" s="22"/>
      <c r="D4067" s="19"/>
      <c r="H4067" s="18"/>
      <c r="J4067" s="18"/>
      <c r="N4067" s="16"/>
      <c r="O4067" s="17"/>
      <c r="P4067" s="17"/>
      <c r="Q4067" s="22"/>
      <c r="R4067" s="23"/>
    </row>
    <row r="4068" spans="1:18" ht="12.75">
      <c r="A4068" s="22"/>
      <c r="D4068" s="19"/>
      <c r="H4068" s="18"/>
      <c r="J4068" s="18"/>
      <c r="N4068" s="16"/>
      <c r="O4068" s="17"/>
      <c r="P4068" s="17"/>
      <c r="Q4068" s="22"/>
      <c r="R4068" s="23"/>
    </row>
    <row r="4069" spans="1:18" ht="12.75">
      <c r="A4069" s="22"/>
      <c r="D4069" s="19"/>
      <c r="H4069" s="18"/>
      <c r="J4069" s="18"/>
      <c r="N4069" s="16"/>
      <c r="O4069" s="17"/>
      <c r="P4069" s="17"/>
      <c r="Q4069" s="22"/>
      <c r="R4069" s="23"/>
    </row>
    <row r="4070" spans="1:18" ht="12.75">
      <c r="A4070" s="22"/>
      <c r="D4070" s="19"/>
      <c r="H4070" s="18"/>
      <c r="J4070" s="18"/>
      <c r="N4070" s="16"/>
      <c r="O4070" s="17"/>
      <c r="P4070" s="17"/>
      <c r="Q4070" s="22"/>
      <c r="R4070" s="23"/>
    </row>
    <row r="4071" spans="1:18" ht="12.75">
      <c r="A4071" s="22"/>
      <c r="D4071" s="19"/>
      <c r="H4071" s="18"/>
      <c r="J4071" s="18"/>
      <c r="N4071" s="16"/>
      <c r="O4071" s="17"/>
      <c r="P4071" s="17"/>
      <c r="Q4071" s="22"/>
      <c r="R4071" s="23"/>
    </row>
    <row r="4072" spans="1:18" ht="12.75">
      <c r="A4072" s="22"/>
      <c r="D4072" s="19"/>
      <c r="H4072" s="18"/>
      <c r="J4072" s="18"/>
      <c r="N4072" s="16"/>
      <c r="O4072" s="17"/>
      <c r="P4072" s="17"/>
      <c r="Q4072" s="22"/>
      <c r="R4072" s="23"/>
    </row>
    <row r="4073" spans="1:18" ht="12.75">
      <c r="A4073" s="22"/>
      <c r="D4073" s="19"/>
      <c r="H4073" s="18"/>
      <c r="J4073" s="18"/>
      <c r="N4073" s="16"/>
      <c r="O4073" s="17"/>
      <c r="P4073" s="17"/>
      <c r="Q4073" s="22"/>
      <c r="R4073" s="23"/>
    </row>
    <row r="4074" spans="1:18" ht="12.75">
      <c r="A4074" s="22"/>
      <c r="D4074" s="19"/>
      <c r="H4074" s="18"/>
      <c r="J4074" s="18"/>
      <c r="N4074" s="16"/>
      <c r="O4074" s="17"/>
      <c r="P4074" s="17"/>
      <c r="Q4074" s="22"/>
      <c r="R4074" s="23"/>
    </row>
    <row r="4075" spans="1:18" ht="12.75">
      <c r="A4075" s="22"/>
      <c r="D4075" s="19"/>
      <c r="H4075" s="18"/>
      <c r="J4075" s="18"/>
      <c r="N4075" s="16"/>
      <c r="O4075" s="17"/>
      <c r="P4075" s="17"/>
      <c r="Q4075" s="22"/>
      <c r="R4075" s="23"/>
    </row>
    <row r="4076" spans="1:18" ht="12.75">
      <c r="A4076" s="22"/>
      <c r="D4076" s="19"/>
      <c r="H4076" s="18"/>
      <c r="J4076" s="18"/>
      <c r="N4076" s="16"/>
      <c r="O4076" s="17"/>
      <c r="P4076" s="17"/>
      <c r="Q4076" s="22"/>
      <c r="R4076" s="23"/>
    </row>
    <row r="4077" spans="1:18" ht="12.75">
      <c r="A4077" s="22"/>
      <c r="D4077" s="19"/>
      <c r="H4077" s="18"/>
      <c r="J4077" s="18"/>
      <c r="N4077" s="16"/>
      <c r="O4077" s="17"/>
      <c r="P4077" s="17"/>
      <c r="Q4077" s="22"/>
      <c r="R4077" s="23"/>
    </row>
    <row r="4078" spans="1:18" ht="12.75">
      <c r="A4078" s="22"/>
      <c r="D4078" s="19"/>
      <c r="H4078" s="18"/>
      <c r="J4078" s="18"/>
      <c r="N4078" s="16"/>
      <c r="O4078" s="17"/>
      <c r="P4078" s="17"/>
      <c r="Q4078" s="22"/>
      <c r="R4078" s="23"/>
    </row>
    <row r="4079" spans="1:18" ht="12.75">
      <c r="A4079" s="22"/>
      <c r="D4079" s="19"/>
      <c r="H4079" s="18"/>
      <c r="J4079" s="18"/>
      <c r="N4079" s="16"/>
      <c r="O4079" s="17"/>
      <c r="P4079" s="17"/>
      <c r="Q4079" s="22"/>
      <c r="R4079" s="23"/>
    </row>
    <row r="4080" spans="1:18" ht="12.75">
      <c r="A4080" s="22"/>
      <c r="D4080" s="19"/>
      <c r="H4080" s="18"/>
      <c r="J4080" s="18"/>
      <c r="N4080" s="16"/>
      <c r="O4080" s="17"/>
      <c r="P4080" s="17"/>
      <c r="Q4080" s="22"/>
      <c r="R4080" s="23"/>
    </row>
    <row r="4081" spans="1:18" ht="12.75">
      <c r="A4081" s="22"/>
      <c r="D4081" s="19"/>
      <c r="H4081" s="18"/>
      <c r="J4081" s="18"/>
      <c r="N4081" s="16"/>
      <c r="O4081" s="17"/>
      <c r="P4081" s="17"/>
      <c r="Q4081" s="22"/>
      <c r="R4081" s="23"/>
    </row>
    <row r="4082" spans="1:18" ht="12.75">
      <c r="A4082" s="22"/>
      <c r="D4082" s="19"/>
      <c r="H4082" s="18"/>
      <c r="J4082" s="18"/>
      <c r="N4082" s="16"/>
      <c r="O4082" s="17"/>
      <c r="P4082" s="17"/>
      <c r="Q4082" s="22"/>
      <c r="R4082" s="23"/>
    </row>
    <row r="4083" spans="1:18" ht="12.75">
      <c r="A4083" s="22"/>
      <c r="D4083" s="19"/>
      <c r="H4083" s="18"/>
      <c r="J4083" s="18"/>
      <c r="N4083" s="16"/>
      <c r="O4083" s="17"/>
      <c r="P4083" s="17"/>
      <c r="Q4083" s="22"/>
      <c r="R4083" s="23"/>
    </row>
    <row r="4084" spans="1:18" ht="12.75">
      <c r="A4084" s="22"/>
      <c r="D4084" s="19"/>
      <c r="H4084" s="18"/>
      <c r="J4084" s="18"/>
      <c r="N4084" s="16"/>
      <c r="O4084" s="17"/>
      <c r="P4084" s="17"/>
      <c r="Q4084" s="22"/>
      <c r="R4084" s="23"/>
    </row>
    <row r="4085" spans="1:18" ht="12.75">
      <c r="A4085" s="22"/>
      <c r="D4085" s="19"/>
      <c r="H4085" s="18"/>
      <c r="J4085" s="18"/>
      <c r="N4085" s="16"/>
      <c r="O4085" s="17"/>
      <c r="P4085" s="17"/>
      <c r="Q4085" s="22"/>
      <c r="R4085" s="23"/>
    </row>
    <row r="4086" spans="1:18" ht="12.75">
      <c r="A4086" s="22"/>
      <c r="D4086" s="19"/>
      <c r="H4086" s="18"/>
      <c r="J4086" s="18"/>
      <c r="N4086" s="16"/>
      <c r="O4086" s="17"/>
      <c r="P4086" s="17"/>
      <c r="Q4086" s="22"/>
      <c r="R4086" s="23"/>
    </row>
    <row r="4087" spans="1:18" ht="12.75">
      <c r="A4087" s="22"/>
      <c r="D4087" s="19"/>
      <c r="H4087" s="18"/>
      <c r="J4087" s="18"/>
      <c r="N4087" s="16"/>
      <c r="O4087" s="17"/>
      <c r="P4087" s="17"/>
      <c r="Q4087" s="22"/>
      <c r="R4087" s="23"/>
    </row>
    <row r="4088" spans="1:18" ht="12.75">
      <c r="A4088" s="22"/>
      <c r="D4088" s="19"/>
      <c r="H4088" s="18"/>
      <c r="J4088" s="18"/>
      <c r="N4088" s="16"/>
      <c r="O4088" s="17"/>
      <c r="P4088" s="17"/>
      <c r="Q4088" s="22"/>
      <c r="R4088" s="23"/>
    </row>
    <row r="4089" spans="1:18" ht="12.75">
      <c r="A4089" s="22"/>
      <c r="D4089" s="19"/>
      <c r="H4089" s="18"/>
      <c r="J4089" s="18"/>
      <c r="N4089" s="16"/>
      <c r="O4089" s="17"/>
      <c r="P4089" s="17"/>
      <c r="Q4089" s="22"/>
      <c r="R4089" s="23"/>
    </row>
    <row r="4090" spans="1:18" ht="12.75">
      <c r="A4090" s="22"/>
      <c r="D4090" s="19"/>
      <c r="H4090" s="18"/>
      <c r="J4090" s="18"/>
      <c r="N4090" s="16"/>
      <c r="O4090" s="17"/>
      <c r="P4090" s="17"/>
      <c r="Q4090" s="22"/>
      <c r="R4090" s="23"/>
    </row>
    <row r="4091" spans="1:18" ht="12.75">
      <c r="A4091" s="22"/>
      <c r="D4091" s="19"/>
      <c r="H4091" s="18"/>
      <c r="J4091" s="18"/>
      <c r="N4091" s="16"/>
      <c r="O4091" s="17"/>
      <c r="P4091" s="17"/>
      <c r="Q4091" s="22"/>
      <c r="R4091" s="23"/>
    </row>
    <row r="4092" spans="1:18" ht="12.75">
      <c r="A4092" s="22"/>
      <c r="D4092" s="19"/>
      <c r="H4092" s="18"/>
      <c r="J4092" s="18"/>
      <c r="N4092" s="16"/>
      <c r="O4092" s="17"/>
      <c r="P4092" s="17"/>
      <c r="Q4092" s="22"/>
      <c r="R4092" s="23"/>
    </row>
    <row r="4093" spans="1:18" ht="12.75">
      <c r="A4093" s="22"/>
      <c r="D4093" s="19"/>
      <c r="H4093" s="18"/>
      <c r="J4093" s="18"/>
      <c r="N4093" s="16"/>
      <c r="O4093" s="17"/>
      <c r="P4093" s="17"/>
      <c r="Q4093" s="22"/>
      <c r="R4093" s="23"/>
    </row>
    <row r="4094" spans="1:18" ht="12.75">
      <c r="A4094" s="22"/>
      <c r="D4094" s="19"/>
      <c r="H4094" s="18"/>
      <c r="J4094" s="18"/>
      <c r="N4094" s="16"/>
      <c r="O4094" s="17"/>
      <c r="P4094" s="17"/>
      <c r="Q4094" s="22"/>
      <c r="R4094" s="23"/>
    </row>
    <row r="4095" spans="1:18" ht="12.75">
      <c r="A4095" s="22"/>
      <c r="D4095" s="19"/>
      <c r="H4095" s="18"/>
      <c r="J4095" s="18"/>
      <c r="N4095" s="16"/>
      <c r="O4095" s="17"/>
      <c r="P4095" s="17"/>
      <c r="Q4095" s="22"/>
      <c r="R4095" s="23"/>
    </row>
    <row r="4096" spans="1:18" ht="12.75">
      <c r="A4096" s="22"/>
      <c r="D4096" s="19"/>
      <c r="H4096" s="18"/>
      <c r="J4096" s="18"/>
      <c r="N4096" s="16"/>
      <c r="O4096" s="17"/>
      <c r="P4096" s="17"/>
      <c r="Q4096" s="22"/>
      <c r="R4096" s="23"/>
    </row>
    <row r="4097" spans="1:18" ht="12.75">
      <c r="A4097" s="22"/>
      <c r="D4097" s="19"/>
      <c r="H4097" s="18"/>
      <c r="J4097" s="18"/>
      <c r="N4097" s="16"/>
      <c r="O4097" s="17"/>
      <c r="P4097" s="17"/>
      <c r="Q4097" s="22"/>
      <c r="R4097" s="23"/>
    </row>
    <row r="4098" spans="1:18" ht="12.75">
      <c r="A4098" s="22"/>
      <c r="D4098" s="19"/>
      <c r="H4098" s="18"/>
      <c r="J4098" s="18"/>
      <c r="N4098" s="16"/>
      <c r="O4098" s="17"/>
      <c r="P4098" s="17"/>
      <c r="Q4098" s="22"/>
      <c r="R4098" s="23"/>
    </row>
    <row r="4099" spans="1:18" ht="12.75">
      <c r="A4099" s="22"/>
      <c r="D4099" s="19"/>
      <c r="H4099" s="18"/>
      <c r="J4099" s="18"/>
      <c r="N4099" s="16"/>
      <c r="O4099" s="17"/>
      <c r="P4099" s="17"/>
      <c r="Q4099" s="22"/>
      <c r="R4099" s="23"/>
    </row>
    <row r="4100" spans="1:18" ht="12.75">
      <c r="A4100" s="22"/>
      <c r="D4100" s="19"/>
      <c r="H4100" s="18"/>
      <c r="J4100" s="18"/>
      <c r="N4100" s="16"/>
      <c r="O4100" s="17"/>
      <c r="P4100" s="17"/>
      <c r="Q4100" s="22"/>
      <c r="R4100" s="23"/>
    </row>
    <row r="4101" spans="1:18" ht="12.75">
      <c r="A4101" s="22"/>
      <c r="D4101" s="19"/>
      <c r="H4101" s="18"/>
      <c r="J4101" s="18"/>
      <c r="N4101" s="16"/>
      <c r="O4101" s="17"/>
      <c r="P4101" s="17"/>
      <c r="Q4101" s="22"/>
      <c r="R4101" s="23"/>
    </row>
    <row r="4102" spans="1:18" ht="12.75">
      <c r="A4102" s="22"/>
      <c r="D4102" s="19"/>
      <c r="H4102" s="18"/>
      <c r="J4102" s="18"/>
      <c r="N4102" s="16"/>
      <c r="O4102" s="17"/>
      <c r="P4102" s="17"/>
      <c r="Q4102" s="22"/>
      <c r="R4102" s="23"/>
    </row>
    <row r="4103" spans="1:18" ht="12.75">
      <c r="A4103" s="22"/>
      <c r="D4103" s="19"/>
      <c r="H4103" s="18"/>
      <c r="J4103" s="18"/>
      <c r="N4103" s="16"/>
      <c r="O4103" s="17"/>
      <c r="P4103" s="17"/>
      <c r="Q4103" s="22"/>
      <c r="R4103" s="23"/>
    </row>
    <row r="4104" spans="1:18" ht="12.75">
      <c r="A4104" s="22"/>
      <c r="D4104" s="19"/>
      <c r="H4104" s="18"/>
      <c r="J4104" s="18"/>
      <c r="N4104" s="16"/>
      <c r="O4104" s="17"/>
      <c r="P4104" s="17"/>
      <c r="Q4104" s="22"/>
      <c r="R4104" s="23"/>
    </row>
    <row r="4105" spans="1:18" ht="12.75">
      <c r="A4105" s="22"/>
      <c r="D4105" s="19"/>
      <c r="H4105" s="18"/>
      <c r="J4105" s="18"/>
      <c r="N4105" s="16"/>
      <c r="O4105" s="17"/>
      <c r="P4105" s="17"/>
      <c r="Q4105" s="22"/>
      <c r="R4105" s="23"/>
    </row>
    <row r="4106" spans="1:18" ht="12.75">
      <c r="A4106" s="22"/>
      <c r="D4106" s="19"/>
      <c r="H4106" s="18"/>
      <c r="J4106" s="18"/>
      <c r="N4106" s="16"/>
      <c r="O4106" s="17"/>
      <c r="P4106" s="17"/>
      <c r="Q4106" s="22"/>
      <c r="R4106" s="23"/>
    </row>
    <row r="4107" spans="1:18" ht="12.75">
      <c r="A4107" s="22"/>
      <c r="D4107" s="19"/>
      <c r="H4107" s="18"/>
      <c r="J4107" s="18"/>
      <c r="N4107" s="16"/>
      <c r="O4107" s="17"/>
      <c r="P4107" s="17"/>
      <c r="Q4107" s="22"/>
      <c r="R4107" s="23"/>
    </row>
    <row r="4108" spans="1:18" ht="12.75">
      <c r="A4108" s="22"/>
      <c r="D4108" s="19"/>
      <c r="H4108" s="18"/>
      <c r="J4108" s="18"/>
      <c r="N4108" s="16"/>
      <c r="O4108" s="17"/>
      <c r="P4108" s="17"/>
      <c r="Q4108" s="22"/>
      <c r="R4108" s="23"/>
    </row>
    <row r="4109" spans="1:18" ht="12.75">
      <c r="A4109" s="22"/>
      <c r="D4109" s="19"/>
      <c r="H4109" s="18"/>
      <c r="J4109" s="18"/>
      <c r="N4109" s="16"/>
      <c r="O4109" s="17"/>
      <c r="P4109" s="17"/>
      <c r="Q4109" s="22"/>
      <c r="R4109" s="23"/>
    </row>
    <row r="4110" spans="1:18" ht="12.75">
      <c r="A4110" s="22"/>
      <c r="D4110" s="19"/>
      <c r="H4110" s="18"/>
      <c r="J4110" s="18"/>
      <c r="N4110" s="16"/>
      <c r="O4110" s="17"/>
      <c r="P4110" s="17"/>
      <c r="Q4110" s="22"/>
      <c r="R4110" s="23"/>
    </row>
    <row r="4111" spans="1:18" ht="12.75">
      <c r="A4111" s="22"/>
      <c r="D4111" s="19"/>
      <c r="H4111" s="18"/>
      <c r="J4111" s="18"/>
      <c r="N4111" s="16"/>
      <c r="O4111" s="17"/>
      <c r="P4111" s="17"/>
      <c r="Q4111" s="22"/>
      <c r="R4111" s="23"/>
    </row>
    <row r="4112" spans="1:18" ht="12.75">
      <c r="A4112" s="22"/>
      <c r="D4112" s="19"/>
      <c r="H4112" s="18"/>
      <c r="J4112" s="18"/>
      <c r="N4112" s="16"/>
      <c r="O4112" s="17"/>
      <c r="P4112" s="17"/>
      <c r="Q4112" s="22"/>
      <c r="R4112" s="23"/>
    </row>
    <row r="4113" spans="1:18" ht="12.75">
      <c r="A4113" s="22"/>
      <c r="D4113" s="19"/>
      <c r="H4113" s="18"/>
      <c r="J4113" s="18"/>
      <c r="N4113" s="16"/>
      <c r="O4113" s="17"/>
      <c r="P4113" s="17"/>
      <c r="Q4113" s="22"/>
      <c r="R4113" s="23"/>
    </row>
    <row r="4114" spans="1:18" ht="12.75">
      <c r="A4114" s="22"/>
      <c r="D4114" s="19"/>
      <c r="H4114" s="18"/>
      <c r="J4114" s="18"/>
      <c r="N4114" s="16"/>
      <c r="O4114" s="17"/>
      <c r="P4114" s="17"/>
      <c r="Q4114" s="22"/>
      <c r="R4114" s="23"/>
    </row>
    <row r="4115" spans="1:18" ht="12.75">
      <c r="A4115" s="22"/>
      <c r="D4115" s="19"/>
      <c r="H4115" s="18"/>
      <c r="J4115" s="18"/>
      <c r="N4115" s="16"/>
      <c r="O4115" s="17"/>
      <c r="P4115" s="17"/>
      <c r="Q4115" s="22"/>
      <c r="R4115" s="23"/>
    </row>
    <row r="4116" spans="1:18" ht="12.75">
      <c r="A4116" s="22"/>
      <c r="D4116" s="19"/>
      <c r="H4116" s="18"/>
      <c r="J4116" s="18"/>
      <c r="N4116" s="16"/>
      <c r="O4116" s="17"/>
      <c r="P4116" s="17"/>
      <c r="Q4116" s="22"/>
      <c r="R4116" s="23"/>
    </row>
    <row r="4117" spans="1:18" ht="12.75">
      <c r="A4117" s="22"/>
      <c r="D4117" s="19"/>
      <c r="H4117" s="18"/>
      <c r="J4117" s="18"/>
      <c r="N4117" s="16"/>
      <c r="O4117" s="17"/>
      <c r="P4117" s="17"/>
      <c r="Q4117" s="22"/>
      <c r="R4117" s="23"/>
    </row>
    <row r="4118" spans="1:18" ht="12.75">
      <c r="A4118" s="22"/>
      <c r="D4118" s="19"/>
      <c r="H4118" s="18"/>
      <c r="J4118" s="18"/>
      <c r="N4118" s="16"/>
      <c r="O4118" s="17"/>
      <c r="P4118" s="17"/>
      <c r="Q4118" s="22"/>
      <c r="R4118" s="23"/>
    </row>
    <row r="4119" spans="1:18" ht="12.75">
      <c r="A4119" s="22"/>
      <c r="D4119" s="19"/>
      <c r="H4119" s="18"/>
      <c r="J4119" s="18"/>
      <c r="N4119" s="16"/>
      <c r="O4119" s="17"/>
      <c r="P4119" s="17"/>
      <c r="Q4119" s="22"/>
      <c r="R4119" s="23"/>
    </row>
    <row r="4120" spans="1:18" ht="12.75">
      <c r="A4120" s="22"/>
      <c r="D4120" s="19"/>
      <c r="H4120" s="18"/>
      <c r="J4120" s="18"/>
      <c r="N4120" s="16"/>
      <c r="O4120" s="17"/>
      <c r="P4120" s="17"/>
      <c r="Q4120" s="22"/>
      <c r="R4120" s="23"/>
    </row>
    <row r="4121" spans="1:18" ht="12.75">
      <c r="A4121" s="22"/>
      <c r="D4121" s="19"/>
      <c r="H4121" s="18"/>
      <c r="J4121" s="18"/>
      <c r="N4121" s="16"/>
      <c r="O4121" s="17"/>
      <c r="P4121" s="17"/>
      <c r="Q4121" s="22"/>
      <c r="R4121" s="23"/>
    </row>
    <row r="4122" spans="1:18" ht="12.75">
      <c r="A4122" s="22"/>
      <c r="D4122" s="19"/>
      <c r="H4122" s="18"/>
      <c r="J4122" s="18"/>
      <c r="N4122" s="16"/>
      <c r="O4122" s="17"/>
      <c r="P4122" s="17"/>
      <c r="Q4122" s="22"/>
      <c r="R4122" s="23"/>
    </row>
    <row r="4123" spans="1:18" ht="12.75">
      <c r="A4123" s="22"/>
      <c r="D4123" s="19"/>
      <c r="H4123" s="18"/>
      <c r="J4123" s="18"/>
      <c r="N4123" s="16"/>
      <c r="O4123" s="17"/>
      <c r="P4123" s="17"/>
      <c r="Q4123" s="22"/>
      <c r="R4123" s="23"/>
    </row>
    <row r="4124" spans="1:18" ht="12.75">
      <c r="A4124" s="22"/>
      <c r="D4124" s="19"/>
      <c r="H4124" s="18"/>
      <c r="J4124" s="18"/>
      <c r="N4124" s="16"/>
      <c r="O4124" s="17"/>
      <c r="P4124" s="17"/>
      <c r="Q4124" s="22"/>
      <c r="R4124" s="23"/>
    </row>
    <row r="4125" spans="1:18" ht="12.75">
      <c r="A4125" s="22"/>
      <c r="D4125" s="19"/>
      <c r="H4125" s="18"/>
      <c r="J4125" s="18"/>
      <c r="N4125" s="16"/>
      <c r="O4125" s="17"/>
      <c r="P4125" s="17"/>
      <c r="Q4125" s="22"/>
      <c r="R4125" s="23"/>
    </row>
    <row r="4126" spans="1:18" ht="12.75">
      <c r="A4126" s="22"/>
      <c r="D4126" s="19"/>
      <c r="H4126" s="18"/>
      <c r="J4126" s="18"/>
      <c r="N4126" s="16"/>
      <c r="O4126" s="17"/>
      <c r="P4126" s="17"/>
      <c r="Q4126" s="22"/>
      <c r="R4126" s="23"/>
    </row>
    <row r="4127" spans="1:18" ht="12.75">
      <c r="A4127" s="22"/>
      <c r="D4127" s="19"/>
      <c r="H4127" s="18"/>
      <c r="J4127" s="18"/>
      <c r="N4127" s="16"/>
      <c r="O4127" s="17"/>
      <c r="P4127" s="17"/>
      <c r="Q4127" s="22"/>
      <c r="R4127" s="23"/>
    </row>
    <row r="4128" spans="1:18" ht="12.75">
      <c r="A4128" s="22"/>
      <c r="D4128" s="19"/>
      <c r="H4128" s="18"/>
      <c r="J4128" s="18"/>
      <c r="N4128" s="16"/>
      <c r="O4128" s="17"/>
      <c r="P4128" s="17"/>
      <c r="Q4128" s="22"/>
      <c r="R4128" s="23"/>
    </row>
    <row r="4129" spans="1:18" ht="12.75">
      <c r="A4129" s="22"/>
      <c r="D4129" s="19"/>
      <c r="H4129" s="18"/>
      <c r="J4129" s="18"/>
      <c r="N4129" s="16"/>
      <c r="O4129" s="17"/>
      <c r="P4129" s="17"/>
      <c r="Q4129" s="22"/>
      <c r="R4129" s="23"/>
    </row>
    <row r="4130" spans="1:18" ht="12.75">
      <c r="A4130" s="22"/>
      <c r="D4130" s="19"/>
      <c r="H4130" s="18"/>
      <c r="J4130" s="18"/>
      <c r="N4130" s="16"/>
      <c r="O4130" s="17"/>
      <c r="P4130" s="17"/>
      <c r="Q4130" s="22"/>
      <c r="R4130" s="23"/>
    </row>
    <row r="4131" spans="1:18" ht="12.75">
      <c r="A4131" s="22"/>
      <c r="D4131" s="19"/>
      <c r="H4131" s="18"/>
      <c r="J4131" s="18"/>
      <c r="N4131" s="16"/>
      <c r="O4131" s="17"/>
      <c r="P4131" s="17"/>
      <c r="Q4131" s="22"/>
      <c r="R4131" s="23"/>
    </row>
    <row r="4132" spans="1:18" ht="12.75">
      <c r="A4132" s="22"/>
      <c r="D4132" s="19"/>
      <c r="H4132" s="18"/>
      <c r="J4132" s="18"/>
      <c r="N4132" s="16"/>
      <c r="O4132" s="17"/>
      <c r="P4132" s="17"/>
      <c r="Q4132" s="22"/>
      <c r="R4132" s="23"/>
    </row>
    <row r="4133" spans="1:18" ht="12.75">
      <c r="A4133" s="22"/>
      <c r="D4133" s="19"/>
      <c r="H4133" s="18"/>
      <c r="J4133" s="18"/>
      <c r="N4133" s="16"/>
      <c r="O4133" s="17"/>
      <c r="P4133" s="17"/>
      <c r="Q4133" s="22"/>
      <c r="R4133" s="23"/>
    </row>
    <row r="4134" spans="1:18" ht="12.75">
      <c r="A4134" s="22"/>
      <c r="D4134" s="19"/>
      <c r="H4134" s="18"/>
      <c r="J4134" s="18"/>
      <c r="N4134" s="16"/>
      <c r="O4134" s="17"/>
      <c r="P4134" s="17"/>
      <c r="Q4134" s="22"/>
      <c r="R4134" s="23"/>
    </row>
    <row r="4135" spans="1:18" ht="12.75">
      <c r="A4135" s="22"/>
      <c r="D4135" s="19"/>
      <c r="H4135" s="18"/>
      <c r="J4135" s="18"/>
      <c r="N4135" s="16"/>
      <c r="O4135" s="17"/>
      <c r="P4135" s="17"/>
      <c r="Q4135" s="22"/>
      <c r="R4135" s="23"/>
    </row>
    <row r="4136" spans="1:18" ht="12.75">
      <c r="A4136" s="22"/>
      <c r="D4136" s="19"/>
      <c r="H4136" s="18"/>
      <c r="J4136" s="18"/>
      <c r="N4136" s="16"/>
      <c r="O4136" s="17"/>
      <c r="P4136" s="17"/>
      <c r="Q4136" s="22"/>
      <c r="R4136" s="23"/>
    </row>
    <row r="4137" spans="1:18" ht="12.75">
      <c r="A4137" s="22"/>
      <c r="D4137" s="19"/>
      <c r="H4137" s="18"/>
      <c r="J4137" s="18"/>
      <c r="N4137" s="16"/>
      <c r="O4137" s="17"/>
      <c r="P4137" s="17"/>
      <c r="Q4137" s="22"/>
      <c r="R4137" s="23"/>
    </row>
    <row r="4138" spans="1:18" ht="12.75">
      <c r="A4138" s="22"/>
      <c r="D4138" s="19"/>
      <c r="H4138" s="18"/>
      <c r="J4138" s="18"/>
      <c r="N4138" s="16"/>
      <c r="O4138" s="17"/>
      <c r="P4138" s="17"/>
      <c r="Q4138" s="22"/>
      <c r="R4138" s="23"/>
    </row>
    <row r="4139" spans="1:18" ht="12.75">
      <c r="A4139" s="22"/>
      <c r="D4139" s="19"/>
      <c r="H4139" s="18"/>
      <c r="J4139" s="18"/>
      <c r="N4139" s="16"/>
      <c r="O4139" s="17"/>
      <c r="P4139" s="17"/>
      <c r="Q4139" s="22"/>
      <c r="R4139" s="23"/>
    </row>
    <row r="4140" spans="1:18" ht="12.75">
      <c r="A4140" s="22"/>
      <c r="D4140" s="19"/>
      <c r="H4140" s="18"/>
      <c r="J4140" s="18"/>
      <c r="N4140" s="16"/>
      <c r="O4140" s="17"/>
      <c r="P4140" s="17"/>
      <c r="Q4140" s="22"/>
      <c r="R4140" s="23"/>
    </row>
    <row r="4141" spans="1:18" ht="12.75">
      <c r="A4141" s="22"/>
      <c r="D4141" s="19"/>
      <c r="H4141" s="18"/>
      <c r="J4141" s="18"/>
      <c r="N4141" s="16"/>
      <c r="O4141" s="17"/>
      <c r="P4141" s="17"/>
      <c r="Q4141" s="22"/>
      <c r="R4141" s="23"/>
    </row>
    <row r="4142" spans="1:18" ht="12.75">
      <c r="A4142" s="22"/>
      <c r="D4142" s="19"/>
      <c r="H4142" s="18"/>
      <c r="J4142" s="18"/>
      <c r="N4142" s="16"/>
      <c r="O4142" s="17"/>
      <c r="P4142" s="17"/>
      <c r="Q4142" s="22"/>
      <c r="R4142" s="23"/>
    </row>
    <row r="4143" spans="1:18" ht="12.75">
      <c r="A4143" s="22"/>
      <c r="D4143" s="19"/>
      <c r="H4143" s="18"/>
      <c r="J4143" s="18"/>
      <c r="N4143" s="16"/>
      <c r="O4143" s="17"/>
      <c r="P4143" s="17"/>
      <c r="Q4143" s="22"/>
      <c r="R4143" s="23"/>
    </row>
    <row r="4144" spans="1:18" ht="12.75">
      <c r="A4144" s="22"/>
      <c r="D4144" s="19"/>
      <c r="H4144" s="18"/>
      <c r="J4144" s="18"/>
      <c r="N4144" s="16"/>
      <c r="O4144" s="17"/>
      <c r="P4144" s="17"/>
      <c r="Q4144" s="22"/>
      <c r="R4144" s="23"/>
    </row>
    <row r="4145" spans="1:18" ht="12.75">
      <c r="A4145" s="22"/>
      <c r="D4145" s="19"/>
      <c r="H4145" s="18"/>
      <c r="J4145" s="18"/>
      <c r="N4145" s="16"/>
      <c r="O4145" s="17"/>
      <c r="P4145" s="17"/>
      <c r="Q4145" s="22"/>
      <c r="R4145" s="23"/>
    </row>
    <row r="4146" spans="1:18" ht="12.75">
      <c r="A4146" s="22"/>
      <c r="D4146" s="19"/>
      <c r="H4146" s="18"/>
      <c r="J4146" s="18"/>
      <c r="N4146" s="16"/>
      <c r="O4146" s="17"/>
      <c r="P4146" s="17"/>
      <c r="Q4146" s="22"/>
      <c r="R4146" s="23"/>
    </row>
    <row r="4147" spans="1:18" ht="12.75">
      <c r="A4147" s="22"/>
      <c r="D4147" s="19"/>
      <c r="H4147" s="18"/>
      <c r="J4147" s="18"/>
      <c r="N4147" s="16"/>
      <c r="O4147" s="17"/>
      <c r="P4147" s="17"/>
      <c r="Q4147" s="22"/>
      <c r="R4147" s="23"/>
    </row>
    <row r="4148" spans="1:18" ht="12.75">
      <c r="A4148" s="22"/>
      <c r="D4148" s="19"/>
      <c r="H4148" s="18"/>
      <c r="J4148" s="18"/>
      <c r="N4148" s="16"/>
      <c r="O4148" s="17"/>
      <c r="P4148" s="17"/>
      <c r="Q4148" s="22"/>
      <c r="R4148" s="23"/>
    </row>
    <row r="4149" spans="1:18" ht="12.75">
      <c r="A4149" s="22"/>
      <c r="D4149" s="19"/>
      <c r="H4149" s="18"/>
      <c r="J4149" s="18"/>
      <c r="N4149" s="16"/>
      <c r="O4149" s="17"/>
      <c r="P4149" s="17"/>
      <c r="Q4149" s="22"/>
      <c r="R4149" s="23"/>
    </row>
    <row r="4150" spans="1:18" ht="12.75">
      <c r="A4150" s="22"/>
      <c r="D4150" s="19"/>
      <c r="H4150" s="18"/>
      <c r="J4150" s="18"/>
      <c r="N4150" s="16"/>
      <c r="O4150" s="17"/>
      <c r="P4150" s="17"/>
      <c r="Q4150" s="22"/>
      <c r="R4150" s="23"/>
    </row>
    <row r="4151" spans="1:18" ht="12.75">
      <c r="A4151" s="22"/>
      <c r="D4151" s="19"/>
      <c r="H4151" s="18"/>
      <c r="J4151" s="18"/>
      <c r="N4151" s="16"/>
      <c r="O4151" s="17"/>
      <c r="P4151" s="17"/>
      <c r="Q4151" s="22"/>
      <c r="R4151" s="23"/>
    </row>
    <row r="4152" spans="1:18" ht="12.75">
      <c r="A4152" s="22"/>
      <c r="D4152" s="19"/>
      <c r="H4152" s="18"/>
      <c r="J4152" s="18"/>
      <c r="N4152" s="16"/>
      <c r="O4152" s="17"/>
      <c r="P4152" s="17"/>
      <c r="Q4152" s="22"/>
      <c r="R4152" s="23"/>
    </row>
    <row r="4153" spans="1:18" ht="12.75">
      <c r="A4153" s="22"/>
      <c r="D4153" s="19"/>
      <c r="H4153" s="18"/>
      <c r="J4153" s="18"/>
      <c r="N4153" s="16"/>
      <c r="O4153" s="17"/>
      <c r="P4153" s="17"/>
      <c r="Q4153" s="22"/>
      <c r="R4153" s="23"/>
    </row>
    <row r="4154" spans="1:18" ht="12.75">
      <c r="A4154" s="22"/>
      <c r="D4154" s="19"/>
      <c r="H4154" s="18"/>
      <c r="J4154" s="18"/>
      <c r="N4154" s="16"/>
      <c r="O4154" s="17"/>
      <c r="P4154" s="17"/>
      <c r="Q4154" s="22"/>
      <c r="R4154" s="23"/>
    </row>
    <row r="4155" spans="1:18" ht="12.75">
      <c r="A4155" s="22"/>
      <c r="D4155" s="19"/>
      <c r="H4155" s="18"/>
      <c r="J4155" s="18"/>
      <c r="N4155" s="16"/>
      <c r="O4155" s="17"/>
      <c r="P4155" s="17"/>
      <c r="Q4155" s="22"/>
      <c r="R4155" s="23"/>
    </row>
    <row r="4156" spans="1:18" ht="12.75">
      <c r="A4156" s="22"/>
      <c r="D4156" s="19"/>
      <c r="H4156" s="18"/>
      <c r="J4156" s="18"/>
      <c r="N4156" s="16"/>
      <c r="O4156" s="17"/>
      <c r="P4156" s="17"/>
      <c r="Q4156" s="22"/>
      <c r="R4156" s="23"/>
    </row>
    <row r="4157" spans="1:18" ht="12.75">
      <c r="A4157" s="22"/>
      <c r="D4157" s="19"/>
      <c r="H4157" s="18"/>
      <c r="J4157" s="18"/>
      <c r="N4157" s="16"/>
      <c r="O4157" s="17"/>
      <c r="P4157" s="17"/>
      <c r="Q4157" s="22"/>
      <c r="R4157" s="23"/>
    </row>
    <row r="4158" spans="1:18" ht="12.75">
      <c r="A4158" s="22"/>
      <c r="D4158" s="19"/>
      <c r="H4158" s="18"/>
      <c r="J4158" s="18"/>
      <c r="N4158" s="16"/>
      <c r="O4158" s="17"/>
      <c r="P4158" s="17"/>
      <c r="Q4158" s="22"/>
      <c r="R4158" s="23"/>
    </row>
    <row r="4159" spans="1:18" ht="12.75">
      <c r="A4159" s="22"/>
      <c r="D4159" s="19"/>
      <c r="H4159" s="18"/>
      <c r="J4159" s="18"/>
      <c r="N4159" s="16"/>
      <c r="O4159" s="17"/>
      <c r="P4159" s="17"/>
      <c r="Q4159" s="22"/>
      <c r="R4159" s="23"/>
    </row>
    <row r="4160" spans="1:18" ht="12.75">
      <c r="A4160" s="22"/>
      <c r="D4160" s="19"/>
      <c r="H4160" s="18"/>
      <c r="J4160" s="18"/>
      <c r="N4160" s="16"/>
      <c r="O4160" s="17"/>
      <c r="P4160" s="17"/>
      <c r="Q4160" s="22"/>
      <c r="R4160" s="23"/>
    </row>
    <row r="4161" spans="1:18" ht="12.75">
      <c r="A4161" s="22"/>
      <c r="D4161" s="19"/>
      <c r="H4161" s="18"/>
      <c r="J4161" s="18"/>
      <c r="N4161" s="16"/>
      <c r="O4161" s="17"/>
      <c r="P4161" s="17"/>
      <c r="Q4161" s="22"/>
      <c r="R4161" s="23"/>
    </row>
    <row r="4162" spans="1:18" ht="12.75">
      <c r="A4162" s="22"/>
      <c r="D4162" s="19"/>
      <c r="H4162" s="18"/>
      <c r="J4162" s="18"/>
      <c r="N4162" s="16"/>
      <c r="O4162" s="17"/>
      <c r="P4162" s="17"/>
      <c r="Q4162" s="22"/>
      <c r="R4162" s="23"/>
    </row>
    <row r="4163" spans="1:18" ht="12.75">
      <c r="A4163" s="22"/>
      <c r="D4163" s="19"/>
      <c r="H4163" s="18"/>
      <c r="J4163" s="18"/>
      <c r="N4163" s="16"/>
      <c r="O4163" s="17"/>
      <c r="P4163" s="17"/>
      <c r="Q4163" s="22"/>
      <c r="R4163" s="23"/>
    </row>
    <row r="4164" spans="1:18" ht="12.75">
      <c r="A4164" s="22"/>
      <c r="D4164" s="19"/>
      <c r="H4164" s="18"/>
      <c r="J4164" s="18"/>
      <c r="N4164" s="16"/>
      <c r="O4164" s="17"/>
      <c r="P4164" s="17"/>
      <c r="Q4164" s="22"/>
      <c r="R4164" s="23"/>
    </row>
    <row r="4165" spans="1:18" ht="12.75">
      <c r="A4165" s="22"/>
      <c r="D4165" s="19"/>
      <c r="H4165" s="18"/>
      <c r="J4165" s="18"/>
      <c r="N4165" s="16"/>
      <c r="O4165" s="17"/>
      <c r="P4165" s="17"/>
      <c r="Q4165" s="22"/>
      <c r="R4165" s="23"/>
    </row>
    <row r="4166" spans="1:18" ht="12.75">
      <c r="A4166" s="22"/>
      <c r="D4166" s="19"/>
      <c r="H4166" s="18"/>
      <c r="J4166" s="18"/>
      <c r="N4166" s="16"/>
      <c r="O4166" s="17"/>
      <c r="P4166" s="17"/>
      <c r="Q4166" s="22"/>
      <c r="R4166" s="23"/>
    </row>
    <row r="4167" spans="1:18" ht="12.75">
      <c r="A4167" s="22"/>
      <c r="D4167" s="19"/>
      <c r="H4167" s="18"/>
      <c r="J4167" s="18"/>
      <c r="N4167" s="16"/>
      <c r="O4167" s="17"/>
      <c r="P4167" s="17"/>
      <c r="Q4167" s="22"/>
      <c r="R4167" s="23"/>
    </row>
    <row r="4168" spans="1:18" ht="12.75">
      <c r="A4168" s="22"/>
      <c r="D4168" s="19"/>
      <c r="H4168" s="18"/>
      <c r="J4168" s="18"/>
      <c r="N4168" s="16"/>
      <c r="O4168" s="17"/>
      <c r="P4168" s="17"/>
      <c r="Q4168" s="22"/>
      <c r="R4168" s="23"/>
    </row>
    <row r="4169" spans="1:18" ht="12.75">
      <c r="A4169" s="22"/>
      <c r="D4169" s="19"/>
      <c r="H4169" s="18"/>
      <c r="J4169" s="18"/>
      <c r="N4169" s="16"/>
      <c r="O4169" s="17"/>
      <c r="P4169" s="17"/>
      <c r="Q4169" s="22"/>
      <c r="R4169" s="23"/>
    </row>
    <row r="4170" spans="1:18" ht="12.75">
      <c r="A4170" s="22"/>
      <c r="D4170" s="19"/>
      <c r="H4170" s="18"/>
      <c r="J4170" s="18"/>
      <c r="N4170" s="16"/>
      <c r="O4170" s="17"/>
      <c r="P4170" s="17"/>
      <c r="Q4170" s="22"/>
      <c r="R4170" s="23"/>
    </row>
    <row r="4171" spans="1:18" ht="12.75">
      <c r="A4171" s="22"/>
      <c r="D4171" s="19"/>
      <c r="H4171" s="18"/>
      <c r="J4171" s="18"/>
      <c r="N4171" s="16"/>
      <c r="O4171" s="17"/>
      <c r="P4171" s="17"/>
      <c r="Q4171" s="22"/>
      <c r="R4171" s="23"/>
    </row>
    <row r="4172" spans="1:18" ht="12.75">
      <c r="A4172" s="22"/>
      <c r="D4172" s="19"/>
      <c r="H4172" s="18"/>
      <c r="J4172" s="18"/>
      <c r="N4172" s="16"/>
      <c r="O4172" s="17"/>
      <c r="P4172" s="17"/>
      <c r="Q4172" s="22"/>
      <c r="R4172" s="23"/>
    </row>
    <row r="4173" spans="1:18" ht="12.75">
      <c r="A4173" s="22"/>
      <c r="D4173" s="19"/>
      <c r="H4173" s="18"/>
      <c r="J4173" s="18"/>
      <c r="N4173" s="16"/>
      <c r="O4173" s="17"/>
      <c r="P4173" s="17"/>
      <c r="Q4173" s="22"/>
      <c r="R4173" s="23"/>
    </row>
    <row r="4174" spans="1:18" ht="12.75">
      <c r="A4174" s="22"/>
      <c r="D4174" s="19"/>
      <c r="H4174" s="18"/>
      <c r="J4174" s="18"/>
      <c r="N4174" s="16"/>
      <c r="O4174" s="17"/>
      <c r="P4174" s="17"/>
      <c r="Q4174" s="22"/>
      <c r="R4174" s="23"/>
    </row>
    <row r="4175" spans="1:18" ht="12.75">
      <c r="A4175" s="22"/>
      <c r="D4175" s="19"/>
      <c r="H4175" s="18"/>
      <c r="J4175" s="18"/>
      <c r="N4175" s="16"/>
      <c r="O4175" s="17"/>
      <c r="P4175" s="17"/>
      <c r="Q4175" s="22"/>
      <c r="R4175" s="23"/>
    </row>
    <row r="4176" spans="1:18" ht="12.75">
      <c r="A4176" s="22"/>
      <c r="D4176" s="19"/>
      <c r="H4176" s="18"/>
      <c r="J4176" s="18"/>
      <c r="N4176" s="16"/>
      <c r="O4176" s="17"/>
      <c r="P4176" s="17"/>
      <c r="Q4176" s="22"/>
      <c r="R4176" s="23"/>
    </row>
    <row r="4177" spans="1:18" ht="12.75">
      <c r="A4177" s="22"/>
      <c r="D4177" s="19"/>
      <c r="H4177" s="18"/>
      <c r="J4177" s="18"/>
      <c r="N4177" s="16"/>
      <c r="O4177" s="17"/>
      <c r="P4177" s="17"/>
      <c r="Q4177" s="22"/>
      <c r="R4177" s="23"/>
    </row>
    <row r="4178" spans="1:18" ht="12.75">
      <c r="A4178" s="22"/>
      <c r="D4178" s="19"/>
      <c r="H4178" s="18"/>
      <c r="J4178" s="18"/>
      <c r="N4178" s="16"/>
      <c r="O4178" s="17"/>
      <c r="P4178" s="17"/>
      <c r="Q4178" s="22"/>
      <c r="R4178" s="23"/>
    </row>
    <row r="4179" spans="1:18" ht="12.75">
      <c r="A4179" s="22"/>
      <c r="D4179" s="19"/>
      <c r="H4179" s="18"/>
      <c r="J4179" s="18"/>
      <c r="N4179" s="16"/>
      <c r="O4179" s="17"/>
      <c r="P4179" s="17"/>
      <c r="Q4179" s="22"/>
      <c r="R4179" s="23"/>
    </row>
    <row r="4180" spans="1:18" ht="12.75">
      <c r="A4180" s="22"/>
      <c r="D4180" s="19"/>
      <c r="H4180" s="18"/>
      <c r="J4180" s="18"/>
      <c r="N4180" s="16"/>
      <c r="O4180" s="17"/>
      <c r="P4180" s="17"/>
      <c r="Q4180" s="22"/>
      <c r="R4180" s="23"/>
    </row>
    <row r="4181" spans="1:18" ht="12.75">
      <c r="A4181" s="22"/>
      <c r="D4181" s="19"/>
      <c r="H4181" s="18"/>
      <c r="J4181" s="18"/>
      <c r="N4181" s="16"/>
      <c r="O4181" s="17"/>
      <c r="P4181" s="17"/>
      <c r="Q4181" s="22"/>
      <c r="R4181" s="23"/>
    </row>
    <row r="4182" spans="1:18" ht="12.75">
      <c r="A4182" s="22"/>
      <c r="D4182" s="19"/>
      <c r="H4182" s="18"/>
      <c r="J4182" s="18"/>
      <c r="N4182" s="16"/>
      <c r="O4182" s="17"/>
      <c r="P4182" s="17"/>
      <c r="Q4182" s="22"/>
      <c r="R4182" s="23"/>
    </row>
    <row r="4183" spans="1:18" ht="12.75">
      <c r="A4183" s="22"/>
      <c r="D4183" s="19"/>
      <c r="H4183" s="18"/>
      <c r="J4183" s="18"/>
      <c r="N4183" s="16"/>
      <c r="O4183" s="17"/>
      <c r="P4183" s="17"/>
      <c r="Q4183" s="22"/>
      <c r="R4183" s="23"/>
    </row>
    <row r="4184" spans="1:18" ht="12.75">
      <c r="A4184" s="22"/>
      <c r="D4184" s="19"/>
      <c r="H4184" s="18"/>
      <c r="J4184" s="18"/>
      <c r="N4184" s="16"/>
      <c r="O4184" s="17"/>
      <c r="P4184" s="17"/>
      <c r="Q4184" s="22"/>
      <c r="R4184" s="23"/>
    </row>
    <row r="4185" spans="1:18" ht="12.75">
      <c r="A4185" s="22"/>
      <c r="D4185" s="19"/>
      <c r="H4185" s="18"/>
      <c r="J4185" s="18"/>
      <c r="N4185" s="16"/>
      <c r="O4185" s="17"/>
      <c r="P4185" s="17"/>
      <c r="Q4185" s="22"/>
      <c r="R4185" s="23"/>
    </row>
    <row r="4186" spans="1:18" ht="12.75">
      <c r="A4186" s="22"/>
      <c r="D4186" s="19"/>
      <c r="H4186" s="18"/>
      <c r="J4186" s="18"/>
      <c r="N4186" s="16"/>
      <c r="O4186" s="17"/>
      <c r="P4186" s="17"/>
      <c r="Q4186" s="22"/>
      <c r="R4186" s="23"/>
    </row>
    <row r="4187" spans="1:18" ht="12.75">
      <c r="A4187" s="22"/>
      <c r="D4187" s="19"/>
      <c r="H4187" s="18"/>
      <c r="J4187" s="18"/>
      <c r="N4187" s="16"/>
      <c r="O4187" s="17"/>
      <c r="P4187" s="17"/>
      <c r="Q4187" s="22"/>
      <c r="R4187" s="23"/>
    </row>
    <row r="4188" spans="1:18" ht="12.75">
      <c r="A4188" s="22"/>
      <c r="D4188" s="19"/>
      <c r="H4188" s="18"/>
      <c r="J4188" s="18"/>
      <c r="N4188" s="16"/>
      <c r="O4188" s="17"/>
      <c r="P4188" s="17"/>
      <c r="Q4188" s="22"/>
      <c r="R4188" s="23"/>
    </row>
    <row r="4189" spans="1:18" ht="12.75">
      <c r="A4189" s="22"/>
      <c r="D4189" s="19"/>
      <c r="H4189" s="18"/>
      <c r="J4189" s="18"/>
      <c r="N4189" s="16"/>
      <c r="O4189" s="17"/>
      <c r="P4189" s="17"/>
      <c r="Q4189" s="22"/>
      <c r="R4189" s="23"/>
    </row>
    <row r="4190" spans="1:18" ht="12.75">
      <c r="A4190" s="22"/>
      <c r="D4190" s="19"/>
      <c r="H4190" s="18"/>
      <c r="J4190" s="18"/>
      <c r="N4190" s="16"/>
      <c r="O4190" s="17"/>
      <c r="P4190" s="17"/>
      <c r="Q4190" s="22"/>
      <c r="R4190" s="23"/>
    </row>
    <row r="4191" spans="1:18" ht="12.75">
      <c r="A4191" s="22"/>
      <c r="D4191" s="19"/>
      <c r="H4191" s="18"/>
      <c r="J4191" s="18"/>
      <c r="N4191" s="16"/>
      <c r="O4191" s="17"/>
      <c r="P4191" s="17"/>
      <c r="Q4191" s="22"/>
      <c r="R4191" s="23"/>
    </row>
    <row r="4192" spans="1:18" ht="12.75">
      <c r="A4192" s="22"/>
      <c r="D4192" s="19"/>
      <c r="H4192" s="18"/>
      <c r="J4192" s="18"/>
      <c r="N4192" s="16"/>
      <c r="O4192" s="17"/>
      <c r="P4192" s="17"/>
      <c r="Q4192" s="22"/>
      <c r="R4192" s="23"/>
    </row>
    <row r="4193" spans="1:18" ht="12.75">
      <c r="A4193" s="22"/>
      <c r="D4193" s="19"/>
      <c r="H4193" s="18"/>
      <c r="J4193" s="18"/>
      <c r="N4193" s="16"/>
      <c r="O4193" s="17"/>
      <c r="P4193" s="17"/>
      <c r="Q4193" s="22"/>
      <c r="R4193" s="23"/>
    </row>
    <row r="4194" spans="1:18" ht="12.75">
      <c r="A4194" s="22"/>
      <c r="D4194" s="19"/>
      <c r="H4194" s="18"/>
      <c r="J4194" s="18"/>
      <c r="N4194" s="16"/>
      <c r="O4194" s="17"/>
      <c r="P4194" s="17"/>
      <c r="Q4194" s="22"/>
      <c r="R4194" s="23"/>
    </row>
    <row r="4195" spans="1:18" ht="12.75">
      <c r="A4195" s="22"/>
      <c r="D4195" s="19"/>
      <c r="H4195" s="18"/>
      <c r="J4195" s="18"/>
      <c r="N4195" s="16"/>
      <c r="O4195" s="17"/>
      <c r="P4195" s="17"/>
      <c r="Q4195" s="22"/>
      <c r="R4195" s="23"/>
    </row>
    <row r="4196" spans="1:18" ht="12.75">
      <c r="A4196" s="22"/>
      <c r="D4196" s="19"/>
      <c r="H4196" s="18"/>
      <c r="J4196" s="18"/>
      <c r="N4196" s="16"/>
      <c r="O4196" s="17"/>
      <c r="P4196" s="17"/>
      <c r="Q4196" s="22"/>
      <c r="R4196" s="23"/>
    </row>
    <row r="4197" spans="1:18" ht="12.75">
      <c r="A4197" s="22"/>
      <c r="D4197" s="19"/>
      <c r="H4197" s="18"/>
      <c r="J4197" s="18"/>
      <c r="N4197" s="16"/>
      <c r="O4197" s="17"/>
      <c r="P4197" s="17"/>
      <c r="Q4197" s="22"/>
      <c r="R4197" s="23"/>
    </row>
    <row r="4198" spans="1:18" ht="12.75">
      <c r="A4198" s="22"/>
      <c r="D4198" s="19"/>
      <c r="H4198" s="18"/>
      <c r="J4198" s="18"/>
      <c r="N4198" s="16"/>
      <c r="O4198" s="17"/>
      <c r="P4198" s="17"/>
      <c r="Q4198" s="22"/>
      <c r="R4198" s="23"/>
    </row>
    <row r="4199" spans="1:18" ht="12.75">
      <c r="A4199" s="22"/>
      <c r="D4199" s="19"/>
      <c r="H4199" s="18"/>
      <c r="J4199" s="18"/>
      <c r="N4199" s="16"/>
      <c r="O4199" s="17"/>
      <c r="P4199" s="17"/>
      <c r="Q4199" s="22"/>
      <c r="R4199" s="23"/>
    </row>
    <row r="4200" spans="1:18" ht="12.75">
      <c r="A4200" s="22"/>
      <c r="D4200" s="19"/>
      <c r="H4200" s="18"/>
      <c r="J4200" s="18"/>
      <c r="N4200" s="16"/>
      <c r="O4200" s="17"/>
      <c r="P4200" s="17"/>
      <c r="Q4200" s="22"/>
      <c r="R4200" s="23"/>
    </row>
    <row r="4201" spans="1:18" ht="12.75">
      <c r="A4201" s="22"/>
      <c r="D4201" s="19"/>
      <c r="H4201" s="18"/>
      <c r="J4201" s="18"/>
      <c r="N4201" s="16"/>
      <c r="O4201" s="17"/>
      <c r="P4201" s="17"/>
      <c r="Q4201" s="22"/>
      <c r="R4201" s="23"/>
    </row>
    <row r="4202" spans="1:18" ht="12.75">
      <c r="A4202" s="22"/>
      <c r="D4202" s="19"/>
      <c r="H4202" s="18"/>
      <c r="J4202" s="18"/>
      <c r="N4202" s="16"/>
      <c r="O4202" s="17"/>
      <c r="P4202" s="17"/>
      <c r="Q4202" s="22"/>
      <c r="R4202" s="23"/>
    </row>
    <row r="4203" spans="1:18" ht="12.75">
      <c r="A4203" s="22"/>
      <c r="D4203" s="19"/>
      <c r="H4203" s="18"/>
      <c r="J4203" s="18"/>
      <c r="N4203" s="16"/>
      <c r="O4203" s="17"/>
      <c r="P4203" s="17"/>
      <c r="Q4203" s="22"/>
      <c r="R4203" s="23"/>
    </row>
    <row r="4204" spans="1:18" ht="12.75">
      <c r="A4204" s="22"/>
      <c r="D4204" s="19"/>
      <c r="H4204" s="18"/>
      <c r="J4204" s="18"/>
      <c r="N4204" s="16"/>
      <c r="O4204" s="17"/>
      <c r="P4204" s="17"/>
      <c r="Q4204" s="22"/>
      <c r="R4204" s="23"/>
    </row>
    <row r="4205" spans="1:18" ht="12.75">
      <c r="A4205" s="22"/>
      <c r="D4205" s="19"/>
      <c r="H4205" s="18"/>
      <c r="J4205" s="18"/>
      <c r="N4205" s="16"/>
      <c r="O4205" s="17"/>
      <c r="P4205" s="17"/>
      <c r="Q4205" s="22"/>
      <c r="R4205" s="23"/>
    </row>
    <row r="4206" spans="1:18" ht="12.75">
      <c r="A4206" s="22"/>
      <c r="D4206" s="19"/>
      <c r="H4206" s="18"/>
      <c r="J4206" s="18"/>
      <c r="N4206" s="16"/>
      <c r="O4206" s="17"/>
      <c r="P4206" s="17"/>
      <c r="Q4206" s="22"/>
      <c r="R4206" s="23"/>
    </row>
    <row r="4207" spans="1:18" ht="12.75">
      <c r="A4207" s="22"/>
      <c r="D4207" s="19"/>
      <c r="H4207" s="18"/>
      <c r="J4207" s="18"/>
      <c r="N4207" s="16"/>
      <c r="O4207" s="17"/>
      <c r="P4207" s="17"/>
      <c r="Q4207" s="22"/>
      <c r="R4207" s="23"/>
    </row>
    <row r="4208" spans="1:18" ht="12.75">
      <c r="A4208" s="22"/>
      <c r="D4208" s="19"/>
      <c r="H4208" s="18"/>
      <c r="J4208" s="18"/>
      <c r="N4208" s="16"/>
      <c r="O4208" s="17"/>
      <c r="P4208" s="17"/>
      <c r="Q4208" s="22"/>
      <c r="R4208" s="23"/>
    </row>
    <row r="4209" spans="1:18" ht="12.75">
      <c r="A4209" s="22"/>
      <c r="D4209" s="19"/>
      <c r="H4209" s="18"/>
      <c r="J4209" s="18"/>
      <c r="N4209" s="16"/>
      <c r="O4209" s="17"/>
      <c r="P4209" s="17"/>
      <c r="Q4209" s="22"/>
      <c r="R4209" s="23"/>
    </row>
    <row r="4210" spans="1:18" ht="12.75">
      <c r="A4210" s="22"/>
      <c r="D4210" s="19"/>
      <c r="H4210" s="18"/>
      <c r="J4210" s="18"/>
      <c r="N4210" s="16"/>
      <c r="O4210" s="17"/>
      <c r="P4210" s="17"/>
      <c r="Q4210" s="22"/>
      <c r="R4210" s="23"/>
    </row>
    <row r="4211" spans="1:18" ht="12.75">
      <c r="A4211" s="22"/>
      <c r="D4211" s="19"/>
      <c r="H4211" s="18"/>
      <c r="J4211" s="18"/>
      <c r="N4211" s="16"/>
      <c r="O4211" s="17"/>
      <c r="P4211" s="17"/>
      <c r="Q4211" s="22"/>
      <c r="R4211" s="23"/>
    </row>
    <row r="4212" spans="1:18" ht="12.75">
      <c r="A4212" s="22"/>
      <c r="D4212" s="19"/>
      <c r="H4212" s="18"/>
      <c r="J4212" s="18"/>
      <c r="N4212" s="16"/>
      <c r="O4212" s="17"/>
      <c r="P4212" s="17"/>
      <c r="Q4212" s="22"/>
      <c r="R4212" s="23"/>
    </row>
    <row r="4213" spans="1:18" ht="12.75">
      <c r="A4213" s="22"/>
      <c r="D4213" s="19"/>
      <c r="H4213" s="18"/>
      <c r="J4213" s="18"/>
      <c r="N4213" s="16"/>
      <c r="O4213" s="17"/>
      <c r="P4213" s="17"/>
      <c r="Q4213" s="22"/>
      <c r="R4213" s="23"/>
    </row>
    <row r="4214" spans="1:18" ht="12.75">
      <c r="A4214" s="22"/>
      <c r="D4214" s="19"/>
      <c r="H4214" s="18"/>
      <c r="J4214" s="18"/>
      <c r="N4214" s="16"/>
      <c r="O4214" s="17"/>
      <c r="P4214" s="17"/>
      <c r="Q4214" s="22"/>
      <c r="R4214" s="23"/>
    </row>
    <row r="4215" spans="1:18" ht="12.75">
      <c r="A4215" s="22"/>
      <c r="D4215" s="19"/>
      <c r="H4215" s="18"/>
      <c r="J4215" s="18"/>
      <c r="N4215" s="16"/>
      <c r="O4215" s="17"/>
      <c r="P4215" s="17"/>
      <c r="Q4215" s="22"/>
      <c r="R4215" s="23"/>
    </row>
    <row r="4216" spans="1:18" ht="12.75">
      <c r="A4216" s="22"/>
      <c r="D4216" s="19"/>
      <c r="H4216" s="18"/>
      <c r="J4216" s="18"/>
      <c r="N4216" s="16"/>
      <c r="O4216" s="17"/>
      <c r="P4216" s="17"/>
      <c r="Q4216" s="22"/>
      <c r="R4216" s="23"/>
    </row>
    <row r="4217" spans="1:18" ht="12.75">
      <c r="A4217" s="22"/>
      <c r="D4217" s="19"/>
      <c r="H4217" s="18"/>
      <c r="J4217" s="18"/>
      <c r="N4217" s="16"/>
      <c r="O4217" s="17"/>
      <c r="P4217" s="17"/>
      <c r="Q4217" s="22"/>
      <c r="R4217" s="23"/>
    </row>
    <row r="4218" spans="1:18" ht="12.75">
      <c r="A4218" s="22"/>
      <c r="D4218" s="19"/>
      <c r="H4218" s="18"/>
      <c r="J4218" s="18"/>
      <c r="N4218" s="16"/>
      <c r="O4218" s="17"/>
      <c r="P4218" s="17"/>
      <c r="Q4218" s="22"/>
      <c r="R4218" s="23"/>
    </row>
    <row r="4219" spans="1:18" ht="12.75">
      <c r="A4219" s="22"/>
      <c r="D4219" s="19"/>
      <c r="H4219" s="18"/>
      <c r="J4219" s="18"/>
      <c r="N4219" s="16"/>
      <c r="O4219" s="17"/>
      <c r="P4219" s="17"/>
      <c r="Q4219" s="22"/>
      <c r="R4219" s="23"/>
    </row>
    <row r="4220" spans="1:18" ht="12.75">
      <c r="A4220" s="22"/>
      <c r="D4220" s="19"/>
      <c r="H4220" s="18"/>
      <c r="J4220" s="18"/>
      <c r="N4220" s="16"/>
      <c r="O4220" s="17"/>
      <c r="P4220" s="17"/>
      <c r="Q4220" s="22"/>
      <c r="R4220" s="23"/>
    </row>
    <row r="4221" spans="1:18" ht="12.75">
      <c r="A4221" s="22"/>
      <c r="D4221" s="19"/>
      <c r="H4221" s="18"/>
      <c r="J4221" s="18"/>
      <c r="N4221" s="16"/>
      <c r="O4221" s="17"/>
      <c r="P4221" s="17"/>
      <c r="Q4221" s="22"/>
      <c r="R4221" s="23"/>
    </row>
    <row r="4222" spans="1:18" ht="12.75">
      <c r="A4222" s="22"/>
      <c r="D4222" s="19"/>
      <c r="H4222" s="18"/>
      <c r="J4222" s="18"/>
      <c r="N4222" s="16"/>
      <c r="O4222" s="17"/>
      <c r="P4222" s="17"/>
      <c r="Q4222" s="22"/>
      <c r="R4222" s="23"/>
    </row>
    <row r="4223" spans="1:18" ht="12.75">
      <c r="A4223" s="22"/>
      <c r="D4223" s="19"/>
      <c r="H4223" s="18"/>
      <c r="J4223" s="18"/>
      <c r="N4223" s="16"/>
      <c r="O4223" s="17"/>
      <c r="P4223" s="17"/>
      <c r="Q4223" s="22"/>
      <c r="R4223" s="23"/>
    </row>
    <row r="4224" spans="1:18" ht="12.75">
      <c r="A4224" s="22"/>
      <c r="D4224" s="19"/>
      <c r="H4224" s="18"/>
      <c r="J4224" s="18"/>
      <c r="N4224" s="16"/>
      <c r="O4224" s="17"/>
      <c r="P4224" s="17"/>
      <c r="Q4224" s="22"/>
      <c r="R4224" s="23"/>
    </row>
    <row r="4225" spans="1:18" ht="12.75">
      <c r="A4225" s="22"/>
      <c r="D4225" s="19"/>
      <c r="H4225" s="18"/>
      <c r="J4225" s="18"/>
      <c r="N4225" s="16"/>
      <c r="O4225" s="17"/>
      <c r="P4225" s="17"/>
      <c r="Q4225" s="22"/>
      <c r="R4225" s="23"/>
    </row>
    <row r="4226" spans="1:18" ht="12.75">
      <c r="A4226" s="22"/>
      <c r="D4226" s="19"/>
      <c r="H4226" s="18"/>
      <c r="J4226" s="18"/>
      <c r="N4226" s="16"/>
      <c r="O4226" s="17"/>
      <c r="P4226" s="17"/>
      <c r="Q4226" s="22"/>
      <c r="R4226" s="23"/>
    </row>
    <row r="4227" spans="1:18" ht="12.75">
      <c r="A4227" s="22"/>
      <c r="D4227" s="19"/>
      <c r="H4227" s="18"/>
      <c r="J4227" s="18"/>
      <c r="N4227" s="16"/>
      <c r="O4227" s="17"/>
      <c r="P4227" s="17"/>
      <c r="Q4227" s="22"/>
      <c r="R4227" s="23"/>
    </row>
    <row r="4228" spans="1:18" ht="12.75">
      <c r="A4228" s="22"/>
      <c r="D4228" s="19"/>
      <c r="H4228" s="18"/>
      <c r="J4228" s="18"/>
      <c r="N4228" s="16"/>
      <c r="O4228" s="17"/>
      <c r="P4228" s="17"/>
      <c r="Q4228" s="22"/>
      <c r="R4228" s="23"/>
    </row>
    <row r="4229" spans="1:18" ht="12.75">
      <c r="A4229" s="22"/>
      <c r="D4229" s="19"/>
      <c r="H4229" s="18"/>
      <c r="J4229" s="18"/>
      <c r="N4229" s="16"/>
      <c r="O4229" s="17"/>
      <c r="P4229" s="17"/>
      <c r="Q4229" s="22"/>
      <c r="R4229" s="23"/>
    </row>
    <row r="4230" spans="1:18" ht="12.75">
      <c r="A4230" s="22"/>
      <c r="D4230" s="19"/>
      <c r="H4230" s="18"/>
      <c r="J4230" s="18"/>
      <c r="N4230" s="16"/>
      <c r="O4230" s="17"/>
      <c r="P4230" s="17"/>
      <c r="Q4230" s="22"/>
      <c r="R4230" s="23"/>
    </row>
    <row r="4231" spans="1:18" ht="12.75">
      <c r="A4231" s="22"/>
      <c r="D4231" s="19"/>
      <c r="H4231" s="18"/>
      <c r="J4231" s="18"/>
      <c r="N4231" s="16"/>
      <c r="O4231" s="17"/>
      <c r="P4231" s="17"/>
      <c r="Q4231" s="22"/>
      <c r="R4231" s="23"/>
    </row>
    <row r="4232" spans="1:18" ht="12.75">
      <c r="A4232" s="22"/>
      <c r="D4232" s="19"/>
      <c r="H4232" s="18"/>
      <c r="J4232" s="18"/>
      <c r="N4232" s="16"/>
      <c r="O4232" s="17"/>
      <c r="P4232" s="17"/>
      <c r="Q4232" s="22"/>
      <c r="R4232" s="23"/>
    </row>
    <row r="4233" spans="1:18" ht="12.75">
      <c r="A4233" s="22"/>
      <c r="D4233" s="19"/>
      <c r="H4233" s="18"/>
      <c r="J4233" s="18"/>
      <c r="N4233" s="16"/>
      <c r="O4233" s="17"/>
      <c r="P4233" s="17"/>
      <c r="Q4233" s="22"/>
      <c r="R4233" s="23"/>
    </row>
    <row r="4234" spans="1:18" ht="12.75">
      <c r="A4234" s="22"/>
      <c r="D4234" s="19"/>
      <c r="H4234" s="18"/>
      <c r="J4234" s="18"/>
      <c r="N4234" s="16"/>
      <c r="O4234" s="17"/>
      <c r="P4234" s="17"/>
      <c r="Q4234" s="22"/>
      <c r="R4234" s="23"/>
    </row>
    <row r="4235" spans="1:18" ht="12.75">
      <c r="A4235" s="22"/>
      <c r="D4235" s="19"/>
      <c r="H4235" s="18"/>
      <c r="J4235" s="18"/>
      <c r="N4235" s="16"/>
      <c r="O4235" s="17"/>
      <c r="P4235" s="17"/>
      <c r="Q4235" s="22"/>
      <c r="R4235" s="23"/>
    </row>
    <row r="4236" spans="1:18" ht="12.75">
      <c r="A4236" s="22"/>
      <c r="D4236" s="19"/>
      <c r="H4236" s="18"/>
      <c r="J4236" s="18"/>
      <c r="N4236" s="16"/>
      <c r="O4236" s="17"/>
      <c r="P4236" s="17"/>
      <c r="Q4236" s="22"/>
      <c r="R4236" s="23"/>
    </row>
    <row r="4237" spans="1:18" ht="12.75">
      <c r="A4237" s="22"/>
      <c r="D4237" s="19"/>
      <c r="H4237" s="18"/>
      <c r="J4237" s="18"/>
      <c r="N4237" s="16"/>
      <c r="O4237" s="17"/>
      <c r="P4237" s="17"/>
      <c r="Q4237" s="22"/>
      <c r="R4237" s="23"/>
    </row>
    <row r="4238" spans="1:18" ht="12.75">
      <c r="A4238" s="22"/>
      <c r="D4238" s="19"/>
      <c r="H4238" s="18"/>
      <c r="J4238" s="18"/>
      <c r="N4238" s="16"/>
      <c r="O4238" s="17"/>
      <c r="P4238" s="17"/>
      <c r="Q4238" s="22"/>
      <c r="R4238" s="23"/>
    </row>
    <row r="4239" spans="1:18" ht="12.75">
      <c r="A4239" s="22"/>
      <c r="D4239" s="19"/>
      <c r="H4239" s="18"/>
      <c r="J4239" s="18"/>
      <c r="N4239" s="16"/>
      <c r="O4239" s="17"/>
      <c r="P4239" s="17"/>
      <c r="Q4239" s="22"/>
      <c r="R4239" s="23"/>
    </row>
    <row r="4240" spans="1:18" ht="12.75">
      <c r="A4240" s="22"/>
      <c r="D4240" s="19"/>
      <c r="H4240" s="18"/>
      <c r="J4240" s="18"/>
      <c r="N4240" s="16"/>
      <c r="O4240" s="17"/>
      <c r="P4240" s="17"/>
      <c r="Q4240" s="22"/>
      <c r="R4240" s="23"/>
    </row>
    <row r="4241" spans="1:18" ht="12.75">
      <c r="A4241" s="22"/>
      <c r="D4241" s="19"/>
      <c r="H4241" s="18"/>
      <c r="J4241" s="18"/>
      <c r="N4241" s="16"/>
      <c r="O4241" s="17"/>
      <c r="P4241" s="17"/>
      <c r="Q4241" s="22"/>
      <c r="R4241" s="23"/>
    </row>
    <row r="4242" spans="1:18" ht="12.75">
      <c r="A4242" s="22"/>
      <c r="D4242" s="19"/>
      <c r="H4242" s="18"/>
      <c r="J4242" s="18"/>
      <c r="N4242" s="16"/>
      <c r="O4242" s="17"/>
      <c r="P4242" s="17"/>
      <c r="Q4242" s="22"/>
      <c r="R4242" s="23"/>
    </row>
    <row r="4243" spans="1:18" ht="12.75">
      <c r="A4243" s="22"/>
      <c r="D4243" s="19"/>
      <c r="H4243" s="18"/>
      <c r="J4243" s="18"/>
      <c r="N4243" s="16"/>
      <c r="O4243" s="17"/>
      <c r="P4243" s="17"/>
      <c r="Q4243" s="22"/>
      <c r="R4243" s="23"/>
    </row>
    <row r="4244" spans="1:18" ht="12.75">
      <c r="A4244" s="22"/>
      <c r="D4244" s="19"/>
      <c r="H4244" s="18"/>
      <c r="J4244" s="18"/>
      <c r="N4244" s="16"/>
      <c r="O4244" s="17"/>
      <c r="P4244" s="17"/>
      <c r="Q4244" s="22"/>
      <c r="R4244" s="23"/>
    </row>
    <row r="4245" spans="1:18" ht="12.75">
      <c r="A4245" s="22"/>
      <c r="D4245" s="19"/>
      <c r="H4245" s="18"/>
      <c r="J4245" s="18"/>
      <c r="N4245" s="16"/>
      <c r="O4245" s="17"/>
      <c r="P4245" s="17"/>
      <c r="Q4245" s="22"/>
      <c r="R4245" s="23"/>
    </row>
    <row r="4246" spans="1:18" ht="12.75">
      <c r="A4246" s="22"/>
      <c r="D4246" s="19"/>
      <c r="H4246" s="18"/>
      <c r="J4246" s="18"/>
      <c r="N4246" s="16"/>
      <c r="O4246" s="17"/>
      <c r="P4246" s="17"/>
      <c r="Q4246" s="22"/>
      <c r="R4246" s="23"/>
    </row>
    <row r="4247" spans="1:18" ht="12.75">
      <c r="A4247" s="22"/>
      <c r="D4247" s="19"/>
      <c r="H4247" s="18"/>
      <c r="J4247" s="18"/>
      <c r="N4247" s="16"/>
      <c r="O4247" s="17"/>
      <c r="P4247" s="17"/>
      <c r="Q4247" s="22"/>
      <c r="R4247" s="23"/>
    </row>
    <row r="4248" spans="1:18" ht="12.75">
      <c r="A4248" s="22"/>
      <c r="D4248" s="19"/>
      <c r="H4248" s="18"/>
      <c r="J4248" s="18"/>
      <c r="N4248" s="16"/>
      <c r="O4248" s="17"/>
      <c r="P4248" s="17"/>
      <c r="Q4248" s="22"/>
      <c r="R4248" s="23"/>
    </row>
    <row r="4249" spans="1:18" ht="12.75">
      <c r="A4249" s="22"/>
      <c r="D4249" s="19"/>
      <c r="H4249" s="18"/>
      <c r="J4249" s="18"/>
      <c r="N4249" s="16"/>
      <c r="O4249" s="17"/>
      <c r="P4249" s="17"/>
      <c r="Q4249" s="22"/>
      <c r="R4249" s="23"/>
    </row>
    <row r="4250" spans="1:18" ht="12.75">
      <c r="A4250" s="22"/>
      <c r="D4250" s="19"/>
      <c r="H4250" s="18"/>
      <c r="J4250" s="18"/>
      <c r="N4250" s="16"/>
      <c r="O4250" s="17"/>
      <c r="P4250" s="17"/>
      <c r="Q4250" s="22"/>
      <c r="R4250" s="23"/>
    </row>
    <row r="4251" spans="1:18" ht="12.75">
      <c r="A4251" s="22"/>
      <c r="D4251" s="19"/>
      <c r="H4251" s="18"/>
      <c r="J4251" s="18"/>
      <c r="N4251" s="16"/>
      <c r="O4251" s="17"/>
      <c r="P4251" s="17"/>
      <c r="Q4251" s="22"/>
      <c r="R4251" s="23"/>
    </row>
    <row r="4252" spans="1:18" ht="12.75">
      <c r="A4252" s="22"/>
      <c r="D4252" s="19"/>
      <c r="H4252" s="18"/>
      <c r="J4252" s="18"/>
      <c r="N4252" s="16"/>
      <c r="O4252" s="17"/>
      <c r="P4252" s="17"/>
      <c r="Q4252" s="22"/>
      <c r="R4252" s="23"/>
    </row>
    <row r="4253" spans="1:18" ht="12.75">
      <c r="A4253" s="22"/>
      <c r="D4253" s="19"/>
      <c r="H4253" s="18"/>
      <c r="J4253" s="18"/>
      <c r="N4253" s="16"/>
      <c r="O4253" s="17"/>
      <c r="P4253" s="17"/>
      <c r="Q4253" s="22"/>
      <c r="R4253" s="23"/>
    </row>
    <row r="4254" spans="1:18" ht="12.75">
      <c r="A4254" s="22"/>
      <c r="D4254" s="19"/>
      <c r="H4254" s="18"/>
      <c r="J4254" s="18"/>
      <c r="N4254" s="16"/>
      <c r="O4254" s="17"/>
      <c r="P4254" s="17"/>
      <c r="Q4254" s="22"/>
      <c r="R4254" s="23"/>
    </row>
    <row r="4255" spans="1:18" ht="12.75">
      <c r="A4255" s="22"/>
      <c r="D4255" s="19"/>
      <c r="H4255" s="18"/>
      <c r="J4255" s="18"/>
      <c r="N4255" s="16"/>
      <c r="O4255" s="17"/>
      <c r="P4255" s="17"/>
      <c r="Q4255" s="22"/>
      <c r="R4255" s="23"/>
    </row>
    <row r="4256" spans="1:18" ht="12.75">
      <c r="A4256" s="22"/>
      <c r="D4256" s="19"/>
      <c r="H4256" s="18"/>
      <c r="J4256" s="18"/>
      <c r="N4256" s="16"/>
      <c r="O4256" s="17"/>
      <c r="P4256" s="17"/>
      <c r="Q4256" s="22"/>
      <c r="R4256" s="23"/>
    </row>
    <row r="4257" spans="1:18" ht="12.75">
      <c r="A4257" s="22"/>
      <c r="D4257" s="19"/>
      <c r="H4257" s="18"/>
      <c r="J4257" s="18"/>
      <c r="N4257" s="16"/>
      <c r="O4257" s="17"/>
      <c r="P4257" s="17"/>
      <c r="Q4257" s="22"/>
      <c r="R4257" s="23"/>
    </row>
    <row r="4258" spans="1:18" ht="12.75">
      <c r="A4258" s="22"/>
      <c r="D4258" s="19"/>
      <c r="H4258" s="18"/>
      <c r="J4258" s="18"/>
      <c r="N4258" s="16"/>
      <c r="O4258" s="17"/>
      <c r="P4258" s="17"/>
      <c r="Q4258" s="22"/>
      <c r="R4258" s="23"/>
    </row>
    <row r="4259" spans="1:18" ht="12.75">
      <c r="A4259" s="22"/>
      <c r="D4259" s="19"/>
      <c r="H4259" s="18"/>
      <c r="J4259" s="18"/>
      <c r="N4259" s="16"/>
      <c r="O4259" s="17"/>
      <c r="P4259" s="17"/>
      <c r="Q4259" s="22"/>
      <c r="R4259" s="23"/>
    </row>
    <row r="4260" spans="1:18" ht="12.75">
      <c r="A4260" s="22"/>
      <c r="D4260" s="19"/>
      <c r="H4260" s="18"/>
      <c r="J4260" s="18"/>
      <c r="N4260" s="16"/>
      <c r="O4260" s="17"/>
      <c r="P4260" s="17"/>
      <c r="Q4260" s="22"/>
      <c r="R4260" s="23"/>
    </row>
    <row r="4261" spans="1:18" ht="12.75">
      <c r="A4261" s="22"/>
      <c r="D4261" s="19"/>
      <c r="H4261" s="18"/>
      <c r="J4261" s="18"/>
      <c r="N4261" s="16"/>
      <c r="O4261" s="17"/>
      <c r="P4261" s="17"/>
      <c r="Q4261" s="22"/>
      <c r="R4261" s="23"/>
    </row>
    <row r="4262" spans="1:18" ht="12.75">
      <c r="A4262" s="22"/>
      <c r="D4262" s="19"/>
      <c r="H4262" s="18"/>
      <c r="J4262" s="18"/>
      <c r="N4262" s="16"/>
      <c r="O4262" s="17"/>
      <c r="P4262" s="17"/>
      <c r="Q4262" s="22"/>
      <c r="R4262" s="23"/>
    </row>
    <row r="4263" spans="1:18" ht="12.75">
      <c r="A4263" s="22"/>
      <c r="D4263" s="19"/>
      <c r="H4263" s="18"/>
      <c r="J4263" s="18"/>
      <c r="N4263" s="16"/>
      <c r="O4263" s="17"/>
      <c r="P4263" s="17"/>
      <c r="Q4263" s="22"/>
      <c r="R4263" s="23"/>
    </row>
    <row r="4264" spans="1:18" ht="12.75">
      <c r="A4264" s="22"/>
      <c r="D4264" s="19"/>
      <c r="H4264" s="18"/>
      <c r="J4264" s="18"/>
      <c r="N4264" s="16"/>
      <c r="O4264" s="17"/>
      <c r="P4264" s="17"/>
      <c r="Q4264" s="22"/>
      <c r="R4264" s="23"/>
    </row>
    <row r="4265" spans="1:18" ht="12.75">
      <c r="A4265" s="22"/>
      <c r="D4265" s="19"/>
      <c r="H4265" s="18"/>
      <c r="J4265" s="18"/>
      <c r="N4265" s="16"/>
      <c r="O4265" s="17"/>
      <c r="P4265" s="17"/>
      <c r="Q4265" s="22"/>
      <c r="R4265" s="23"/>
    </row>
    <row r="4266" spans="1:18" ht="12.75">
      <c r="A4266" s="22"/>
      <c r="D4266" s="19"/>
      <c r="H4266" s="18"/>
      <c r="J4266" s="18"/>
      <c r="N4266" s="16"/>
      <c r="O4266" s="17"/>
      <c r="P4266" s="17"/>
      <c r="Q4266" s="22"/>
      <c r="R4266" s="23"/>
    </row>
    <row r="4267" spans="1:18" ht="12.75">
      <c r="A4267" s="22"/>
      <c r="D4267" s="19"/>
      <c r="H4267" s="18"/>
      <c r="J4267" s="18"/>
      <c r="N4267" s="16"/>
      <c r="O4267" s="17"/>
      <c r="P4267" s="17"/>
      <c r="Q4267" s="22"/>
      <c r="R4267" s="23"/>
    </row>
    <row r="4268" spans="1:18" ht="12.75">
      <c r="A4268" s="22"/>
      <c r="D4268" s="19"/>
      <c r="H4268" s="18"/>
      <c r="J4268" s="18"/>
      <c r="N4268" s="16"/>
      <c r="O4268" s="17"/>
      <c r="P4268" s="17"/>
      <c r="Q4268" s="22"/>
      <c r="R4268" s="23"/>
    </row>
    <row r="4269" spans="1:18" ht="12.75">
      <c r="A4269" s="22"/>
      <c r="D4269" s="19"/>
      <c r="H4269" s="18"/>
      <c r="J4269" s="18"/>
      <c r="N4269" s="16"/>
      <c r="O4269" s="17"/>
      <c r="P4269" s="17"/>
      <c r="Q4269" s="22"/>
      <c r="R4269" s="23"/>
    </row>
    <row r="4270" spans="1:18" ht="12.75">
      <c r="A4270" s="22"/>
      <c r="D4270" s="19"/>
      <c r="H4270" s="18"/>
      <c r="J4270" s="18"/>
      <c r="N4270" s="16"/>
      <c r="O4270" s="17"/>
      <c r="P4270" s="17"/>
      <c r="Q4270" s="22"/>
      <c r="R4270" s="23"/>
    </row>
    <row r="4271" spans="1:18" ht="12.75">
      <c r="A4271" s="22"/>
      <c r="D4271" s="19"/>
      <c r="H4271" s="18"/>
      <c r="J4271" s="18"/>
      <c r="N4271" s="16"/>
      <c r="O4271" s="17"/>
      <c r="P4271" s="17"/>
      <c r="Q4271" s="22"/>
      <c r="R4271" s="23"/>
    </row>
    <row r="4272" spans="1:18" ht="12.75">
      <c r="A4272" s="22"/>
      <c r="D4272" s="19"/>
      <c r="H4272" s="18"/>
      <c r="J4272" s="18"/>
      <c r="N4272" s="16"/>
      <c r="O4272" s="17"/>
      <c r="P4272" s="17"/>
      <c r="Q4272" s="22"/>
      <c r="R4272" s="23"/>
    </row>
    <row r="4273" spans="1:18" ht="12.75">
      <c r="A4273" s="22"/>
      <c r="D4273" s="19"/>
      <c r="H4273" s="18"/>
      <c r="J4273" s="18"/>
      <c r="N4273" s="16"/>
      <c r="O4273" s="17"/>
      <c r="P4273" s="17"/>
      <c r="Q4273" s="22"/>
      <c r="R4273" s="23"/>
    </row>
    <row r="4274" spans="1:18" ht="12.75">
      <c r="A4274" s="22"/>
      <c r="D4274" s="19"/>
      <c r="H4274" s="18"/>
      <c r="J4274" s="18"/>
      <c r="N4274" s="16"/>
      <c r="O4274" s="17"/>
      <c r="P4274" s="17"/>
      <c r="Q4274" s="22"/>
      <c r="R4274" s="23"/>
    </row>
    <row r="4275" spans="1:18" ht="12.75">
      <c r="A4275" s="22"/>
      <c r="D4275" s="19"/>
      <c r="H4275" s="18"/>
      <c r="J4275" s="18"/>
      <c r="N4275" s="16"/>
      <c r="O4275" s="17"/>
      <c r="P4275" s="17"/>
      <c r="Q4275" s="22"/>
      <c r="R4275" s="23"/>
    </row>
    <row r="4276" spans="1:18" ht="12.75">
      <c r="A4276" s="22"/>
      <c r="D4276" s="19"/>
      <c r="H4276" s="18"/>
      <c r="J4276" s="18"/>
      <c r="N4276" s="16"/>
      <c r="O4276" s="17"/>
      <c r="P4276" s="17"/>
      <c r="Q4276" s="22"/>
      <c r="R4276" s="23"/>
    </row>
    <row r="4277" spans="1:18" ht="12.75">
      <c r="A4277" s="22"/>
      <c r="D4277" s="19"/>
      <c r="H4277" s="18"/>
      <c r="J4277" s="18"/>
      <c r="N4277" s="16"/>
      <c r="O4277" s="17"/>
      <c r="P4277" s="17"/>
      <c r="Q4277" s="22"/>
      <c r="R4277" s="23"/>
    </row>
    <row r="4278" spans="1:18" ht="12.75">
      <c r="A4278" s="22"/>
      <c r="D4278" s="19"/>
      <c r="H4278" s="18"/>
      <c r="J4278" s="18"/>
      <c r="N4278" s="16"/>
      <c r="O4278" s="17"/>
      <c r="P4278" s="17"/>
      <c r="Q4278" s="22"/>
      <c r="R4278" s="23"/>
    </row>
    <row r="4279" spans="1:18" ht="12.75">
      <c r="A4279" s="22"/>
      <c r="D4279" s="19"/>
      <c r="H4279" s="18"/>
      <c r="J4279" s="18"/>
      <c r="N4279" s="16"/>
      <c r="O4279" s="17"/>
      <c r="P4279" s="17"/>
      <c r="Q4279" s="22"/>
      <c r="R4279" s="23"/>
    </row>
    <row r="4280" spans="1:18" ht="12.75">
      <c r="A4280" s="22"/>
      <c r="D4280" s="19"/>
      <c r="H4280" s="18"/>
      <c r="J4280" s="18"/>
      <c r="N4280" s="16"/>
      <c r="O4280" s="17"/>
      <c r="P4280" s="17"/>
      <c r="Q4280" s="22"/>
      <c r="R4280" s="23"/>
    </row>
    <row r="4281" spans="1:18" ht="12.75">
      <c r="A4281" s="22"/>
      <c r="D4281" s="19"/>
      <c r="H4281" s="18"/>
      <c r="J4281" s="18"/>
      <c r="N4281" s="16"/>
      <c r="O4281" s="17"/>
      <c r="P4281" s="17"/>
      <c r="Q4281" s="22"/>
      <c r="R4281" s="23"/>
    </row>
    <row r="4282" spans="1:18" ht="12.75">
      <c r="A4282" s="22"/>
      <c r="D4282" s="19"/>
      <c r="H4282" s="18"/>
      <c r="J4282" s="18"/>
      <c r="N4282" s="16"/>
      <c r="O4282" s="17"/>
      <c r="P4282" s="17"/>
      <c r="Q4282" s="22"/>
      <c r="R4282" s="23"/>
    </row>
    <row r="4283" spans="1:18" ht="12.75">
      <c r="A4283" s="22"/>
      <c r="D4283" s="19"/>
      <c r="H4283" s="18"/>
      <c r="J4283" s="18"/>
      <c r="N4283" s="16"/>
      <c r="O4283" s="17"/>
      <c r="P4283" s="17"/>
      <c r="Q4283" s="22"/>
      <c r="R4283" s="23"/>
    </row>
    <row r="4284" spans="1:18" ht="12.75">
      <c r="A4284" s="22"/>
      <c r="D4284" s="19"/>
      <c r="H4284" s="18"/>
      <c r="J4284" s="18"/>
      <c r="N4284" s="16"/>
      <c r="O4284" s="17"/>
      <c r="P4284" s="17"/>
      <c r="Q4284" s="22"/>
      <c r="R4284" s="23"/>
    </row>
    <row r="4285" spans="1:18" ht="12.75">
      <c r="A4285" s="22"/>
      <c r="D4285" s="19"/>
      <c r="H4285" s="18"/>
      <c r="J4285" s="18"/>
      <c r="N4285" s="16"/>
      <c r="O4285" s="17"/>
      <c r="P4285" s="17"/>
      <c r="Q4285" s="22"/>
      <c r="R4285" s="23"/>
    </row>
    <row r="4286" spans="1:18" ht="12.75">
      <c r="A4286" s="22"/>
      <c r="D4286" s="19"/>
      <c r="H4286" s="18"/>
      <c r="J4286" s="18"/>
      <c r="N4286" s="16"/>
      <c r="O4286" s="17"/>
      <c r="P4286" s="17"/>
      <c r="Q4286" s="22"/>
      <c r="R4286" s="23"/>
    </row>
    <row r="4287" spans="1:18" ht="12.75">
      <c r="A4287" s="22"/>
      <c r="D4287" s="19"/>
      <c r="H4287" s="18"/>
      <c r="J4287" s="18"/>
      <c r="N4287" s="16"/>
      <c r="O4287" s="17"/>
      <c r="P4287" s="17"/>
      <c r="Q4287" s="22"/>
      <c r="R4287" s="23"/>
    </row>
    <row r="4288" spans="1:18" ht="12.75">
      <c r="A4288" s="22"/>
      <c r="D4288" s="19"/>
      <c r="H4288" s="18"/>
      <c r="J4288" s="18"/>
      <c r="N4288" s="16"/>
      <c r="O4288" s="17"/>
      <c r="P4288" s="17"/>
      <c r="Q4288" s="22"/>
      <c r="R4288" s="23"/>
    </row>
    <row r="4289" spans="1:18" ht="12.75">
      <c r="A4289" s="22"/>
      <c r="D4289" s="19"/>
      <c r="H4289" s="18"/>
      <c r="J4289" s="18"/>
      <c r="N4289" s="16"/>
      <c r="O4289" s="17"/>
      <c r="P4289" s="17"/>
      <c r="Q4289" s="22"/>
      <c r="R4289" s="23"/>
    </row>
    <row r="4290" spans="1:18" ht="12.75">
      <c r="A4290" s="22"/>
      <c r="D4290" s="19"/>
      <c r="H4290" s="18"/>
      <c r="J4290" s="18"/>
      <c r="N4290" s="16"/>
      <c r="O4290" s="17"/>
      <c r="P4290" s="17"/>
      <c r="Q4290" s="22"/>
      <c r="R4290" s="23"/>
    </row>
    <row r="4291" spans="1:18" ht="12.75">
      <c r="A4291" s="22"/>
      <c r="D4291" s="19"/>
      <c r="H4291" s="18"/>
      <c r="J4291" s="18"/>
      <c r="N4291" s="16"/>
      <c r="O4291" s="17"/>
      <c r="P4291" s="17"/>
      <c r="Q4291" s="22"/>
      <c r="R4291" s="23"/>
    </row>
    <row r="4292" spans="1:18" ht="12.75">
      <c r="A4292" s="22"/>
      <c r="D4292" s="19"/>
      <c r="H4292" s="18"/>
      <c r="J4292" s="18"/>
      <c r="N4292" s="16"/>
      <c r="O4292" s="17"/>
      <c r="P4292" s="17"/>
      <c r="Q4292" s="22"/>
      <c r="R4292" s="23"/>
    </row>
    <row r="4293" spans="1:18" ht="12.75">
      <c r="A4293" s="22"/>
      <c r="D4293" s="19"/>
      <c r="H4293" s="18"/>
      <c r="J4293" s="18"/>
      <c r="N4293" s="16"/>
      <c r="O4293" s="17"/>
      <c r="P4293" s="17"/>
      <c r="Q4293" s="22"/>
      <c r="R4293" s="23"/>
    </row>
    <row r="4294" spans="1:18" ht="12.75">
      <c r="A4294" s="22"/>
      <c r="D4294" s="19"/>
      <c r="H4294" s="18"/>
      <c r="J4294" s="18"/>
      <c r="N4294" s="16"/>
      <c r="O4294" s="17"/>
      <c r="P4294" s="17"/>
      <c r="Q4294" s="22"/>
      <c r="R4294" s="23"/>
    </row>
    <row r="4295" spans="1:18" ht="12.75">
      <c r="A4295" s="22"/>
      <c r="D4295" s="19"/>
      <c r="H4295" s="18"/>
      <c r="J4295" s="18"/>
      <c r="N4295" s="16"/>
      <c r="O4295" s="17"/>
      <c r="P4295" s="17"/>
      <c r="Q4295" s="22"/>
      <c r="R4295" s="23"/>
    </row>
    <row r="4296" spans="1:18" ht="12.75">
      <c r="A4296" s="22"/>
      <c r="D4296" s="19"/>
      <c r="H4296" s="18"/>
      <c r="J4296" s="18"/>
      <c r="N4296" s="16"/>
      <c r="O4296" s="17"/>
      <c r="P4296" s="17"/>
      <c r="Q4296" s="22"/>
      <c r="R4296" s="23"/>
    </row>
    <row r="4297" spans="1:18" ht="12.75">
      <c r="A4297" s="22"/>
      <c r="D4297" s="19"/>
      <c r="H4297" s="18"/>
      <c r="J4297" s="18"/>
      <c r="N4297" s="16"/>
      <c r="O4297" s="17"/>
      <c r="P4297" s="17"/>
      <c r="Q4297" s="22"/>
      <c r="R4297" s="23"/>
    </row>
    <row r="4298" spans="1:18" ht="12.75">
      <c r="A4298" s="22"/>
      <c r="D4298" s="19"/>
      <c r="H4298" s="18"/>
      <c r="J4298" s="18"/>
      <c r="N4298" s="16"/>
      <c r="O4298" s="17"/>
      <c r="P4298" s="17"/>
      <c r="Q4298" s="22"/>
      <c r="R4298" s="23"/>
    </row>
    <row r="4299" spans="1:18" ht="12.75">
      <c r="A4299" s="22"/>
      <c r="D4299" s="19"/>
      <c r="H4299" s="18"/>
      <c r="J4299" s="18"/>
      <c r="N4299" s="16"/>
      <c r="O4299" s="17"/>
      <c r="P4299" s="17"/>
      <c r="Q4299" s="22"/>
      <c r="R4299" s="23"/>
    </row>
    <row r="4300" spans="1:18" ht="12.75">
      <c r="A4300" s="22"/>
      <c r="D4300" s="19"/>
      <c r="H4300" s="18"/>
      <c r="J4300" s="18"/>
      <c r="N4300" s="16"/>
      <c r="O4300" s="17"/>
      <c r="P4300" s="17"/>
      <c r="Q4300" s="22"/>
      <c r="R4300" s="23"/>
    </row>
    <row r="4301" spans="1:18" ht="12.75">
      <c r="A4301" s="22"/>
      <c r="D4301" s="19"/>
      <c r="H4301" s="18"/>
      <c r="J4301" s="18"/>
      <c r="N4301" s="16"/>
      <c r="O4301" s="17"/>
      <c r="P4301" s="17"/>
      <c r="Q4301" s="22"/>
      <c r="R4301" s="23"/>
    </row>
    <row r="4302" spans="1:18" ht="12.75">
      <c r="A4302" s="22"/>
      <c r="D4302" s="19"/>
      <c r="H4302" s="18"/>
      <c r="J4302" s="18"/>
      <c r="N4302" s="16"/>
      <c r="O4302" s="17"/>
      <c r="P4302" s="17"/>
      <c r="Q4302" s="22"/>
      <c r="R4302" s="23"/>
    </row>
    <row r="4303" spans="1:18" ht="12.75">
      <c r="A4303" s="22"/>
      <c r="D4303" s="19"/>
      <c r="H4303" s="18"/>
      <c r="J4303" s="18"/>
      <c r="N4303" s="16"/>
      <c r="O4303" s="17"/>
      <c r="P4303" s="17"/>
      <c r="Q4303" s="22"/>
      <c r="R4303" s="23"/>
    </row>
    <row r="4304" spans="1:18" ht="12.75">
      <c r="A4304" s="22"/>
      <c r="D4304" s="19"/>
      <c r="H4304" s="18"/>
      <c r="J4304" s="18"/>
      <c r="N4304" s="16"/>
      <c r="O4304" s="17"/>
      <c r="P4304" s="17"/>
      <c r="Q4304" s="22"/>
      <c r="R4304" s="23"/>
    </row>
    <row r="4305" spans="1:18" ht="12.75">
      <c r="A4305" s="22"/>
      <c r="D4305" s="19"/>
      <c r="H4305" s="18"/>
      <c r="J4305" s="18"/>
      <c r="N4305" s="16"/>
      <c r="O4305" s="17"/>
      <c r="P4305" s="17"/>
      <c r="Q4305" s="22"/>
      <c r="R4305" s="23"/>
    </row>
    <row r="4306" spans="1:18" ht="12.75">
      <c r="A4306" s="22"/>
      <c r="D4306" s="19"/>
      <c r="H4306" s="18"/>
      <c r="J4306" s="18"/>
      <c r="N4306" s="16"/>
      <c r="O4306" s="17"/>
      <c r="P4306" s="17"/>
      <c r="Q4306" s="22"/>
      <c r="R4306" s="23"/>
    </row>
    <row r="4307" spans="1:18" ht="12.75">
      <c r="A4307" s="22"/>
      <c r="D4307" s="19"/>
      <c r="H4307" s="18"/>
      <c r="J4307" s="18"/>
      <c r="N4307" s="16"/>
      <c r="O4307" s="17"/>
      <c r="P4307" s="17"/>
      <c r="Q4307" s="22"/>
      <c r="R4307" s="23"/>
    </row>
    <row r="4308" spans="1:18" ht="12.75">
      <c r="A4308" s="22"/>
      <c r="D4308" s="19"/>
      <c r="H4308" s="18"/>
      <c r="J4308" s="18"/>
      <c r="N4308" s="16"/>
      <c r="O4308" s="17"/>
      <c r="P4308" s="17"/>
      <c r="Q4308" s="22"/>
      <c r="R4308" s="23"/>
    </row>
    <row r="4309" spans="1:18" ht="12.75">
      <c r="A4309" s="22"/>
      <c r="D4309" s="19"/>
      <c r="H4309" s="18"/>
      <c r="J4309" s="18"/>
      <c r="N4309" s="16"/>
      <c r="O4309" s="17"/>
      <c r="P4309" s="17"/>
      <c r="Q4309" s="22"/>
      <c r="R4309" s="23"/>
    </row>
    <row r="4310" spans="1:18" ht="12.75">
      <c r="A4310" s="22"/>
      <c r="D4310" s="19"/>
      <c r="H4310" s="18"/>
      <c r="J4310" s="18"/>
      <c r="N4310" s="16"/>
      <c r="O4310" s="17"/>
      <c r="P4310" s="17"/>
      <c r="Q4310" s="22"/>
      <c r="R4310" s="23"/>
    </row>
    <row r="4311" spans="1:18" ht="12.75">
      <c r="A4311" s="22"/>
      <c r="D4311" s="19"/>
      <c r="H4311" s="18"/>
      <c r="J4311" s="18"/>
      <c r="N4311" s="16"/>
      <c r="O4311" s="17"/>
      <c r="P4311" s="17"/>
      <c r="Q4311" s="22"/>
      <c r="R4311" s="23"/>
    </row>
    <row r="4312" spans="1:18" ht="12.75">
      <c r="A4312" s="22"/>
      <c r="D4312" s="19"/>
      <c r="H4312" s="18"/>
      <c r="J4312" s="18"/>
      <c r="N4312" s="16"/>
      <c r="O4312" s="17"/>
      <c r="P4312" s="17"/>
      <c r="Q4312" s="22"/>
      <c r="R4312" s="23"/>
    </row>
    <row r="4313" spans="1:18" ht="12.75">
      <c r="A4313" s="22"/>
      <c r="D4313" s="19"/>
      <c r="H4313" s="18"/>
      <c r="J4313" s="18"/>
      <c r="N4313" s="16"/>
      <c r="O4313" s="17"/>
      <c r="P4313" s="17"/>
      <c r="Q4313" s="22"/>
      <c r="R4313" s="23"/>
    </row>
    <row r="4314" spans="1:18" ht="12.75">
      <c r="A4314" s="22"/>
      <c r="D4314" s="19"/>
      <c r="H4314" s="18"/>
      <c r="J4314" s="18"/>
      <c r="N4314" s="16"/>
      <c r="O4314" s="17"/>
      <c r="P4314" s="17"/>
      <c r="Q4314" s="22"/>
      <c r="R4314" s="23"/>
    </row>
    <row r="4315" spans="1:18" ht="12.75">
      <c r="A4315" s="22"/>
      <c r="D4315" s="19"/>
      <c r="H4315" s="18"/>
      <c r="J4315" s="18"/>
      <c r="N4315" s="16"/>
      <c r="O4315" s="17"/>
      <c r="P4315" s="17"/>
      <c r="Q4315" s="22"/>
      <c r="R4315" s="23"/>
    </row>
    <row r="4316" spans="1:18" ht="12.75">
      <c r="A4316" s="22"/>
      <c r="D4316" s="19"/>
      <c r="H4316" s="18"/>
      <c r="J4316" s="18"/>
      <c r="N4316" s="16"/>
      <c r="O4316" s="17"/>
      <c r="P4316" s="17"/>
      <c r="Q4316" s="22"/>
      <c r="R4316" s="23"/>
    </row>
    <row r="4317" spans="1:18" ht="12.75">
      <c r="A4317" s="22"/>
      <c r="D4317" s="19"/>
      <c r="H4317" s="18"/>
      <c r="J4317" s="18"/>
      <c r="N4317" s="16"/>
      <c r="O4317" s="17"/>
      <c r="P4317" s="17"/>
      <c r="Q4317" s="22"/>
      <c r="R4317" s="23"/>
    </row>
    <row r="4318" spans="1:18" ht="12.75">
      <c r="A4318" s="22"/>
      <c r="D4318" s="19"/>
      <c r="H4318" s="18"/>
      <c r="J4318" s="18"/>
      <c r="N4318" s="16"/>
      <c r="O4318" s="17"/>
      <c r="P4318" s="17"/>
      <c r="Q4318" s="22"/>
      <c r="R4318" s="23"/>
    </row>
    <row r="4319" spans="1:18" ht="12.75">
      <c r="A4319" s="22"/>
      <c r="D4319" s="19"/>
      <c r="H4319" s="18"/>
      <c r="J4319" s="18"/>
      <c r="N4319" s="16"/>
      <c r="O4319" s="17"/>
      <c r="P4319" s="17"/>
      <c r="Q4319" s="22"/>
      <c r="R4319" s="23"/>
    </row>
    <row r="4320" spans="1:18" ht="12.75">
      <c r="A4320" s="22"/>
      <c r="D4320" s="19"/>
      <c r="H4320" s="18"/>
      <c r="J4320" s="18"/>
      <c r="N4320" s="16"/>
      <c r="O4320" s="17"/>
      <c r="P4320" s="17"/>
      <c r="Q4320" s="22"/>
      <c r="R4320" s="23"/>
    </row>
    <row r="4321" spans="1:18" ht="12.75">
      <c r="A4321" s="22"/>
      <c r="D4321" s="19"/>
      <c r="H4321" s="18"/>
      <c r="J4321" s="18"/>
      <c r="N4321" s="16"/>
      <c r="O4321" s="17"/>
      <c r="P4321" s="17"/>
      <c r="Q4321" s="22"/>
      <c r="R4321" s="23"/>
    </row>
    <row r="4322" spans="1:18" ht="12.75">
      <c r="A4322" s="22"/>
      <c r="D4322" s="19"/>
      <c r="H4322" s="18"/>
      <c r="J4322" s="18"/>
      <c r="N4322" s="16"/>
      <c r="O4322" s="17"/>
      <c r="P4322" s="17"/>
      <c r="Q4322" s="22"/>
      <c r="R4322" s="23"/>
    </row>
    <row r="4323" spans="1:18" ht="12.75">
      <c r="A4323" s="22"/>
      <c r="D4323" s="19"/>
      <c r="H4323" s="18"/>
      <c r="J4323" s="18"/>
      <c r="N4323" s="16"/>
      <c r="O4323" s="17"/>
      <c r="P4323" s="17"/>
      <c r="Q4323" s="22"/>
      <c r="R4323" s="23"/>
    </row>
    <row r="4324" spans="1:18" ht="12.75">
      <c r="A4324" s="22"/>
      <c r="D4324" s="19"/>
      <c r="H4324" s="18"/>
      <c r="J4324" s="18"/>
      <c r="N4324" s="16"/>
      <c r="O4324" s="17"/>
      <c r="P4324" s="17"/>
      <c r="Q4324" s="22"/>
      <c r="R4324" s="23"/>
    </row>
    <row r="4325" spans="1:18" ht="12.75">
      <c r="A4325" s="22"/>
      <c r="D4325" s="19"/>
      <c r="H4325" s="18"/>
      <c r="J4325" s="18"/>
      <c r="N4325" s="16"/>
      <c r="O4325" s="17"/>
      <c r="P4325" s="17"/>
      <c r="Q4325" s="22"/>
      <c r="R4325" s="23"/>
    </row>
    <row r="4326" spans="1:18" ht="12.75">
      <c r="A4326" s="22"/>
      <c r="D4326" s="19"/>
      <c r="H4326" s="18"/>
      <c r="J4326" s="18"/>
      <c r="N4326" s="16"/>
      <c r="O4326" s="17"/>
      <c r="P4326" s="17"/>
      <c r="Q4326" s="22"/>
      <c r="R4326" s="23"/>
    </row>
    <row r="4327" spans="1:18" ht="12.75">
      <c r="A4327" s="22"/>
      <c r="D4327" s="19"/>
      <c r="H4327" s="18"/>
      <c r="J4327" s="18"/>
      <c r="N4327" s="16"/>
      <c r="O4327" s="17"/>
      <c r="P4327" s="17"/>
      <c r="Q4327" s="22"/>
      <c r="R4327" s="23"/>
    </row>
    <row r="4328" spans="1:18" ht="12.75">
      <c r="A4328" s="22"/>
      <c r="D4328" s="19"/>
      <c r="H4328" s="18"/>
      <c r="J4328" s="18"/>
      <c r="N4328" s="16"/>
      <c r="O4328" s="17"/>
      <c r="P4328" s="17"/>
      <c r="Q4328" s="22"/>
      <c r="R4328" s="23"/>
    </row>
    <row r="4329" spans="1:18" ht="12.75">
      <c r="A4329" s="22"/>
      <c r="D4329" s="19"/>
      <c r="H4329" s="18"/>
      <c r="J4329" s="18"/>
      <c r="N4329" s="16"/>
      <c r="O4329" s="17"/>
      <c r="P4329" s="17"/>
      <c r="Q4329" s="22"/>
      <c r="R4329" s="23"/>
    </row>
    <row r="4330" spans="1:18" ht="12.75">
      <c r="A4330" s="22"/>
      <c r="D4330" s="19"/>
      <c r="H4330" s="18"/>
      <c r="J4330" s="18"/>
      <c r="N4330" s="16"/>
      <c r="O4330" s="17"/>
      <c r="P4330" s="17"/>
      <c r="Q4330" s="22"/>
      <c r="R4330" s="23"/>
    </row>
    <row r="4331" spans="1:18" ht="12.75">
      <c r="A4331" s="22"/>
      <c r="D4331" s="19"/>
      <c r="H4331" s="18"/>
      <c r="J4331" s="18"/>
      <c r="N4331" s="16"/>
      <c r="O4331" s="17"/>
      <c r="P4331" s="17"/>
      <c r="Q4331" s="22"/>
      <c r="R4331" s="23"/>
    </row>
    <row r="4332" spans="1:18" ht="12.75">
      <c r="A4332" s="22"/>
      <c r="D4332" s="19"/>
      <c r="H4332" s="18"/>
      <c r="J4332" s="18"/>
      <c r="N4332" s="16"/>
      <c r="O4332" s="17"/>
      <c r="P4332" s="17"/>
      <c r="Q4332" s="22"/>
      <c r="R4332" s="23"/>
    </row>
    <row r="4333" spans="1:18" ht="12.75">
      <c r="A4333" s="22"/>
      <c r="D4333" s="19"/>
      <c r="H4333" s="18"/>
      <c r="J4333" s="18"/>
      <c r="N4333" s="16"/>
      <c r="O4333" s="17"/>
      <c r="P4333" s="17"/>
      <c r="Q4333" s="22"/>
      <c r="R4333" s="23"/>
    </row>
    <row r="4334" spans="1:18" ht="12.75">
      <c r="A4334" s="22"/>
      <c r="D4334" s="19"/>
      <c r="H4334" s="18"/>
      <c r="J4334" s="18"/>
      <c r="N4334" s="16"/>
      <c r="O4334" s="17"/>
      <c r="P4334" s="17"/>
      <c r="Q4334" s="22"/>
      <c r="R4334" s="23"/>
    </row>
    <row r="4335" spans="1:18" ht="12.75">
      <c r="A4335" s="22"/>
      <c r="D4335" s="19"/>
      <c r="H4335" s="18"/>
      <c r="J4335" s="18"/>
      <c r="N4335" s="16"/>
      <c r="O4335" s="17"/>
      <c r="P4335" s="17"/>
      <c r="Q4335" s="22"/>
      <c r="R4335" s="23"/>
    </row>
    <row r="4336" spans="1:18" ht="12.75">
      <c r="A4336" s="22"/>
      <c r="D4336" s="19"/>
      <c r="H4336" s="18"/>
      <c r="J4336" s="18"/>
      <c r="N4336" s="16"/>
      <c r="O4336" s="17"/>
      <c r="P4336" s="17"/>
      <c r="Q4336" s="22"/>
      <c r="R4336" s="23"/>
    </row>
    <row r="4337" spans="1:18" ht="12.75">
      <c r="A4337" s="22"/>
      <c r="D4337" s="19"/>
      <c r="H4337" s="18"/>
      <c r="J4337" s="18"/>
      <c r="N4337" s="16"/>
      <c r="O4337" s="17"/>
      <c r="P4337" s="17"/>
      <c r="Q4337" s="22"/>
      <c r="R4337" s="23"/>
    </row>
    <row r="4338" spans="1:18" ht="12.75">
      <c r="A4338" s="22"/>
      <c r="D4338" s="19"/>
      <c r="H4338" s="18"/>
      <c r="J4338" s="18"/>
      <c r="N4338" s="16"/>
      <c r="O4338" s="17"/>
      <c r="P4338" s="17"/>
      <c r="Q4338" s="22"/>
      <c r="R4338" s="23"/>
    </row>
    <row r="4339" spans="1:18" ht="12.75">
      <c r="A4339" s="22"/>
      <c r="D4339" s="19"/>
      <c r="H4339" s="18"/>
      <c r="J4339" s="18"/>
      <c r="N4339" s="16"/>
      <c r="O4339" s="17"/>
      <c r="P4339" s="17"/>
      <c r="Q4339" s="22"/>
      <c r="R4339" s="23"/>
    </row>
    <row r="4340" spans="1:18" ht="12.75">
      <c r="A4340" s="22"/>
      <c r="D4340" s="19"/>
      <c r="H4340" s="18"/>
      <c r="J4340" s="18"/>
      <c r="N4340" s="16"/>
      <c r="O4340" s="17"/>
      <c r="P4340" s="17"/>
      <c r="Q4340" s="22"/>
      <c r="R4340" s="23"/>
    </row>
    <row r="4341" spans="1:18" ht="12.75">
      <c r="A4341" s="22"/>
      <c r="D4341" s="19"/>
      <c r="H4341" s="18"/>
      <c r="J4341" s="18"/>
      <c r="N4341" s="16"/>
      <c r="O4341" s="17"/>
      <c r="P4341" s="17"/>
      <c r="Q4341" s="22"/>
      <c r="R4341" s="23"/>
    </row>
    <row r="4342" spans="1:18" ht="12.75">
      <c r="A4342" s="22"/>
      <c r="D4342" s="19"/>
      <c r="H4342" s="18"/>
      <c r="J4342" s="18"/>
      <c r="N4342" s="16"/>
      <c r="O4342" s="17"/>
      <c r="P4342" s="17"/>
      <c r="Q4342" s="22"/>
      <c r="R4342" s="23"/>
    </row>
    <row r="4343" spans="1:18" ht="12.75">
      <c r="A4343" s="22"/>
      <c r="D4343" s="19"/>
      <c r="H4343" s="18"/>
      <c r="J4343" s="18"/>
      <c r="N4343" s="16"/>
      <c r="O4343" s="17"/>
      <c r="P4343" s="17"/>
      <c r="Q4343" s="22"/>
      <c r="R4343" s="23"/>
    </row>
    <row r="4344" spans="1:18" ht="12.75">
      <c r="A4344" s="22"/>
      <c r="D4344" s="19"/>
      <c r="H4344" s="18"/>
      <c r="J4344" s="18"/>
      <c r="N4344" s="16"/>
      <c r="O4344" s="17"/>
      <c r="P4344" s="17"/>
      <c r="Q4344" s="22"/>
      <c r="R4344" s="23"/>
    </row>
    <row r="4345" spans="1:18" ht="12.75">
      <c r="A4345" s="22"/>
      <c r="D4345" s="19"/>
      <c r="H4345" s="18"/>
      <c r="J4345" s="18"/>
      <c r="N4345" s="16"/>
      <c r="O4345" s="17"/>
      <c r="P4345" s="17"/>
      <c r="Q4345" s="22"/>
      <c r="R4345" s="23"/>
    </row>
    <row r="4346" spans="1:18" ht="12.75">
      <c r="A4346" s="22"/>
      <c r="D4346" s="19"/>
      <c r="H4346" s="18"/>
      <c r="J4346" s="18"/>
      <c r="N4346" s="16"/>
      <c r="O4346" s="17"/>
      <c r="P4346" s="17"/>
      <c r="Q4346" s="22"/>
      <c r="R4346" s="23"/>
    </row>
    <row r="4347" spans="1:18" ht="12.75">
      <c r="A4347" s="22"/>
      <c r="D4347" s="19"/>
      <c r="H4347" s="18"/>
      <c r="J4347" s="18"/>
      <c r="N4347" s="16"/>
      <c r="O4347" s="17"/>
      <c r="P4347" s="17"/>
      <c r="Q4347" s="22"/>
      <c r="R4347" s="23"/>
    </row>
    <row r="4348" spans="1:18" ht="12.75">
      <c r="A4348" s="22"/>
      <c r="D4348" s="19"/>
      <c r="H4348" s="18"/>
      <c r="J4348" s="18"/>
      <c r="N4348" s="16"/>
      <c r="O4348" s="17"/>
      <c r="P4348" s="17"/>
      <c r="Q4348" s="22"/>
      <c r="R4348" s="23"/>
    </row>
    <row r="4349" spans="1:18" ht="12.75">
      <c r="A4349" s="22"/>
      <c r="D4349" s="19"/>
      <c r="H4349" s="18"/>
      <c r="J4349" s="18"/>
      <c r="N4349" s="16"/>
      <c r="O4349" s="17"/>
      <c r="P4349" s="17"/>
      <c r="Q4349" s="22"/>
      <c r="R4349" s="23"/>
    </row>
    <row r="4350" spans="1:18" ht="12.75">
      <c r="A4350" s="22"/>
      <c r="D4350" s="19"/>
      <c r="H4350" s="18"/>
      <c r="J4350" s="18"/>
      <c r="N4350" s="16"/>
      <c r="O4350" s="17"/>
      <c r="P4350" s="17"/>
      <c r="Q4350" s="22"/>
      <c r="R4350" s="23"/>
    </row>
    <row r="4351" spans="1:18" ht="12.75">
      <c r="A4351" s="22"/>
      <c r="D4351" s="19"/>
      <c r="H4351" s="18"/>
      <c r="J4351" s="18"/>
      <c r="N4351" s="16"/>
      <c r="O4351" s="17"/>
      <c r="P4351" s="17"/>
      <c r="Q4351" s="22"/>
      <c r="R4351" s="23"/>
    </row>
    <row r="4352" spans="1:18" ht="12.75">
      <c r="A4352" s="22"/>
      <c r="D4352" s="19"/>
      <c r="H4352" s="18"/>
      <c r="J4352" s="18"/>
      <c r="N4352" s="16"/>
      <c r="O4352" s="17"/>
      <c r="P4352" s="17"/>
      <c r="Q4352" s="22"/>
      <c r="R4352" s="23"/>
    </row>
    <row r="4353" spans="1:18" ht="12.75">
      <c r="A4353" s="22"/>
      <c r="D4353" s="19"/>
      <c r="H4353" s="18"/>
      <c r="J4353" s="18"/>
      <c r="N4353" s="16"/>
      <c r="O4353" s="17"/>
      <c r="P4353" s="17"/>
      <c r="Q4353" s="22"/>
      <c r="R4353" s="23"/>
    </row>
    <row r="4354" spans="1:18" ht="12.75">
      <c r="A4354" s="22"/>
      <c r="D4354" s="19"/>
      <c r="H4354" s="18"/>
      <c r="J4354" s="18"/>
      <c r="N4354" s="16"/>
      <c r="O4354" s="17"/>
      <c r="P4354" s="17"/>
      <c r="Q4354" s="22"/>
      <c r="R4354" s="23"/>
    </row>
    <row r="4355" spans="1:18" ht="12.75">
      <c r="A4355" s="22"/>
      <c r="D4355" s="19"/>
      <c r="H4355" s="18"/>
      <c r="J4355" s="18"/>
      <c r="N4355" s="16"/>
      <c r="O4355" s="17"/>
      <c r="P4355" s="17"/>
      <c r="Q4355" s="22"/>
      <c r="R4355" s="23"/>
    </row>
    <row r="4356" spans="1:18" ht="12.75">
      <c r="A4356" s="22"/>
      <c r="D4356" s="19"/>
      <c r="H4356" s="18"/>
      <c r="J4356" s="18"/>
      <c r="N4356" s="16"/>
      <c r="O4356" s="17"/>
      <c r="P4356" s="17"/>
      <c r="Q4356" s="22"/>
      <c r="R4356" s="23"/>
    </row>
    <row r="4357" spans="1:18" ht="12.75">
      <c r="A4357" s="22"/>
      <c r="D4357" s="19"/>
      <c r="H4357" s="18"/>
      <c r="J4357" s="18"/>
      <c r="N4357" s="16"/>
      <c r="O4357" s="17"/>
      <c r="P4357" s="17"/>
      <c r="Q4357" s="22"/>
      <c r="R4357" s="23"/>
    </row>
    <row r="4358" spans="1:18" ht="12.75">
      <c r="A4358" s="22"/>
      <c r="D4358" s="19"/>
      <c r="H4358" s="18"/>
      <c r="J4358" s="18"/>
      <c r="N4358" s="16"/>
      <c r="O4358" s="17"/>
      <c r="P4358" s="17"/>
      <c r="Q4358" s="22"/>
      <c r="R4358" s="23"/>
    </row>
    <row r="4359" spans="1:18" ht="12.75">
      <c r="A4359" s="22"/>
      <c r="D4359" s="19"/>
      <c r="H4359" s="18"/>
      <c r="J4359" s="18"/>
      <c r="N4359" s="16"/>
      <c r="O4359" s="17"/>
      <c r="P4359" s="17"/>
      <c r="Q4359" s="22"/>
      <c r="R4359" s="23"/>
    </row>
    <row r="4360" spans="1:18" ht="12.75">
      <c r="A4360" s="22"/>
      <c r="D4360" s="19"/>
      <c r="H4360" s="18"/>
      <c r="J4360" s="18"/>
      <c r="N4360" s="16"/>
      <c r="O4360" s="17"/>
      <c r="P4360" s="17"/>
      <c r="Q4360" s="22"/>
      <c r="R4360" s="23"/>
    </row>
    <row r="4361" spans="1:18" ht="12.75">
      <c r="A4361" s="22"/>
      <c r="D4361" s="19"/>
      <c r="H4361" s="18"/>
      <c r="J4361" s="18"/>
      <c r="N4361" s="16"/>
      <c r="O4361" s="17"/>
      <c r="P4361" s="17"/>
      <c r="Q4361" s="22"/>
      <c r="R4361" s="23"/>
    </row>
    <row r="4362" spans="1:18" ht="12.75">
      <c r="A4362" s="22"/>
      <c r="D4362" s="19"/>
      <c r="H4362" s="18"/>
      <c r="J4362" s="18"/>
      <c r="N4362" s="16"/>
      <c r="O4362" s="17"/>
      <c r="P4362" s="17"/>
      <c r="Q4362" s="22"/>
      <c r="R4362" s="23"/>
    </row>
    <row r="4363" spans="1:18" ht="12.75">
      <c r="A4363" s="22"/>
      <c r="D4363" s="19"/>
      <c r="H4363" s="18"/>
      <c r="J4363" s="18"/>
      <c r="N4363" s="16"/>
      <c r="O4363" s="17"/>
      <c r="P4363" s="17"/>
      <c r="Q4363" s="22"/>
      <c r="R4363" s="23"/>
    </row>
    <row r="4364" spans="1:18" ht="12.75">
      <c r="A4364" s="22"/>
      <c r="D4364" s="19"/>
      <c r="H4364" s="18"/>
      <c r="J4364" s="18"/>
      <c r="N4364" s="16"/>
      <c r="O4364" s="17"/>
      <c r="P4364" s="17"/>
      <c r="Q4364" s="22"/>
      <c r="R4364" s="23"/>
    </row>
    <row r="4365" spans="1:18" ht="12.75">
      <c r="A4365" s="22"/>
      <c r="D4365" s="19"/>
      <c r="H4365" s="18"/>
      <c r="J4365" s="18"/>
      <c r="N4365" s="16"/>
      <c r="O4365" s="17"/>
      <c r="P4365" s="17"/>
      <c r="Q4365" s="22"/>
      <c r="R4365" s="23"/>
    </row>
    <row r="4366" spans="1:18" ht="12.75">
      <c r="A4366" s="22"/>
      <c r="D4366" s="19"/>
      <c r="H4366" s="18"/>
      <c r="J4366" s="18"/>
      <c r="N4366" s="16"/>
      <c r="O4366" s="17"/>
      <c r="P4366" s="17"/>
      <c r="Q4366" s="22"/>
      <c r="R4366" s="23"/>
    </row>
    <row r="4367" spans="1:18" ht="12.75">
      <c r="A4367" s="22"/>
      <c r="D4367" s="19"/>
      <c r="H4367" s="18"/>
      <c r="J4367" s="18"/>
      <c r="N4367" s="16"/>
      <c r="O4367" s="17"/>
      <c r="P4367" s="17"/>
      <c r="Q4367" s="22"/>
      <c r="R4367" s="23"/>
    </row>
    <row r="4368" spans="1:18" ht="12.75">
      <c r="A4368" s="22"/>
      <c r="D4368" s="19"/>
      <c r="H4368" s="18"/>
      <c r="J4368" s="18"/>
      <c r="N4368" s="16"/>
      <c r="O4368" s="17"/>
      <c r="P4368" s="17"/>
      <c r="Q4368" s="22"/>
      <c r="R4368" s="23"/>
    </row>
    <row r="4369" spans="1:18" ht="12.75">
      <c r="A4369" s="22"/>
      <c r="D4369" s="19"/>
      <c r="H4369" s="18"/>
      <c r="J4369" s="18"/>
      <c r="N4369" s="16"/>
      <c r="O4369" s="17"/>
      <c r="P4369" s="17"/>
      <c r="Q4369" s="22"/>
      <c r="R4369" s="23"/>
    </row>
    <row r="4370" spans="1:18" ht="12.75">
      <c r="A4370" s="22"/>
      <c r="D4370" s="19"/>
      <c r="H4370" s="18"/>
      <c r="J4370" s="18"/>
      <c r="N4370" s="16"/>
      <c r="O4370" s="17"/>
      <c r="P4370" s="17"/>
      <c r="Q4370" s="22"/>
      <c r="R4370" s="23"/>
    </row>
    <row r="4371" spans="1:18" ht="12.75">
      <c r="A4371" s="22"/>
      <c r="D4371" s="19"/>
      <c r="H4371" s="18"/>
      <c r="J4371" s="18"/>
      <c r="N4371" s="16"/>
      <c r="O4371" s="17"/>
      <c r="P4371" s="17"/>
      <c r="Q4371" s="22"/>
      <c r="R4371" s="23"/>
    </row>
    <row r="4372" spans="1:18" ht="12.75">
      <c r="A4372" s="22"/>
      <c r="D4372" s="19"/>
      <c r="H4372" s="18"/>
      <c r="J4372" s="18"/>
      <c r="N4372" s="16"/>
      <c r="O4372" s="17"/>
      <c r="P4372" s="17"/>
      <c r="Q4372" s="22"/>
      <c r="R4372" s="23"/>
    </row>
    <row r="4373" spans="1:18" ht="12.75">
      <c r="A4373" s="22"/>
      <c r="D4373" s="19"/>
      <c r="H4373" s="18"/>
      <c r="J4373" s="18"/>
      <c r="N4373" s="16"/>
      <c r="O4373" s="17"/>
      <c r="P4373" s="17"/>
      <c r="Q4373" s="22"/>
      <c r="R4373" s="23"/>
    </row>
    <row r="4374" spans="1:18" ht="12.75">
      <c r="A4374" s="22"/>
      <c r="D4374" s="19"/>
      <c r="H4374" s="18"/>
      <c r="J4374" s="18"/>
      <c r="N4374" s="16"/>
      <c r="O4374" s="17"/>
      <c r="P4374" s="17"/>
      <c r="Q4374" s="22"/>
      <c r="R4374" s="23"/>
    </row>
    <row r="4375" spans="1:18" ht="12.75">
      <c r="A4375" s="22"/>
      <c r="D4375" s="19"/>
      <c r="H4375" s="18"/>
      <c r="J4375" s="18"/>
      <c r="N4375" s="16"/>
      <c r="O4375" s="17"/>
      <c r="P4375" s="17"/>
      <c r="Q4375" s="22"/>
      <c r="R4375" s="23"/>
    </row>
    <row r="4376" spans="1:18" ht="12.75">
      <c r="A4376" s="22"/>
      <c r="D4376" s="19"/>
      <c r="H4376" s="18"/>
      <c r="J4376" s="18"/>
      <c r="N4376" s="16"/>
      <c r="O4376" s="17"/>
      <c r="P4376" s="17"/>
      <c r="Q4376" s="22"/>
      <c r="R4376" s="23"/>
    </row>
    <row r="4377" spans="1:18" ht="12.75">
      <c r="A4377" s="22"/>
      <c r="D4377" s="19"/>
      <c r="H4377" s="18"/>
      <c r="J4377" s="18"/>
      <c r="N4377" s="16"/>
      <c r="O4377" s="17"/>
      <c r="P4377" s="17"/>
      <c r="Q4377" s="22"/>
      <c r="R4377" s="23"/>
    </row>
    <row r="4378" spans="1:18" ht="12.75">
      <c r="A4378" s="22"/>
      <c r="D4378" s="19"/>
      <c r="H4378" s="18"/>
      <c r="J4378" s="18"/>
      <c r="N4378" s="16"/>
      <c r="O4378" s="17"/>
      <c r="P4378" s="17"/>
      <c r="Q4378" s="22"/>
      <c r="R4378" s="23"/>
    </row>
    <row r="4379" spans="1:18" ht="12.75">
      <c r="A4379" s="22"/>
      <c r="D4379" s="19"/>
      <c r="H4379" s="18"/>
      <c r="J4379" s="18"/>
      <c r="N4379" s="16"/>
      <c r="O4379" s="17"/>
      <c r="P4379" s="17"/>
      <c r="Q4379" s="22"/>
      <c r="R4379" s="23"/>
    </row>
    <row r="4380" spans="1:18" ht="12.75">
      <c r="A4380" s="22"/>
      <c r="D4380" s="19"/>
      <c r="H4380" s="18"/>
      <c r="J4380" s="18"/>
      <c r="N4380" s="16"/>
      <c r="O4380" s="17"/>
      <c r="P4380" s="17"/>
      <c r="Q4380" s="22"/>
      <c r="R4380" s="23"/>
    </row>
    <row r="4381" spans="1:18" ht="12.75">
      <c r="A4381" s="22"/>
      <c r="D4381" s="19"/>
      <c r="H4381" s="18"/>
      <c r="J4381" s="18"/>
      <c r="N4381" s="16"/>
      <c r="O4381" s="17"/>
      <c r="P4381" s="17"/>
      <c r="Q4381" s="22"/>
      <c r="R4381" s="23"/>
    </row>
    <row r="4382" spans="1:18" ht="12.75">
      <c r="A4382" s="22"/>
      <c r="D4382" s="19"/>
      <c r="H4382" s="18"/>
      <c r="J4382" s="18"/>
      <c r="N4382" s="16"/>
      <c r="O4382" s="17"/>
      <c r="P4382" s="17"/>
      <c r="Q4382" s="22"/>
      <c r="R4382" s="23"/>
    </row>
    <row r="4383" spans="1:18" ht="12.75">
      <c r="A4383" s="22"/>
      <c r="D4383" s="19"/>
      <c r="H4383" s="18"/>
      <c r="J4383" s="18"/>
      <c r="N4383" s="16"/>
      <c r="O4383" s="17"/>
      <c r="P4383" s="17"/>
      <c r="Q4383" s="22"/>
      <c r="R4383" s="23"/>
    </row>
    <row r="4384" spans="1:18" ht="12.75">
      <c r="A4384" s="22"/>
      <c r="D4384" s="19"/>
      <c r="H4384" s="18"/>
      <c r="J4384" s="18"/>
      <c r="N4384" s="16"/>
      <c r="O4384" s="17"/>
      <c r="P4384" s="17"/>
      <c r="Q4384" s="22"/>
      <c r="R4384" s="23"/>
    </row>
    <row r="4385" spans="1:18" ht="12.75">
      <c r="A4385" s="22"/>
      <c r="D4385" s="19"/>
      <c r="H4385" s="18"/>
      <c r="J4385" s="18"/>
      <c r="N4385" s="16"/>
      <c r="O4385" s="17"/>
      <c r="P4385" s="17"/>
      <c r="Q4385" s="22"/>
      <c r="R4385" s="23"/>
    </row>
    <row r="4386" spans="1:18" ht="12.75">
      <c r="A4386" s="22"/>
      <c r="D4386" s="19"/>
      <c r="H4386" s="18"/>
      <c r="J4386" s="18"/>
      <c r="N4386" s="16"/>
      <c r="O4386" s="17"/>
      <c r="P4386" s="17"/>
      <c r="Q4386" s="22"/>
      <c r="R4386" s="23"/>
    </row>
    <row r="4387" spans="1:18" ht="12.75">
      <c r="A4387" s="22"/>
      <c r="D4387" s="19"/>
      <c r="H4387" s="18"/>
      <c r="J4387" s="18"/>
      <c r="N4387" s="16"/>
      <c r="O4387" s="17"/>
      <c r="P4387" s="17"/>
      <c r="Q4387" s="22"/>
      <c r="R4387" s="23"/>
    </row>
    <row r="4388" spans="1:18" ht="12.75">
      <c r="A4388" s="22"/>
      <c r="D4388" s="19"/>
      <c r="H4388" s="18"/>
      <c r="J4388" s="18"/>
      <c r="N4388" s="16"/>
      <c r="O4388" s="17"/>
      <c r="P4388" s="17"/>
      <c r="Q4388" s="22"/>
      <c r="R4388" s="23"/>
    </row>
    <row r="4389" spans="1:18" ht="12.75">
      <c r="A4389" s="22"/>
      <c r="D4389" s="19"/>
      <c r="H4389" s="18"/>
      <c r="J4389" s="18"/>
      <c r="N4389" s="16"/>
      <c r="O4389" s="17"/>
      <c r="P4389" s="17"/>
      <c r="Q4389" s="22"/>
      <c r="R4389" s="23"/>
    </row>
    <row r="4390" spans="1:18" ht="12.75">
      <c r="A4390" s="22"/>
      <c r="D4390" s="19"/>
      <c r="H4390" s="18"/>
      <c r="J4390" s="18"/>
      <c r="N4390" s="16"/>
      <c r="O4390" s="17"/>
      <c r="P4390" s="17"/>
      <c r="Q4390" s="22"/>
      <c r="R4390" s="23"/>
    </row>
    <row r="4391" spans="1:18" ht="12.75">
      <c r="A4391" s="22"/>
      <c r="D4391" s="19"/>
      <c r="H4391" s="18"/>
      <c r="J4391" s="18"/>
      <c r="N4391" s="16"/>
      <c r="O4391" s="17"/>
      <c r="P4391" s="17"/>
      <c r="Q4391" s="22"/>
      <c r="R4391" s="23"/>
    </row>
    <row r="4392" spans="1:18" ht="12.75">
      <c r="A4392" s="22"/>
      <c r="D4392" s="19"/>
      <c r="H4392" s="18"/>
      <c r="J4392" s="18"/>
      <c r="N4392" s="16"/>
      <c r="O4392" s="17"/>
      <c r="P4392" s="17"/>
      <c r="Q4392" s="22"/>
      <c r="R4392" s="23"/>
    </row>
    <row r="4393" spans="1:18" ht="12.75">
      <c r="A4393" s="22"/>
      <c r="D4393" s="19"/>
      <c r="H4393" s="18"/>
      <c r="J4393" s="18"/>
      <c r="N4393" s="16"/>
      <c r="O4393" s="17"/>
      <c r="P4393" s="17"/>
      <c r="Q4393" s="22"/>
      <c r="R4393" s="23"/>
    </row>
    <row r="4394" spans="1:18" ht="12.75">
      <c r="A4394" s="22"/>
      <c r="D4394" s="19"/>
      <c r="H4394" s="18"/>
      <c r="J4394" s="18"/>
      <c r="N4394" s="16"/>
      <c r="O4394" s="17"/>
      <c r="P4394" s="17"/>
      <c r="Q4394" s="22"/>
      <c r="R4394" s="23"/>
    </row>
    <row r="4395" spans="1:18" ht="12.75">
      <c r="A4395" s="22"/>
      <c r="D4395" s="19"/>
      <c r="H4395" s="18"/>
      <c r="J4395" s="18"/>
      <c r="N4395" s="16"/>
      <c r="O4395" s="17"/>
      <c r="P4395" s="17"/>
      <c r="Q4395" s="22"/>
      <c r="R4395" s="23"/>
    </row>
    <row r="4396" spans="1:18" ht="12.75">
      <c r="A4396" s="22"/>
      <c r="D4396" s="19"/>
      <c r="H4396" s="18"/>
      <c r="J4396" s="18"/>
      <c r="N4396" s="16"/>
      <c r="O4396" s="17"/>
      <c r="P4396" s="17"/>
      <c r="Q4396" s="22"/>
      <c r="R4396" s="23"/>
    </row>
    <row r="4397" spans="1:18" ht="12.75">
      <c r="A4397" s="22"/>
      <c r="D4397" s="19"/>
      <c r="H4397" s="18"/>
      <c r="J4397" s="18"/>
      <c r="N4397" s="16"/>
      <c r="O4397" s="17"/>
      <c r="P4397" s="17"/>
      <c r="Q4397" s="22"/>
      <c r="R4397" s="23"/>
    </row>
    <row r="4398" spans="1:18" ht="12.75">
      <c r="A4398" s="22"/>
      <c r="D4398" s="19"/>
      <c r="H4398" s="18"/>
      <c r="J4398" s="18"/>
      <c r="N4398" s="16"/>
      <c r="O4398" s="17"/>
      <c r="P4398" s="17"/>
      <c r="Q4398" s="22"/>
      <c r="R4398" s="23"/>
    </row>
    <row r="4399" spans="1:18" ht="12.75">
      <c r="A4399" s="22"/>
      <c r="D4399" s="19"/>
      <c r="H4399" s="18"/>
      <c r="J4399" s="18"/>
      <c r="N4399" s="16"/>
      <c r="O4399" s="17"/>
      <c r="P4399" s="17"/>
      <c r="Q4399" s="22"/>
      <c r="R4399" s="23"/>
    </row>
    <row r="4400" spans="1:18" ht="12.75">
      <c r="A4400" s="22"/>
      <c r="D4400" s="19"/>
      <c r="H4400" s="18"/>
      <c r="J4400" s="18"/>
      <c r="N4400" s="16"/>
      <c r="O4400" s="17"/>
      <c r="P4400" s="17"/>
      <c r="Q4400" s="22"/>
      <c r="R4400" s="23"/>
    </row>
    <row r="4401" spans="1:18" ht="12.75">
      <c r="A4401" s="22"/>
      <c r="D4401" s="19"/>
      <c r="H4401" s="18"/>
      <c r="J4401" s="18"/>
      <c r="N4401" s="16"/>
      <c r="O4401" s="17"/>
      <c r="P4401" s="17"/>
      <c r="Q4401" s="22"/>
      <c r="R4401" s="23"/>
    </row>
    <row r="4402" spans="1:18" ht="12.75">
      <c r="A4402" s="22"/>
      <c r="D4402" s="19"/>
      <c r="H4402" s="18"/>
      <c r="J4402" s="18"/>
      <c r="N4402" s="16"/>
      <c r="O4402" s="17"/>
      <c r="P4402" s="17"/>
      <c r="Q4402" s="22"/>
      <c r="R4402" s="23"/>
    </row>
    <row r="4403" spans="1:18" ht="12.75">
      <c r="A4403" s="22"/>
      <c r="D4403" s="19"/>
      <c r="H4403" s="18"/>
      <c r="J4403" s="18"/>
      <c r="N4403" s="16"/>
      <c r="O4403" s="17"/>
      <c r="P4403" s="17"/>
      <c r="Q4403" s="22"/>
      <c r="R4403" s="23"/>
    </row>
    <row r="4404" spans="1:18" ht="12.75">
      <c r="A4404" s="22"/>
      <c r="D4404" s="19"/>
      <c r="H4404" s="18"/>
      <c r="J4404" s="18"/>
      <c r="N4404" s="16"/>
      <c r="O4404" s="17"/>
      <c r="P4404" s="17"/>
      <c r="Q4404" s="22"/>
      <c r="R4404" s="23"/>
    </row>
    <row r="4405" spans="1:18" ht="12.75">
      <c r="A4405" s="22"/>
      <c r="D4405" s="19"/>
      <c r="H4405" s="18"/>
      <c r="J4405" s="18"/>
      <c r="N4405" s="16"/>
      <c r="O4405" s="17"/>
      <c r="P4405" s="17"/>
      <c r="Q4405" s="22"/>
      <c r="R4405" s="23"/>
    </row>
    <row r="4406" spans="1:18" ht="12.75">
      <c r="A4406" s="22"/>
      <c r="D4406" s="19"/>
      <c r="H4406" s="18"/>
      <c r="J4406" s="18"/>
      <c r="N4406" s="16"/>
      <c r="O4406" s="17"/>
      <c r="P4406" s="17"/>
      <c r="Q4406" s="22"/>
      <c r="R4406" s="23"/>
    </row>
    <row r="4407" spans="1:18" ht="12.75">
      <c r="A4407" s="22"/>
      <c r="D4407" s="19"/>
      <c r="H4407" s="18"/>
      <c r="J4407" s="18"/>
      <c r="N4407" s="16"/>
      <c r="O4407" s="17"/>
      <c r="P4407" s="17"/>
      <c r="Q4407" s="22"/>
      <c r="R4407" s="23"/>
    </row>
    <row r="4408" spans="1:18" ht="12.75">
      <c r="A4408" s="22"/>
      <c r="D4408" s="19"/>
      <c r="H4408" s="18"/>
      <c r="J4408" s="18"/>
      <c r="N4408" s="16"/>
      <c r="O4408" s="17"/>
      <c r="P4408" s="17"/>
      <c r="Q4408" s="22"/>
      <c r="R4408" s="23"/>
    </row>
    <row r="4409" spans="1:18" ht="12.75">
      <c r="A4409" s="22"/>
      <c r="D4409" s="19"/>
      <c r="H4409" s="18"/>
      <c r="J4409" s="18"/>
      <c r="N4409" s="16"/>
      <c r="O4409" s="17"/>
      <c r="P4409" s="17"/>
      <c r="Q4409" s="22"/>
      <c r="R4409" s="23"/>
    </row>
    <row r="4410" spans="1:18" ht="12.75">
      <c r="A4410" s="22"/>
      <c r="D4410" s="19"/>
      <c r="H4410" s="18"/>
      <c r="J4410" s="18"/>
      <c r="N4410" s="16"/>
      <c r="O4410" s="17"/>
      <c r="P4410" s="17"/>
      <c r="Q4410" s="22"/>
      <c r="R4410" s="23"/>
    </row>
    <row r="4411" spans="1:18" ht="12.75">
      <c r="A4411" s="22"/>
      <c r="D4411" s="19"/>
      <c r="H4411" s="18"/>
      <c r="J4411" s="18"/>
      <c r="N4411" s="16"/>
      <c r="O4411" s="17"/>
      <c r="P4411" s="17"/>
      <c r="Q4411" s="22"/>
      <c r="R4411" s="23"/>
    </row>
    <row r="4412" spans="1:18" ht="12.75">
      <c r="A4412" s="22"/>
      <c r="D4412" s="19"/>
      <c r="H4412" s="18"/>
      <c r="J4412" s="18"/>
      <c r="N4412" s="16"/>
      <c r="O4412" s="17"/>
      <c r="P4412" s="17"/>
      <c r="Q4412" s="22"/>
      <c r="R4412" s="23"/>
    </row>
    <row r="4413" spans="1:18" ht="12.75">
      <c r="A4413" s="22"/>
      <c r="D4413" s="19"/>
      <c r="H4413" s="18"/>
      <c r="J4413" s="18"/>
      <c r="N4413" s="16"/>
      <c r="O4413" s="17"/>
      <c r="P4413" s="17"/>
      <c r="Q4413" s="22"/>
      <c r="R4413" s="23"/>
    </row>
    <row r="4414" spans="1:18" ht="12.75">
      <c r="A4414" s="22"/>
      <c r="D4414" s="19"/>
      <c r="H4414" s="18"/>
      <c r="J4414" s="18"/>
      <c r="N4414" s="16"/>
      <c r="O4414" s="17"/>
      <c r="P4414" s="17"/>
      <c r="Q4414" s="22"/>
      <c r="R4414" s="23"/>
    </row>
    <row r="4415" spans="1:18" ht="12.75">
      <c r="A4415" s="22"/>
      <c r="D4415" s="19"/>
      <c r="H4415" s="18"/>
      <c r="J4415" s="18"/>
      <c r="N4415" s="16"/>
      <c r="O4415" s="17"/>
      <c r="P4415" s="17"/>
      <c r="Q4415" s="22"/>
      <c r="R4415" s="23"/>
    </row>
    <row r="4416" spans="1:18" ht="12.75">
      <c r="A4416" s="22"/>
      <c r="D4416" s="19"/>
      <c r="H4416" s="18"/>
      <c r="J4416" s="18"/>
      <c r="N4416" s="16"/>
      <c r="O4416" s="17"/>
      <c r="P4416" s="17"/>
      <c r="Q4416" s="22"/>
      <c r="R4416" s="23"/>
    </row>
    <row r="4417" spans="1:18" ht="12.75">
      <c r="A4417" s="22"/>
      <c r="D4417" s="19"/>
      <c r="H4417" s="18"/>
      <c r="J4417" s="18"/>
      <c r="N4417" s="16"/>
      <c r="O4417" s="17"/>
      <c r="P4417" s="17"/>
      <c r="Q4417" s="22"/>
      <c r="R4417" s="23"/>
    </row>
    <row r="4418" spans="1:18" ht="12.75">
      <c r="A4418" s="22"/>
      <c r="D4418" s="19"/>
      <c r="H4418" s="18"/>
      <c r="J4418" s="18"/>
      <c r="N4418" s="16"/>
      <c r="O4418" s="17"/>
      <c r="P4418" s="17"/>
      <c r="Q4418" s="22"/>
      <c r="R4418" s="23"/>
    </row>
    <row r="4419" spans="1:18" ht="12.75">
      <c r="A4419" s="22"/>
      <c r="D4419" s="19"/>
      <c r="H4419" s="18"/>
      <c r="J4419" s="18"/>
      <c r="N4419" s="16"/>
      <c r="O4419" s="17"/>
      <c r="P4419" s="17"/>
      <c r="Q4419" s="22"/>
      <c r="R4419" s="23"/>
    </row>
    <row r="4420" spans="1:18" ht="12.75">
      <c r="A4420" s="22"/>
      <c r="D4420" s="19"/>
      <c r="H4420" s="18"/>
      <c r="J4420" s="18"/>
      <c r="N4420" s="16"/>
      <c r="O4420" s="17"/>
      <c r="P4420" s="17"/>
      <c r="Q4420" s="22"/>
      <c r="R4420" s="23"/>
    </row>
    <row r="4421" spans="1:18" ht="12.75">
      <c r="A4421" s="22"/>
      <c r="D4421" s="19"/>
      <c r="H4421" s="18"/>
      <c r="J4421" s="18"/>
      <c r="N4421" s="16"/>
      <c r="O4421" s="17"/>
      <c r="P4421" s="17"/>
      <c r="Q4421" s="22"/>
      <c r="R4421" s="23"/>
    </row>
    <row r="4422" spans="1:18" ht="12.75">
      <c r="A4422" s="22"/>
      <c r="D4422" s="19"/>
      <c r="H4422" s="18"/>
      <c r="J4422" s="18"/>
      <c r="N4422" s="16"/>
      <c r="O4422" s="17"/>
      <c r="P4422" s="17"/>
      <c r="Q4422" s="22"/>
      <c r="R4422" s="23"/>
    </row>
    <row r="4423" spans="1:18" ht="12.75">
      <c r="A4423" s="22"/>
      <c r="D4423" s="19"/>
      <c r="H4423" s="18"/>
      <c r="J4423" s="18"/>
      <c r="N4423" s="16"/>
      <c r="O4423" s="17"/>
      <c r="P4423" s="17"/>
      <c r="Q4423" s="22"/>
      <c r="R4423" s="23"/>
    </row>
    <row r="4424" spans="1:18" ht="12.75">
      <c r="A4424" s="22"/>
      <c r="D4424" s="19"/>
      <c r="H4424" s="18"/>
      <c r="J4424" s="18"/>
      <c r="N4424" s="16"/>
      <c r="O4424" s="17"/>
      <c r="P4424" s="17"/>
      <c r="Q4424" s="22"/>
      <c r="R4424" s="23"/>
    </row>
    <row r="4425" spans="1:18" ht="12.75">
      <c r="A4425" s="22"/>
      <c r="D4425" s="19"/>
      <c r="H4425" s="18"/>
      <c r="J4425" s="18"/>
      <c r="N4425" s="16"/>
      <c r="O4425" s="17"/>
      <c r="P4425" s="17"/>
      <c r="Q4425" s="22"/>
      <c r="R4425" s="23"/>
    </row>
    <row r="4426" spans="1:18" ht="12.75">
      <c r="A4426" s="22"/>
      <c r="D4426" s="19"/>
      <c r="H4426" s="18"/>
      <c r="J4426" s="18"/>
      <c r="N4426" s="16"/>
      <c r="O4426" s="17"/>
      <c r="P4426" s="17"/>
      <c r="Q4426" s="22"/>
      <c r="R4426" s="23"/>
    </row>
    <row r="4427" spans="1:18" ht="12.75">
      <c r="A4427" s="22"/>
      <c r="D4427" s="19"/>
      <c r="H4427" s="18"/>
      <c r="J4427" s="18"/>
      <c r="N4427" s="16"/>
      <c r="O4427" s="17"/>
      <c r="P4427" s="17"/>
      <c r="Q4427" s="22"/>
      <c r="R4427" s="23"/>
    </row>
    <row r="4428" spans="1:18" ht="12.75">
      <c r="A4428" s="22"/>
      <c r="D4428" s="19"/>
      <c r="H4428" s="18"/>
      <c r="J4428" s="18"/>
      <c r="N4428" s="16"/>
      <c r="O4428" s="17"/>
      <c r="P4428" s="17"/>
      <c r="Q4428" s="22"/>
      <c r="R4428" s="23"/>
    </row>
    <row r="4429" spans="1:18" ht="12.75">
      <c r="A4429" s="22"/>
      <c r="D4429" s="19"/>
      <c r="H4429" s="18"/>
      <c r="J4429" s="18"/>
      <c r="N4429" s="16"/>
      <c r="O4429" s="17"/>
      <c r="P4429" s="17"/>
      <c r="Q4429" s="22"/>
      <c r="R4429" s="23"/>
    </row>
    <row r="4430" spans="1:18" ht="12.75">
      <c r="A4430" s="22"/>
      <c r="D4430" s="19"/>
      <c r="H4430" s="18"/>
      <c r="J4430" s="18"/>
      <c r="N4430" s="16"/>
      <c r="O4430" s="17"/>
      <c r="P4430" s="17"/>
      <c r="Q4430" s="22"/>
      <c r="R4430" s="23"/>
    </row>
    <row r="4431" spans="1:18" ht="12.75">
      <c r="A4431" s="22"/>
      <c r="D4431" s="19"/>
      <c r="H4431" s="18"/>
      <c r="J4431" s="18"/>
      <c r="N4431" s="16"/>
      <c r="O4431" s="17"/>
      <c r="P4431" s="17"/>
      <c r="Q4431" s="22"/>
      <c r="R4431" s="23"/>
    </row>
    <row r="4432" spans="1:18" ht="12.75">
      <c r="A4432" s="22"/>
      <c r="D4432" s="19"/>
      <c r="H4432" s="18"/>
      <c r="J4432" s="18"/>
      <c r="N4432" s="16"/>
      <c r="O4432" s="17"/>
      <c r="P4432" s="17"/>
      <c r="Q4432" s="22"/>
      <c r="R4432" s="23"/>
    </row>
    <row r="4433" spans="1:18" ht="12.75">
      <c r="A4433" s="22"/>
      <c r="D4433" s="19"/>
      <c r="H4433" s="18"/>
      <c r="J4433" s="18"/>
      <c r="N4433" s="16"/>
      <c r="O4433" s="17"/>
      <c r="P4433" s="17"/>
      <c r="Q4433" s="22"/>
      <c r="R4433" s="23"/>
    </row>
    <row r="4434" spans="1:18" ht="12.75">
      <c r="A4434" s="22"/>
      <c r="D4434" s="19"/>
      <c r="H4434" s="18"/>
      <c r="J4434" s="18"/>
      <c r="N4434" s="16"/>
      <c r="O4434" s="17"/>
      <c r="P4434" s="17"/>
      <c r="Q4434" s="22"/>
      <c r="R4434" s="23"/>
    </row>
    <row r="4435" spans="1:18" ht="12.75">
      <c r="A4435" s="22"/>
      <c r="D4435" s="19"/>
      <c r="H4435" s="18"/>
      <c r="J4435" s="18"/>
      <c r="N4435" s="16"/>
      <c r="O4435" s="17"/>
      <c r="P4435" s="17"/>
      <c r="Q4435" s="22"/>
      <c r="R4435" s="23"/>
    </row>
    <row r="4436" spans="1:18" ht="12.75">
      <c r="A4436" s="22"/>
      <c r="D4436" s="19"/>
      <c r="H4436" s="18"/>
      <c r="J4436" s="18"/>
      <c r="N4436" s="16"/>
      <c r="O4436" s="17"/>
      <c r="P4436" s="17"/>
      <c r="Q4436" s="22"/>
      <c r="R4436" s="23"/>
    </row>
    <row r="4437" spans="1:18" ht="12.75">
      <c r="A4437" s="22"/>
      <c r="D4437" s="19"/>
      <c r="H4437" s="18"/>
      <c r="J4437" s="18"/>
      <c r="N4437" s="16"/>
      <c r="O4437" s="17"/>
      <c r="P4437" s="17"/>
      <c r="Q4437" s="22"/>
      <c r="R4437" s="23"/>
    </row>
    <row r="4438" spans="1:18" ht="12.75">
      <c r="A4438" s="22"/>
      <c r="D4438" s="19"/>
      <c r="H4438" s="18"/>
      <c r="J4438" s="18"/>
      <c r="N4438" s="16"/>
      <c r="O4438" s="17"/>
      <c r="P4438" s="17"/>
      <c r="Q4438" s="22"/>
      <c r="R4438" s="23"/>
    </row>
    <row r="4439" spans="1:18" ht="12.75">
      <c r="A4439" s="22"/>
      <c r="D4439" s="19"/>
      <c r="H4439" s="18"/>
      <c r="J4439" s="18"/>
      <c r="N4439" s="16"/>
      <c r="O4439" s="17"/>
      <c r="P4439" s="17"/>
      <c r="Q4439" s="22"/>
      <c r="R4439" s="23"/>
    </row>
    <row r="4440" spans="1:18" ht="12.75">
      <c r="A4440" s="22"/>
      <c r="D4440" s="19"/>
      <c r="H4440" s="18"/>
      <c r="J4440" s="18"/>
      <c r="N4440" s="16"/>
      <c r="O4440" s="17"/>
      <c r="P4440" s="17"/>
      <c r="Q4440" s="22"/>
      <c r="R4440" s="23"/>
    </row>
    <row r="4441" spans="1:18" ht="12.75">
      <c r="A4441" s="22"/>
      <c r="D4441" s="19"/>
      <c r="H4441" s="18"/>
      <c r="J4441" s="18"/>
      <c r="N4441" s="16"/>
      <c r="O4441" s="17"/>
      <c r="P4441" s="17"/>
      <c r="Q4441" s="22"/>
      <c r="R4441" s="23"/>
    </row>
    <row r="4442" spans="1:18" ht="12.75">
      <c r="A4442" s="22"/>
      <c r="D4442" s="19"/>
      <c r="H4442" s="18"/>
      <c r="J4442" s="18"/>
      <c r="N4442" s="16"/>
      <c r="O4442" s="17"/>
      <c r="P4442" s="17"/>
      <c r="Q4442" s="22"/>
      <c r="R4442" s="23"/>
    </row>
    <row r="4443" spans="1:18" ht="12.75">
      <c r="A4443" s="22"/>
      <c r="D4443" s="19"/>
      <c r="H4443" s="18"/>
      <c r="J4443" s="18"/>
      <c r="N4443" s="16"/>
      <c r="O4443" s="17"/>
      <c r="P4443" s="17"/>
      <c r="Q4443" s="22"/>
      <c r="R4443" s="23"/>
    </row>
    <row r="4444" spans="1:18" ht="12.75">
      <c r="A4444" s="22"/>
      <c r="D4444" s="19"/>
      <c r="H4444" s="18"/>
      <c r="J4444" s="18"/>
      <c r="N4444" s="16"/>
      <c r="O4444" s="17"/>
      <c r="P4444" s="17"/>
      <c r="Q4444" s="22"/>
      <c r="R4444" s="23"/>
    </row>
    <row r="4445" spans="1:18" ht="12.75">
      <c r="A4445" s="22"/>
      <c r="D4445" s="19"/>
      <c r="H4445" s="18"/>
      <c r="J4445" s="18"/>
      <c r="N4445" s="16"/>
      <c r="O4445" s="17"/>
      <c r="P4445" s="17"/>
      <c r="Q4445" s="22"/>
      <c r="R4445" s="23"/>
    </row>
    <row r="4446" spans="1:18" ht="12.75">
      <c r="A4446" s="22"/>
      <c r="D4446" s="19"/>
      <c r="H4446" s="18"/>
      <c r="J4446" s="18"/>
      <c r="N4446" s="16"/>
      <c r="O4446" s="17"/>
      <c r="P4446" s="17"/>
      <c r="Q4446" s="22"/>
      <c r="R4446" s="23"/>
    </row>
    <row r="4447" spans="1:18" ht="12.75">
      <c r="A4447" s="22"/>
      <c r="D4447" s="19"/>
      <c r="H4447" s="18"/>
      <c r="J4447" s="18"/>
      <c r="N4447" s="16"/>
      <c r="O4447" s="17"/>
      <c r="P4447" s="17"/>
      <c r="Q4447" s="22"/>
      <c r="R4447" s="23"/>
    </row>
    <row r="4448" spans="1:18" ht="12.75">
      <c r="A4448" s="22"/>
      <c r="D4448" s="19"/>
      <c r="H4448" s="18"/>
      <c r="J4448" s="18"/>
      <c r="N4448" s="16"/>
      <c r="O4448" s="17"/>
      <c r="P4448" s="17"/>
      <c r="Q4448" s="22"/>
      <c r="R4448" s="23"/>
    </row>
    <row r="4449" spans="1:18" ht="12.75">
      <c r="A4449" s="22"/>
      <c r="D4449" s="19"/>
      <c r="H4449" s="18"/>
      <c r="J4449" s="18"/>
      <c r="N4449" s="16"/>
      <c r="O4449" s="17"/>
      <c r="P4449" s="17"/>
      <c r="Q4449" s="22"/>
      <c r="R4449" s="23"/>
    </row>
    <row r="4450" spans="1:18" ht="12.75">
      <c r="A4450" s="22"/>
      <c r="D4450" s="19"/>
      <c r="H4450" s="18"/>
      <c r="J4450" s="18"/>
      <c r="N4450" s="16"/>
      <c r="O4450" s="17"/>
      <c r="P4450" s="17"/>
      <c r="Q4450" s="22"/>
      <c r="R4450" s="23"/>
    </row>
    <row r="4451" spans="1:18" ht="12.75">
      <c r="A4451" s="22"/>
      <c r="D4451" s="19"/>
      <c r="H4451" s="18"/>
      <c r="J4451" s="18"/>
      <c r="N4451" s="16"/>
      <c r="O4451" s="17"/>
      <c r="P4451" s="17"/>
      <c r="Q4451" s="22"/>
      <c r="R4451" s="23"/>
    </row>
    <row r="4452" spans="1:18" ht="12.75">
      <c r="A4452" s="22"/>
      <c r="D4452" s="19"/>
      <c r="H4452" s="18"/>
      <c r="J4452" s="18"/>
      <c r="N4452" s="16"/>
      <c r="O4452" s="17"/>
      <c r="P4452" s="17"/>
      <c r="Q4452" s="22"/>
      <c r="R4452" s="23"/>
    </row>
    <row r="4453" spans="1:18" ht="12.75">
      <c r="A4453" s="22"/>
      <c r="D4453" s="19"/>
      <c r="H4453" s="18"/>
      <c r="J4453" s="18"/>
      <c r="N4453" s="16"/>
      <c r="O4453" s="17"/>
      <c r="P4453" s="17"/>
      <c r="Q4453" s="22"/>
      <c r="R4453" s="23"/>
    </row>
    <row r="4454" spans="1:18" ht="12.75">
      <c r="A4454" s="22"/>
      <c r="D4454" s="19"/>
      <c r="H4454" s="18"/>
      <c r="J4454" s="18"/>
      <c r="N4454" s="16"/>
      <c r="O4454" s="17"/>
      <c r="P4454" s="17"/>
      <c r="Q4454" s="22"/>
      <c r="R4454" s="23"/>
    </row>
    <row r="4455" spans="1:18" ht="12.75">
      <c r="A4455" s="22"/>
      <c r="D4455" s="19"/>
      <c r="H4455" s="18"/>
      <c r="J4455" s="18"/>
      <c r="N4455" s="16"/>
      <c r="O4455" s="17"/>
      <c r="P4455" s="17"/>
      <c r="Q4455" s="22"/>
      <c r="R4455" s="23"/>
    </row>
    <row r="4456" spans="1:18" ht="12.75">
      <c r="A4456" s="22"/>
      <c r="D4456" s="19"/>
      <c r="H4456" s="18"/>
      <c r="J4456" s="18"/>
      <c r="N4456" s="16"/>
      <c r="O4456" s="17"/>
      <c r="P4456" s="17"/>
      <c r="Q4456" s="22"/>
      <c r="R4456" s="23"/>
    </row>
    <row r="4457" spans="1:18" ht="12.75">
      <c r="A4457" s="22"/>
      <c r="D4457" s="19"/>
      <c r="H4457" s="18"/>
      <c r="J4457" s="18"/>
      <c r="N4457" s="16"/>
      <c r="O4457" s="17"/>
      <c r="P4457" s="17"/>
      <c r="Q4457" s="22"/>
      <c r="R4457" s="23"/>
    </row>
    <row r="4458" spans="1:18" ht="12.75">
      <c r="A4458" s="22"/>
      <c r="D4458" s="19"/>
      <c r="H4458" s="18"/>
      <c r="J4458" s="18"/>
      <c r="N4458" s="16"/>
      <c r="O4458" s="17"/>
      <c r="P4458" s="17"/>
      <c r="Q4458" s="22"/>
      <c r="R4458" s="23"/>
    </row>
    <row r="4459" spans="1:18" ht="12.75">
      <c r="A4459" s="22"/>
      <c r="D4459" s="19"/>
      <c r="H4459" s="18"/>
      <c r="J4459" s="18"/>
      <c r="N4459" s="16"/>
      <c r="O4459" s="17"/>
      <c r="P4459" s="17"/>
      <c r="Q4459" s="22"/>
      <c r="R4459" s="23"/>
    </row>
    <row r="4460" spans="1:18" ht="12.75">
      <c r="A4460" s="22"/>
      <c r="D4460" s="19"/>
      <c r="H4460" s="18"/>
      <c r="J4460" s="18"/>
      <c r="N4460" s="16"/>
      <c r="O4460" s="17"/>
      <c r="P4460" s="17"/>
      <c r="Q4460" s="22"/>
      <c r="R4460" s="23"/>
    </row>
    <row r="4461" spans="1:18" ht="12.75">
      <c r="A4461" s="22"/>
      <c r="D4461" s="19"/>
      <c r="H4461" s="18"/>
      <c r="J4461" s="18"/>
      <c r="N4461" s="16"/>
      <c r="O4461" s="17"/>
      <c r="P4461" s="17"/>
      <c r="Q4461" s="22"/>
      <c r="R4461" s="23"/>
    </row>
    <row r="4462" spans="1:18" ht="12.75">
      <c r="A4462" s="22"/>
      <c r="D4462" s="19"/>
      <c r="H4462" s="18"/>
      <c r="J4462" s="18"/>
      <c r="N4462" s="16"/>
      <c r="O4462" s="17"/>
      <c r="P4462" s="17"/>
      <c r="Q4462" s="22"/>
      <c r="R4462" s="23"/>
    </row>
    <row r="4463" spans="1:18" ht="12.75">
      <c r="A4463" s="22"/>
      <c r="D4463" s="19"/>
      <c r="H4463" s="18"/>
      <c r="J4463" s="18"/>
      <c r="N4463" s="16"/>
      <c r="O4463" s="17"/>
      <c r="P4463" s="17"/>
      <c r="Q4463" s="22"/>
      <c r="R4463" s="23"/>
    </row>
    <row r="4464" spans="1:18" ht="12.75">
      <c r="A4464" s="22"/>
      <c r="D4464" s="19"/>
      <c r="H4464" s="18"/>
      <c r="J4464" s="18"/>
      <c r="N4464" s="16"/>
      <c r="O4464" s="17"/>
      <c r="P4464" s="17"/>
      <c r="Q4464" s="22"/>
      <c r="R4464" s="23"/>
    </row>
    <row r="4465" spans="1:18" ht="12.75">
      <c r="A4465" s="22"/>
      <c r="D4465" s="19"/>
      <c r="H4465" s="18"/>
      <c r="J4465" s="18"/>
      <c r="N4465" s="16"/>
      <c r="O4465" s="17"/>
      <c r="P4465" s="17"/>
      <c r="Q4465" s="22"/>
      <c r="R4465" s="23"/>
    </row>
    <row r="4466" spans="1:18" ht="12.75">
      <c r="A4466" s="22"/>
      <c r="D4466" s="19"/>
      <c r="H4466" s="18"/>
      <c r="J4466" s="18"/>
      <c r="N4466" s="16"/>
      <c r="O4466" s="17"/>
      <c r="P4466" s="17"/>
      <c r="Q4466" s="22"/>
      <c r="R4466" s="23"/>
    </row>
    <row r="4467" spans="1:18" ht="12.75">
      <c r="A4467" s="22"/>
      <c r="D4467" s="19"/>
      <c r="H4467" s="18"/>
      <c r="J4467" s="18"/>
      <c r="N4467" s="16"/>
      <c r="O4467" s="17"/>
      <c r="P4467" s="17"/>
      <c r="Q4467" s="22"/>
      <c r="R4467" s="23"/>
    </row>
    <row r="4468" spans="1:18" ht="12.75">
      <c r="A4468" s="22"/>
      <c r="D4468" s="19"/>
      <c r="H4468" s="18"/>
      <c r="J4468" s="18"/>
      <c r="N4468" s="16"/>
      <c r="O4468" s="17"/>
      <c r="P4468" s="17"/>
      <c r="Q4468" s="22"/>
      <c r="R4468" s="23"/>
    </row>
    <row r="4469" spans="1:18" ht="12.75">
      <c r="A4469" s="22"/>
      <c r="D4469" s="19"/>
      <c r="H4469" s="18"/>
      <c r="J4469" s="18"/>
      <c r="N4469" s="16"/>
      <c r="O4469" s="17"/>
      <c r="P4469" s="17"/>
      <c r="Q4469" s="22"/>
      <c r="R4469" s="23"/>
    </row>
    <row r="4470" spans="1:18" ht="12.75">
      <c r="A4470" s="22"/>
      <c r="D4470" s="19"/>
      <c r="H4470" s="18"/>
      <c r="J4470" s="18"/>
      <c r="N4470" s="16"/>
      <c r="O4470" s="17"/>
      <c r="P4470" s="17"/>
      <c r="Q4470" s="22"/>
      <c r="R4470" s="23"/>
    </row>
    <row r="4471" spans="1:18" ht="12.75">
      <c r="A4471" s="22"/>
      <c r="D4471" s="19"/>
      <c r="H4471" s="18"/>
      <c r="J4471" s="18"/>
      <c r="N4471" s="16"/>
      <c r="O4471" s="17"/>
      <c r="P4471" s="17"/>
      <c r="Q4471" s="22"/>
      <c r="R4471" s="23"/>
    </row>
    <row r="4472" spans="1:18" ht="12.75">
      <c r="A4472" s="22"/>
      <c r="D4472" s="19"/>
      <c r="H4472" s="18"/>
      <c r="J4472" s="18"/>
      <c r="N4472" s="16"/>
      <c r="O4472" s="17"/>
      <c r="P4472" s="17"/>
      <c r="Q4472" s="22"/>
      <c r="R4472" s="23"/>
    </row>
    <row r="4473" spans="1:18" ht="12.75">
      <c r="A4473" s="22"/>
      <c r="D4473" s="19"/>
      <c r="H4473" s="18"/>
      <c r="J4473" s="18"/>
      <c r="N4473" s="16"/>
      <c r="O4473" s="17"/>
      <c r="P4473" s="17"/>
      <c r="Q4473" s="22"/>
      <c r="R4473" s="23"/>
    </row>
    <row r="4474" spans="1:18" ht="12.75">
      <c r="A4474" s="22"/>
      <c r="D4474" s="19"/>
      <c r="H4474" s="18"/>
      <c r="J4474" s="18"/>
      <c r="N4474" s="16"/>
      <c r="O4474" s="17"/>
      <c r="P4474" s="17"/>
      <c r="Q4474" s="22"/>
      <c r="R4474" s="23"/>
    </row>
    <row r="4475" spans="1:18" ht="12.75">
      <c r="A4475" s="22"/>
      <c r="D4475" s="19"/>
      <c r="H4475" s="18"/>
      <c r="J4475" s="18"/>
      <c r="N4475" s="16"/>
      <c r="O4475" s="17"/>
      <c r="P4475" s="17"/>
      <c r="Q4475" s="22"/>
      <c r="R4475" s="23"/>
    </row>
    <row r="4476" spans="1:18" ht="12.75">
      <c r="A4476" s="22"/>
      <c r="D4476" s="19"/>
      <c r="H4476" s="18"/>
      <c r="J4476" s="18"/>
      <c r="N4476" s="16"/>
      <c r="O4476" s="17"/>
      <c r="P4476" s="17"/>
      <c r="Q4476" s="22"/>
      <c r="R4476" s="23"/>
    </row>
    <row r="4477" spans="1:18" ht="12.75">
      <c r="A4477" s="22"/>
      <c r="D4477" s="19"/>
      <c r="H4477" s="18"/>
      <c r="J4477" s="18"/>
      <c r="N4477" s="16"/>
      <c r="O4477" s="17"/>
      <c r="P4477" s="17"/>
      <c r="Q4477" s="22"/>
      <c r="R4477" s="23"/>
    </row>
    <row r="4478" spans="1:18" ht="12.75">
      <c r="A4478" s="22"/>
      <c r="D4478" s="19"/>
      <c r="H4478" s="18"/>
      <c r="J4478" s="18"/>
      <c r="N4478" s="16"/>
      <c r="O4478" s="17"/>
      <c r="P4478" s="17"/>
      <c r="Q4478" s="22"/>
      <c r="R4478" s="23"/>
    </row>
    <row r="4479" spans="1:18" ht="12.75">
      <c r="A4479" s="22"/>
      <c r="D4479" s="19"/>
      <c r="H4479" s="18"/>
      <c r="J4479" s="18"/>
      <c r="N4479" s="16"/>
      <c r="O4479" s="17"/>
      <c r="P4479" s="17"/>
      <c r="Q4479" s="22"/>
      <c r="R4479" s="23"/>
    </row>
    <row r="4480" spans="1:18" ht="12.75">
      <c r="A4480" s="22"/>
      <c r="D4480" s="19"/>
      <c r="H4480" s="18"/>
      <c r="J4480" s="18"/>
      <c r="N4480" s="16"/>
      <c r="O4480" s="17"/>
      <c r="P4480" s="17"/>
      <c r="Q4480" s="22"/>
      <c r="R4480" s="23"/>
    </row>
    <row r="4481" spans="1:18" ht="12.75">
      <c r="A4481" s="22"/>
      <c r="D4481" s="19"/>
      <c r="H4481" s="18"/>
      <c r="J4481" s="18"/>
      <c r="N4481" s="16"/>
      <c r="O4481" s="17"/>
      <c r="P4481" s="17"/>
      <c r="Q4481" s="22"/>
      <c r="R4481" s="23"/>
    </row>
    <row r="4482" spans="1:18" ht="12.75">
      <c r="A4482" s="22"/>
      <c r="D4482" s="19"/>
      <c r="H4482" s="18"/>
      <c r="J4482" s="18"/>
      <c r="N4482" s="16"/>
      <c r="O4482" s="17"/>
      <c r="P4482" s="17"/>
      <c r="Q4482" s="22"/>
      <c r="R4482" s="23"/>
    </row>
    <row r="4483" spans="1:18" ht="12.75">
      <c r="A4483" s="22"/>
      <c r="D4483" s="19"/>
      <c r="H4483" s="18"/>
      <c r="J4483" s="18"/>
      <c r="N4483" s="16"/>
      <c r="O4483" s="17"/>
      <c r="P4483" s="17"/>
      <c r="Q4483" s="22"/>
      <c r="R4483" s="23"/>
    </row>
    <row r="4484" spans="1:18" ht="12.75">
      <c r="A4484" s="22"/>
      <c r="D4484" s="19"/>
      <c r="H4484" s="18"/>
      <c r="J4484" s="18"/>
      <c r="N4484" s="16"/>
      <c r="O4484" s="17"/>
      <c r="P4484" s="17"/>
      <c r="Q4484" s="22"/>
      <c r="R4484" s="23"/>
    </row>
    <row r="4485" spans="1:18" ht="12.75">
      <c r="A4485" s="22"/>
      <c r="D4485" s="19"/>
      <c r="H4485" s="18"/>
      <c r="J4485" s="18"/>
      <c r="N4485" s="16"/>
      <c r="O4485" s="17"/>
      <c r="P4485" s="17"/>
      <c r="Q4485" s="22"/>
      <c r="R4485" s="23"/>
    </row>
    <row r="4486" spans="1:18" ht="12.75">
      <c r="A4486" s="22"/>
      <c r="D4486" s="19"/>
      <c r="H4486" s="18"/>
      <c r="J4486" s="18"/>
      <c r="N4486" s="16"/>
      <c r="O4486" s="17"/>
      <c r="P4486" s="17"/>
      <c r="Q4486" s="22"/>
      <c r="R4486" s="23"/>
    </row>
    <row r="4487" spans="1:18" ht="12.75">
      <c r="A4487" s="22"/>
      <c r="D4487" s="19"/>
      <c r="H4487" s="18"/>
      <c r="J4487" s="18"/>
      <c r="N4487" s="16"/>
      <c r="O4487" s="17"/>
      <c r="P4487" s="17"/>
      <c r="Q4487" s="22"/>
      <c r="R4487" s="23"/>
    </row>
    <row r="4488" spans="1:18" ht="12.75">
      <c r="A4488" s="22"/>
      <c r="D4488" s="19"/>
      <c r="H4488" s="18"/>
      <c r="J4488" s="18"/>
      <c r="N4488" s="16"/>
      <c r="O4488" s="17"/>
      <c r="P4488" s="17"/>
      <c r="Q4488" s="22"/>
      <c r="R4488" s="23"/>
    </row>
    <row r="4489" spans="1:18" ht="12.75">
      <c r="A4489" s="22"/>
      <c r="D4489" s="19"/>
      <c r="H4489" s="18"/>
      <c r="J4489" s="18"/>
      <c r="N4489" s="16"/>
      <c r="O4489" s="17"/>
      <c r="P4489" s="17"/>
      <c r="Q4489" s="22"/>
      <c r="R4489" s="23"/>
    </row>
    <row r="4490" spans="1:18" ht="12.75">
      <c r="A4490" s="22"/>
      <c r="D4490" s="19"/>
      <c r="H4490" s="18"/>
      <c r="J4490" s="18"/>
      <c r="N4490" s="16"/>
      <c r="O4490" s="17"/>
      <c r="P4490" s="17"/>
      <c r="Q4490" s="22"/>
      <c r="R4490" s="23"/>
    </row>
    <row r="4491" spans="1:18" ht="12.75">
      <c r="A4491" s="22"/>
      <c r="D4491" s="19"/>
      <c r="H4491" s="18"/>
      <c r="J4491" s="18"/>
      <c r="N4491" s="16"/>
      <c r="O4491" s="17"/>
      <c r="P4491" s="17"/>
      <c r="Q4491" s="22"/>
      <c r="R4491" s="23"/>
    </row>
    <row r="4492" spans="1:18" ht="12.75">
      <c r="A4492" s="22"/>
      <c r="D4492" s="19"/>
      <c r="H4492" s="18"/>
      <c r="J4492" s="18"/>
      <c r="N4492" s="16"/>
      <c r="O4492" s="17"/>
      <c r="P4492" s="17"/>
      <c r="Q4492" s="22"/>
      <c r="R4492" s="23"/>
    </row>
    <row r="4493" spans="1:18" ht="12.75">
      <c r="A4493" s="22"/>
      <c r="D4493" s="19"/>
      <c r="H4493" s="18"/>
      <c r="J4493" s="18"/>
      <c r="N4493" s="16"/>
      <c r="O4493" s="17"/>
      <c r="P4493" s="17"/>
      <c r="Q4493" s="22"/>
      <c r="R4493" s="23"/>
    </row>
    <row r="4494" spans="1:18" ht="12.75">
      <c r="A4494" s="22"/>
      <c r="D4494" s="19"/>
      <c r="H4494" s="18"/>
      <c r="J4494" s="18"/>
      <c r="N4494" s="16"/>
      <c r="O4494" s="17"/>
      <c r="P4494" s="17"/>
      <c r="Q4494" s="22"/>
      <c r="R4494" s="23"/>
    </row>
    <row r="4495" spans="1:18" ht="12.75">
      <c r="A4495" s="22"/>
      <c r="D4495" s="19"/>
      <c r="H4495" s="18"/>
      <c r="J4495" s="18"/>
      <c r="N4495" s="16"/>
      <c r="O4495" s="17"/>
      <c r="P4495" s="17"/>
      <c r="Q4495" s="22"/>
      <c r="R4495" s="23"/>
    </row>
    <row r="4496" spans="1:18" ht="12.75">
      <c r="A4496" s="22"/>
      <c r="D4496" s="19"/>
      <c r="H4496" s="18"/>
      <c r="J4496" s="18"/>
      <c r="N4496" s="16"/>
      <c r="O4496" s="17"/>
      <c r="P4496" s="17"/>
      <c r="Q4496" s="22"/>
      <c r="R4496" s="23"/>
    </row>
    <row r="4497" spans="1:18" ht="12.75">
      <c r="A4497" s="22"/>
      <c r="D4497" s="19"/>
      <c r="H4497" s="18"/>
      <c r="J4497" s="18"/>
      <c r="N4497" s="16"/>
      <c r="O4497" s="17"/>
      <c r="P4497" s="17"/>
      <c r="Q4497" s="22"/>
      <c r="R4497" s="23"/>
    </row>
    <row r="4498" spans="1:18" ht="12.75">
      <c r="A4498" s="22"/>
      <c r="D4498" s="19"/>
      <c r="H4498" s="18"/>
      <c r="J4498" s="18"/>
      <c r="N4498" s="16"/>
      <c r="O4498" s="17"/>
      <c r="P4498" s="17"/>
      <c r="Q4498" s="22"/>
      <c r="R4498" s="23"/>
    </row>
    <row r="4499" spans="1:18" ht="12.75">
      <c r="A4499" s="22"/>
      <c r="D4499" s="19"/>
      <c r="H4499" s="18"/>
      <c r="J4499" s="18"/>
      <c r="N4499" s="16"/>
      <c r="O4499" s="17"/>
      <c r="P4499" s="17"/>
      <c r="Q4499" s="22"/>
      <c r="R4499" s="23"/>
    </row>
    <row r="4500" spans="1:18" ht="12.75">
      <c r="A4500" s="22"/>
      <c r="D4500" s="19"/>
      <c r="H4500" s="18"/>
      <c r="J4500" s="18"/>
      <c r="N4500" s="16"/>
      <c r="O4500" s="17"/>
      <c r="P4500" s="17"/>
      <c r="Q4500" s="22"/>
      <c r="R4500" s="23"/>
    </row>
    <row r="4501" spans="1:18" ht="12.75">
      <c r="A4501" s="22"/>
      <c r="D4501" s="19"/>
      <c r="H4501" s="18"/>
      <c r="J4501" s="18"/>
      <c r="N4501" s="16"/>
      <c r="O4501" s="17"/>
      <c r="P4501" s="17"/>
      <c r="Q4501" s="22"/>
      <c r="R4501" s="23"/>
    </row>
    <row r="4502" spans="1:18" ht="12.75">
      <c r="A4502" s="22"/>
      <c r="D4502" s="19"/>
      <c r="H4502" s="18"/>
      <c r="J4502" s="18"/>
      <c r="N4502" s="16"/>
      <c r="O4502" s="17"/>
      <c r="P4502" s="17"/>
      <c r="Q4502" s="22"/>
      <c r="R4502" s="23"/>
    </row>
    <row r="4503" spans="1:18" ht="12.75">
      <c r="A4503" s="22"/>
      <c r="D4503" s="19"/>
      <c r="H4503" s="18"/>
      <c r="J4503" s="18"/>
      <c r="N4503" s="16"/>
      <c r="O4503" s="17"/>
      <c r="P4503" s="17"/>
      <c r="Q4503" s="22"/>
      <c r="R4503" s="23"/>
    </row>
    <row r="4504" spans="1:18" ht="12.75">
      <c r="A4504" s="22"/>
      <c r="D4504" s="19"/>
      <c r="H4504" s="18"/>
      <c r="J4504" s="18"/>
      <c r="N4504" s="16"/>
      <c r="O4504" s="17"/>
      <c r="P4504" s="17"/>
      <c r="Q4504" s="22"/>
      <c r="R4504" s="23"/>
    </row>
    <row r="4505" spans="1:18" ht="12.75">
      <c r="A4505" s="22"/>
      <c r="D4505" s="19"/>
      <c r="H4505" s="18"/>
      <c r="J4505" s="18"/>
      <c r="N4505" s="16"/>
      <c r="O4505" s="17"/>
      <c r="P4505" s="17"/>
      <c r="Q4505" s="22"/>
      <c r="R4505" s="23"/>
    </row>
    <row r="4506" spans="1:18" ht="12.75">
      <c r="A4506" s="22"/>
      <c r="D4506" s="19"/>
      <c r="H4506" s="18"/>
      <c r="J4506" s="18"/>
      <c r="N4506" s="16"/>
      <c r="O4506" s="17"/>
      <c r="P4506" s="17"/>
      <c r="Q4506" s="22"/>
      <c r="R4506" s="23"/>
    </row>
    <row r="4507" spans="1:18" ht="12.75">
      <c r="A4507" s="22"/>
      <c r="D4507" s="19"/>
      <c r="H4507" s="18"/>
      <c r="J4507" s="18"/>
      <c r="N4507" s="16"/>
      <c r="O4507" s="17"/>
      <c r="P4507" s="17"/>
      <c r="Q4507" s="22"/>
      <c r="R4507" s="23"/>
    </row>
    <row r="4508" spans="1:18" ht="12.75">
      <c r="A4508" s="22"/>
      <c r="D4508" s="19"/>
      <c r="H4508" s="18"/>
      <c r="J4508" s="18"/>
      <c r="N4508" s="16"/>
      <c r="O4508" s="17"/>
      <c r="P4508" s="17"/>
      <c r="Q4508" s="22"/>
      <c r="R4508" s="23"/>
    </row>
    <row r="4509" spans="1:18" ht="12.75">
      <c r="A4509" s="22"/>
      <c r="D4509" s="19"/>
      <c r="H4509" s="18"/>
      <c r="J4509" s="18"/>
      <c r="N4509" s="16"/>
      <c r="O4509" s="17"/>
      <c r="P4509" s="17"/>
      <c r="Q4509" s="22"/>
      <c r="R4509" s="23"/>
    </row>
    <row r="4510" spans="1:18" ht="12.75">
      <c r="A4510" s="22"/>
      <c r="D4510" s="19"/>
      <c r="H4510" s="18"/>
      <c r="J4510" s="18"/>
      <c r="N4510" s="16"/>
      <c r="O4510" s="17"/>
      <c r="P4510" s="17"/>
      <c r="Q4510" s="22"/>
      <c r="R4510" s="23"/>
    </row>
    <row r="4511" spans="1:18" ht="12.75">
      <c r="A4511" s="22"/>
      <c r="D4511" s="19"/>
      <c r="H4511" s="18"/>
      <c r="J4511" s="18"/>
      <c r="N4511" s="16"/>
      <c r="O4511" s="17"/>
      <c r="P4511" s="17"/>
      <c r="Q4511" s="22"/>
      <c r="R4511" s="23"/>
    </row>
    <row r="4512" spans="1:18" ht="12.75">
      <c r="A4512" s="22"/>
      <c r="D4512" s="19"/>
      <c r="H4512" s="18"/>
      <c r="J4512" s="18"/>
      <c r="N4512" s="16"/>
      <c r="O4512" s="17"/>
      <c r="P4512" s="17"/>
      <c r="Q4512" s="22"/>
      <c r="R4512" s="23"/>
    </row>
    <row r="4513" spans="1:18" ht="12.75">
      <c r="A4513" s="22"/>
      <c r="D4513" s="19"/>
      <c r="H4513" s="18"/>
      <c r="J4513" s="18"/>
      <c r="N4513" s="16"/>
      <c r="O4513" s="17"/>
      <c r="P4513" s="17"/>
      <c r="Q4513" s="22"/>
      <c r="R4513" s="23"/>
    </row>
    <row r="4514" spans="1:18" ht="12.75">
      <c r="A4514" s="22"/>
      <c r="D4514" s="19"/>
      <c r="H4514" s="18"/>
      <c r="J4514" s="18"/>
      <c r="N4514" s="16"/>
      <c r="O4514" s="17"/>
      <c r="P4514" s="17"/>
      <c r="Q4514" s="22"/>
      <c r="R4514" s="23"/>
    </row>
    <row r="4515" spans="1:18" ht="12.75">
      <c r="A4515" s="22"/>
      <c r="D4515" s="19"/>
      <c r="H4515" s="18"/>
      <c r="J4515" s="18"/>
      <c r="N4515" s="16"/>
      <c r="O4515" s="17"/>
      <c r="P4515" s="17"/>
      <c r="Q4515" s="22"/>
      <c r="R4515" s="23"/>
    </row>
    <row r="4516" spans="1:18" ht="12.75">
      <c r="A4516" s="22"/>
      <c r="D4516" s="19"/>
      <c r="H4516" s="18"/>
      <c r="J4516" s="18"/>
      <c r="N4516" s="16"/>
      <c r="O4516" s="17"/>
      <c r="P4516" s="17"/>
      <c r="Q4516" s="22"/>
      <c r="R4516" s="23"/>
    </row>
    <row r="4517" spans="1:18" ht="12.75">
      <c r="A4517" s="22"/>
      <c r="D4517" s="19"/>
      <c r="H4517" s="18"/>
      <c r="J4517" s="18"/>
      <c r="N4517" s="16"/>
      <c r="O4517" s="17"/>
      <c r="P4517" s="17"/>
      <c r="Q4517" s="22"/>
      <c r="R4517" s="23"/>
    </row>
    <row r="4518" spans="1:18" ht="12.75">
      <c r="A4518" s="22"/>
      <c r="D4518" s="19"/>
      <c r="H4518" s="18"/>
      <c r="J4518" s="18"/>
      <c r="N4518" s="16"/>
      <c r="O4518" s="17"/>
      <c r="P4518" s="17"/>
      <c r="Q4518" s="22"/>
      <c r="R4518" s="23"/>
    </row>
    <row r="4519" spans="1:18" ht="12.75">
      <c r="A4519" s="22"/>
      <c r="D4519" s="19"/>
      <c r="H4519" s="18"/>
      <c r="J4519" s="18"/>
      <c r="N4519" s="16"/>
      <c r="O4519" s="17"/>
      <c r="P4519" s="17"/>
      <c r="Q4519" s="22"/>
      <c r="R4519" s="23"/>
    </row>
    <row r="4520" spans="1:18" ht="12.75">
      <c r="A4520" s="22"/>
      <c r="D4520" s="19"/>
      <c r="H4520" s="18"/>
      <c r="J4520" s="18"/>
      <c r="N4520" s="16"/>
      <c r="O4520" s="17"/>
      <c r="P4520" s="17"/>
      <c r="Q4520" s="22"/>
      <c r="R4520" s="23"/>
    </row>
    <row r="4521" spans="1:18" ht="12.75">
      <c r="A4521" s="22"/>
      <c r="D4521" s="19"/>
      <c r="H4521" s="18"/>
      <c r="J4521" s="18"/>
      <c r="N4521" s="16"/>
      <c r="O4521" s="17"/>
      <c r="P4521" s="17"/>
      <c r="Q4521" s="22"/>
      <c r="R4521" s="23"/>
    </row>
    <row r="4522" spans="1:18" ht="12.75">
      <c r="A4522" s="22"/>
      <c r="D4522" s="19"/>
      <c r="H4522" s="18"/>
      <c r="J4522" s="18"/>
      <c r="N4522" s="16"/>
      <c r="O4522" s="17"/>
      <c r="P4522" s="17"/>
      <c r="Q4522" s="22"/>
      <c r="R4522" s="23"/>
    </row>
    <row r="4523" spans="1:18" ht="12.75">
      <c r="A4523" s="22"/>
      <c r="D4523" s="19"/>
      <c r="H4523" s="18"/>
      <c r="J4523" s="18"/>
      <c r="N4523" s="16"/>
      <c r="O4523" s="17"/>
      <c r="P4523" s="17"/>
      <c r="Q4523" s="22"/>
      <c r="R4523" s="23"/>
    </row>
    <row r="4524" spans="1:18" ht="12.75">
      <c r="A4524" s="22"/>
      <c r="D4524" s="19"/>
      <c r="H4524" s="18"/>
      <c r="J4524" s="18"/>
      <c r="N4524" s="16"/>
      <c r="O4524" s="17"/>
      <c r="P4524" s="17"/>
      <c r="Q4524" s="22"/>
      <c r="R4524" s="23"/>
    </row>
    <row r="4525" spans="1:18" ht="12.75">
      <c r="A4525" s="22"/>
      <c r="D4525" s="19"/>
      <c r="H4525" s="18"/>
      <c r="J4525" s="18"/>
      <c r="N4525" s="16"/>
      <c r="O4525" s="17"/>
      <c r="P4525" s="17"/>
      <c r="Q4525" s="22"/>
      <c r="R4525" s="23"/>
    </row>
    <row r="4526" spans="1:18" ht="12.75">
      <c r="A4526" s="22"/>
      <c r="D4526" s="19"/>
      <c r="H4526" s="18"/>
      <c r="J4526" s="18"/>
      <c r="N4526" s="16"/>
      <c r="O4526" s="17"/>
      <c r="P4526" s="17"/>
      <c r="Q4526" s="22"/>
      <c r="R4526" s="23"/>
    </row>
    <row r="4527" spans="1:18" ht="12.75">
      <c r="A4527" s="22"/>
      <c r="D4527" s="19"/>
      <c r="H4527" s="18"/>
      <c r="J4527" s="18"/>
      <c r="N4527" s="16"/>
      <c r="O4527" s="17"/>
      <c r="P4527" s="17"/>
      <c r="Q4527" s="22"/>
      <c r="R4527" s="23"/>
    </row>
    <row r="4528" spans="1:18" ht="12.75">
      <c r="A4528" s="22"/>
      <c r="D4528" s="19"/>
      <c r="H4528" s="18"/>
      <c r="J4528" s="18"/>
      <c r="N4528" s="16"/>
      <c r="O4528" s="17"/>
      <c r="P4528" s="17"/>
      <c r="Q4528" s="22"/>
      <c r="R4528" s="23"/>
    </row>
    <row r="4529" spans="1:18" ht="12.75">
      <c r="A4529" s="22"/>
      <c r="D4529" s="19"/>
      <c r="H4529" s="18"/>
      <c r="J4529" s="18"/>
      <c r="N4529" s="16"/>
      <c r="O4529" s="17"/>
      <c r="P4529" s="17"/>
      <c r="Q4529" s="22"/>
      <c r="R4529" s="23"/>
    </row>
    <row r="4530" spans="1:18" ht="12.75">
      <c r="A4530" s="22"/>
      <c r="D4530" s="19"/>
      <c r="H4530" s="18"/>
      <c r="J4530" s="18"/>
      <c r="N4530" s="16"/>
      <c r="O4530" s="17"/>
      <c r="P4530" s="17"/>
      <c r="Q4530" s="22"/>
      <c r="R4530" s="23"/>
    </row>
    <row r="4531" spans="1:18" ht="12.75">
      <c r="A4531" s="22"/>
      <c r="D4531" s="19"/>
      <c r="H4531" s="18"/>
      <c r="J4531" s="18"/>
      <c r="N4531" s="16"/>
      <c r="O4531" s="17"/>
      <c r="P4531" s="17"/>
      <c r="Q4531" s="22"/>
      <c r="R4531" s="23"/>
    </row>
    <row r="4532" spans="1:18" ht="12.75">
      <c r="A4532" s="22"/>
      <c r="D4532" s="19"/>
      <c r="H4532" s="18"/>
      <c r="J4532" s="18"/>
      <c r="N4532" s="16"/>
      <c r="O4532" s="17"/>
      <c r="P4532" s="17"/>
      <c r="Q4532" s="22"/>
      <c r="R4532" s="23"/>
    </row>
    <row r="4533" spans="1:18" ht="12.75">
      <c r="A4533" s="22"/>
      <c r="D4533" s="19"/>
      <c r="H4533" s="18"/>
      <c r="J4533" s="18"/>
      <c r="N4533" s="16"/>
      <c r="O4533" s="17"/>
      <c r="P4533" s="17"/>
      <c r="Q4533" s="22"/>
      <c r="R4533" s="23"/>
    </row>
    <row r="4534" spans="1:18" ht="12.75">
      <c r="A4534" s="22"/>
      <c r="D4534" s="19"/>
      <c r="H4534" s="18"/>
      <c r="J4534" s="18"/>
      <c r="N4534" s="16"/>
      <c r="O4534" s="17"/>
      <c r="P4534" s="17"/>
      <c r="Q4534" s="22"/>
      <c r="R4534" s="23"/>
    </row>
    <row r="4535" spans="1:18" ht="12.75">
      <c r="A4535" s="22"/>
      <c r="D4535" s="19"/>
      <c r="H4535" s="18"/>
      <c r="J4535" s="18"/>
      <c r="N4535" s="16"/>
      <c r="O4535" s="17"/>
      <c r="P4535" s="17"/>
      <c r="Q4535" s="22"/>
      <c r="R4535" s="23"/>
    </row>
    <row r="4536" spans="1:18" ht="12.75">
      <c r="A4536" s="22"/>
      <c r="D4536" s="19"/>
      <c r="H4536" s="18"/>
      <c r="J4536" s="18"/>
      <c r="N4536" s="16"/>
      <c r="O4536" s="17"/>
      <c r="P4536" s="17"/>
      <c r="Q4536" s="22"/>
      <c r="R4536" s="23"/>
    </row>
    <row r="4537" spans="1:18" ht="12.75">
      <c r="A4537" s="22"/>
      <c r="D4537" s="19"/>
      <c r="H4537" s="18"/>
      <c r="J4537" s="18"/>
      <c r="N4537" s="16"/>
      <c r="O4537" s="17"/>
      <c r="P4537" s="17"/>
      <c r="Q4537" s="22"/>
      <c r="R4537" s="23"/>
    </row>
    <row r="4538" spans="1:18" ht="12.75">
      <c r="A4538" s="22"/>
      <c r="D4538" s="19"/>
      <c r="H4538" s="18"/>
      <c r="J4538" s="18"/>
      <c r="N4538" s="16"/>
      <c r="O4538" s="17"/>
      <c r="P4538" s="17"/>
      <c r="Q4538" s="22"/>
      <c r="R4538" s="23"/>
    </row>
    <row r="4539" spans="1:18" ht="12.75">
      <c r="A4539" s="22"/>
      <c r="D4539" s="19"/>
      <c r="H4539" s="18"/>
      <c r="J4539" s="18"/>
      <c r="N4539" s="16"/>
      <c r="O4539" s="17"/>
      <c r="P4539" s="17"/>
      <c r="Q4539" s="22"/>
      <c r="R4539" s="23"/>
    </row>
    <row r="4540" spans="1:18" ht="12.75">
      <c r="A4540" s="22"/>
      <c r="D4540" s="19"/>
      <c r="H4540" s="18"/>
      <c r="J4540" s="18"/>
      <c r="N4540" s="16"/>
      <c r="O4540" s="17"/>
      <c r="P4540" s="17"/>
      <c r="Q4540" s="22"/>
      <c r="R4540" s="23"/>
    </row>
    <row r="4541" spans="1:18" ht="12.75">
      <c r="A4541" s="22"/>
      <c r="D4541" s="19"/>
      <c r="H4541" s="18"/>
      <c r="J4541" s="18"/>
      <c r="N4541" s="16"/>
      <c r="O4541" s="17"/>
      <c r="P4541" s="17"/>
      <c r="Q4541" s="22"/>
      <c r="R4541" s="23"/>
    </row>
    <row r="4542" spans="1:18" ht="12.75">
      <c r="A4542" s="22"/>
      <c r="D4542" s="19"/>
      <c r="H4542" s="18"/>
      <c r="J4542" s="18"/>
      <c r="N4542" s="16"/>
      <c r="O4542" s="17"/>
      <c r="P4542" s="17"/>
      <c r="Q4542" s="22"/>
      <c r="R4542" s="23"/>
    </row>
    <row r="4543" spans="1:18" ht="12.75">
      <c r="A4543" s="22"/>
      <c r="D4543" s="19"/>
      <c r="H4543" s="18"/>
      <c r="J4543" s="18"/>
      <c r="N4543" s="16"/>
      <c r="O4543" s="17"/>
      <c r="P4543" s="17"/>
      <c r="Q4543" s="22"/>
      <c r="R4543" s="23"/>
    </row>
    <row r="4544" spans="1:18" ht="12.75">
      <c r="A4544" s="22"/>
      <c r="D4544" s="19"/>
      <c r="H4544" s="18"/>
      <c r="J4544" s="18"/>
      <c r="N4544" s="16"/>
      <c r="O4544" s="17"/>
      <c r="P4544" s="17"/>
      <c r="Q4544" s="22"/>
      <c r="R4544" s="23"/>
    </row>
    <row r="4545" spans="1:18" ht="12.75">
      <c r="A4545" s="22"/>
      <c r="D4545" s="19"/>
      <c r="H4545" s="18"/>
      <c r="J4545" s="18"/>
      <c r="N4545" s="16"/>
      <c r="O4545" s="17"/>
      <c r="P4545" s="17"/>
      <c r="Q4545" s="22"/>
      <c r="R4545" s="23"/>
    </row>
    <row r="4546" spans="1:18" ht="12.75">
      <c r="A4546" s="22"/>
      <c r="D4546" s="19"/>
      <c r="H4546" s="18"/>
      <c r="J4546" s="18"/>
      <c r="N4546" s="16"/>
      <c r="O4546" s="17"/>
      <c r="P4546" s="17"/>
      <c r="Q4546" s="22"/>
      <c r="R4546" s="23"/>
    </row>
    <row r="4547" spans="1:18" ht="12.75">
      <c r="A4547" s="22"/>
      <c r="D4547" s="19"/>
      <c r="H4547" s="18"/>
      <c r="J4547" s="18"/>
      <c r="N4547" s="16"/>
      <c r="O4547" s="17"/>
      <c r="P4547" s="17"/>
      <c r="Q4547" s="22"/>
      <c r="R4547" s="23"/>
    </row>
    <row r="4548" spans="1:18" ht="12.75">
      <c r="A4548" s="22"/>
      <c r="D4548" s="19"/>
      <c r="H4548" s="18"/>
      <c r="J4548" s="18"/>
      <c r="N4548" s="16"/>
      <c r="O4548" s="17"/>
      <c r="P4548" s="17"/>
      <c r="Q4548" s="22"/>
      <c r="R4548" s="23"/>
    </row>
    <row r="4549" spans="1:18" ht="12.75">
      <c r="A4549" s="22"/>
      <c r="D4549" s="19"/>
      <c r="H4549" s="18"/>
      <c r="J4549" s="18"/>
      <c r="N4549" s="16"/>
      <c r="O4549" s="17"/>
      <c r="P4549" s="17"/>
      <c r="Q4549" s="22"/>
      <c r="R4549" s="23"/>
    </row>
    <row r="4550" spans="1:18" ht="12.75">
      <c r="A4550" s="22"/>
      <c r="D4550" s="19"/>
      <c r="H4550" s="18"/>
      <c r="J4550" s="18"/>
      <c r="N4550" s="16"/>
      <c r="O4550" s="17"/>
      <c r="P4550" s="17"/>
      <c r="Q4550" s="22"/>
      <c r="R4550" s="23"/>
    </row>
    <row r="4551" spans="1:18" ht="12.75">
      <c r="A4551" s="22"/>
      <c r="D4551" s="19"/>
      <c r="H4551" s="18"/>
      <c r="J4551" s="18"/>
      <c r="N4551" s="16"/>
      <c r="O4551" s="17"/>
      <c r="P4551" s="17"/>
      <c r="Q4551" s="22"/>
      <c r="R4551" s="23"/>
    </row>
    <row r="4552" spans="1:18" ht="12.75">
      <c r="A4552" s="22"/>
      <c r="D4552" s="19"/>
      <c r="H4552" s="18"/>
      <c r="J4552" s="18"/>
      <c r="N4552" s="16"/>
      <c r="O4552" s="17"/>
      <c r="P4552" s="17"/>
      <c r="Q4552" s="22"/>
      <c r="R4552" s="23"/>
    </row>
    <row r="4553" spans="1:18" ht="12.75">
      <c r="A4553" s="22"/>
      <c r="D4553" s="19"/>
      <c r="H4553" s="18"/>
      <c r="J4553" s="18"/>
      <c r="N4553" s="16"/>
      <c r="O4553" s="17"/>
      <c r="P4553" s="17"/>
      <c r="Q4553" s="22"/>
      <c r="R4553" s="23"/>
    </row>
    <row r="4554" spans="1:18" ht="12.75">
      <c r="A4554" s="22"/>
      <c r="D4554" s="19"/>
      <c r="H4554" s="18"/>
      <c r="J4554" s="18"/>
      <c r="N4554" s="16"/>
      <c r="O4554" s="17"/>
      <c r="P4554" s="17"/>
      <c r="Q4554" s="22"/>
      <c r="R4554" s="23"/>
    </row>
    <row r="4555" spans="1:18" ht="12.75">
      <c r="A4555" s="22"/>
      <c r="D4555" s="19"/>
      <c r="H4555" s="18"/>
      <c r="J4555" s="18"/>
      <c r="N4555" s="16"/>
      <c r="O4555" s="17"/>
      <c r="P4555" s="17"/>
      <c r="Q4555" s="22"/>
      <c r="R4555" s="23"/>
    </row>
    <row r="4556" spans="1:18" ht="12.75">
      <c r="A4556" s="22"/>
      <c r="D4556" s="19"/>
      <c r="H4556" s="18"/>
      <c r="J4556" s="18"/>
      <c r="N4556" s="16"/>
      <c r="O4556" s="17"/>
      <c r="P4556" s="17"/>
      <c r="Q4556" s="22"/>
      <c r="R4556" s="23"/>
    </row>
    <row r="4557" spans="1:18" ht="12.75">
      <c r="A4557" s="22"/>
      <c r="D4557" s="19"/>
      <c r="H4557" s="18"/>
      <c r="J4557" s="18"/>
      <c r="N4557" s="16"/>
      <c r="O4557" s="17"/>
      <c r="P4557" s="17"/>
      <c r="Q4557" s="22"/>
      <c r="R4557" s="23"/>
    </row>
    <row r="4558" spans="1:18" ht="12.75">
      <c r="A4558" s="22"/>
      <c r="D4558" s="19"/>
      <c r="H4558" s="18"/>
      <c r="J4558" s="18"/>
      <c r="N4558" s="16"/>
      <c r="O4558" s="17"/>
      <c r="P4558" s="17"/>
      <c r="Q4558" s="22"/>
      <c r="R4558" s="23"/>
    </row>
    <row r="4559" spans="1:18" ht="12.75">
      <c r="A4559" s="22"/>
      <c r="D4559" s="19"/>
      <c r="H4559" s="18"/>
      <c r="J4559" s="18"/>
      <c r="N4559" s="16"/>
      <c r="O4559" s="17"/>
      <c r="P4559" s="17"/>
      <c r="Q4559" s="22"/>
      <c r="R4559" s="23"/>
    </row>
    <row r="4560" spans="1:18" ht="12.75">
      <c r="A4560" s="22"/>
      <c r="D4560" s="19"/>
      <c r="H4560" s="18"/>
      <c r="J4560" s="18"/>
      <c r="N4560" s="16"/>
      <c r="O4560" s="17"/>
      <c r="P4560" s="17"/>
      <c r="Q4560" s="22"/>
      <c r="R4560" s="23"/>
    </row>
    <row r="4561" spans="1:18" ht="12.75">
      <c r="A4561" s="22"/>
      <c r="D4561" s="19"/>
      <c r="H4561" s="18"/>
      <c r="J4561" s="18"/>
      <c r="N4561" s="16"/>
      <c r="O4561" s="17"/>
      <c r="P4561" s="17"/>
      <c r="Q4561" s="22"/>
      <c r="R4561" s="23"/>
    </row>
    <row r="4562" spans="1:18" ht="12.75">
      <c r="A4562" s="22"/>
      <c r="D4562" s="19"/>
      <c r="H4562" s="18"/>
      <c r="J4562" s="18"/>
      <c r="N4562" s="16"/>
      <c r="O4562" s="17"/>
      <c r="P4562" s="17"/>
      <c r="Q4562" s="22"/>
      <c r="R4562" s="23"/>
    </row>
    <row r="4563" spans="1:18" ht="12.75">
      <c r="A4563" s="22"/>
      <c r="D4563" s="19"/>
      <c r="H4563" s="18"/>
      <c r="J4563" s="18"/>
      <c r="N4563" s="16"/>
      <c r="O4563" s="17"/>
      <c r="P4563" s="17"/>
      <c r="Q4563" s="22"/>
      <c r="R4563" s="23"/>
    </row>
    <row r="4564" spans="1:18" ht="12.75">
      <c r="A4564" s="22"/>
      <c r="D4564" s="19"/>
      <c r="H4564" s="18"/>
      <c r="J4564" s="18"/>
      <c r="N4564" s="16"/>
      <c r="O4564" s="17"/>
      <c r="P4564" s="17"/>
      <c r="Q4564" s="22"/>
      <c r="R4564" s="23"/>
    </row>
    <row r="4565" spans="1:18" ht="12.75">
      <c r="A4565" s="22"/>
      <c r="D4565" s="19"/>
      <c r="H4565" s="18"/>
      <c r="J4565" s="18"/>
      <c r="N4565" s="16"/>
      <c r="O4565" s="17"/>
      <c r="P4565" s="17"/>
      <c r="Q4565" s="22"/>
      <c r="R4565" s="23"/>
    </row>
    <row r="4566" spans="1:18" ht="12.75">
      <c r="A4566" s="22"/>
      <c r="D4566" s="19"/>
      <c r="H4566" s="18"/>
      <c r="J4566" s="18"/>
      <c r="N4566" s="16"/>
      <c r="O4566" s="17"/>
      <c r="P4566" s="17"/>
      <c r="Q4566" s="22"/>
      <c r="R4566" s="23"/>
    </row>
    <row r="4567" spans="1:18" ht="12.75">
      <c r="A4567" s="22"/>
      <c r="D4567" s="19"/>
      <c r="H4567" s="18"/>
      <c r="J4567" s="18"/>
      <c r="N4567" s="16"/>
      <c r="O4567" s="17"/>
      <c r="P4567" s="17"/>
      <c r="Q4567" s="22"/>
      <c r="R4567" s="23"/>
    </row>
    <row r="4568" spans="1:18" ht="12.75">
      <c r="A4568" s="22"/>
      <c r="D4568" s="19"/>
      <c r="H4568" s="18"/>
      <c r="J4568" s="18"/>
      <c r="N4568" s="16"/>
      <c r="O4568" s="17"/>
      <c r="P4568" s="17"/>
      <c r="Q4568" s="22"/>
      <c r="R4568" s="23"/>
    </row>
    <row r="4569" spans="1:18" ht="12.75">
      <c r="A4569" s="22"/>
      <c r="D4569" s="19"/>
      <c r="H4569" s="18"/>
      <c r="J4569" s="18"/>
      <c r="N4569" s="16"/>
      <c r="O4569" s="17"/>
      <c r="P4569" s="17"/>
      <c r="Q4569" s="22"/>
      <c r="R4569" s="23"/>
    </row>
    <row r="4570" spans="1:18" ht="12.75">
      <c r="A4570" s="22"/>
      <c r="D4570" s="19"/>
      <c r="H4570" s="18"/>
      <c r="J4570" s="18"/>
      <c r="N4570" s="16"/>
      <c r="O4570" s="17"/>
      <c r="P4570" s="17"/>
      <c r="Q4570" s="22"/>
      <c r="R4570" s="23"/>
    </row>
    <row r="4571" spans="1:18" ht="12.75">
      <c r="A4571" s="22"/>
      <c r="D4571" s="19"/>
      <c r="H4571" s="18"/>
      <c r="J4571" s="18"/>
      <c r="N4571" s="16"/>
      <c r="O4571" s="17"/>
      <c r="P4571" s="17"/>
      <c r="Q4571" s="22"/>
      <c r="R4571" s="23"/>
    </row>
    <row r="4572" spans="1:18" ht="12.75">
      <c r="A4572" s="22"/>
      <c r="D4572" s="19"/>
      <c r="H4572" s="18"/>
      <c r="J4572" s="18"/>
      <c r="N4572" s="16"/>
      <c r="O4572" s="17"/>
      <c r="P4572" s="17"/>
      <c r="Q4572" s="22"/>
      <c r="R4572" s="23"/>
    </row>
    <row r="4573" spans="1:18" ht="12.75">
      <c r="A4573" s="22"/>
      <c r="D4573" s="19"/>
      <c r="H4573" s="18"/>
      <c r="J4573" s="18"/>
      <c r="N4573" s="16"/>
      <c r="O4573" s="17"/>
      <c r="P4573" s="17"/>
      <c r="Q4573" s="22"/>
      <c r="R4573" s="23"/>
    </row>
    <row r="4574" spans="1:18" ht="12.75">
      <c r="A4574" s="22"/>
      <c r="D4574" s="19"/>
      <c r="H4574" s="18"/>
      <c r="J4574" s="18"/>
      <c r="N4574" s="16"/>
      <c r="O4574" s="17"/>
      <c r="P4574" s="17"/>
      <c r="Q4574" s="22"/>
      <c r="R4574" s="23"/>
    </row>
    <row r="4575" spans="1:18" ht="12.75">
      <c r="A4575" s="22"/>
      <c r="D4575" s="19"/>
      <c r="H4575" s="18"/>
      <c r="J4575" s="18"/>
      <c r="N4575" s="16"/>
      <c r="O4575" s="17"/>
      <c r="P4575" s="17"/>
      <c r="Q4575" s="22"/>
      <c r="R4575" s="23"/>
    </row>
    <row r="4576" spans="1:18" ht="12.75">
      <c r="A4576" s="22"/>
      <c r="D4576" s="19"/>
      <c r="H4576" s="18"/>
      <c r="J4576" s="18"/>
      <c r="N4576" s="16"/>
      <c r="O4576" s="17"/>
      <c r="P4576" s="17"/>
      <c r="Q4576" s="22"/>
      <c r="R4576" s="23"/>
    </row>
    <row r="4577" spans="1:18" ht="12.75">
      <c r="A4577" s="22"/>
      <c r="D4577" s="19"/>
      <c r="H4577" s="18"/>
      <c r="J4577" s="18"/>
      <c r="N4577" s="16"/>
      <c r="O4577" s="17"/>
      <c r="P4577" s="17"/>
      <c r="Q4577" s="22"/>
      <c r="R4577" s="23"/>
    </row>
    <row r="4578" spans="1:18" ht="12.75">
      <c r="A4578" s="22"/>
      <c r="D4578" s="19"/>
      <c r="H4578" s="18"/>
      <c r="J4578" s="18"/>
      <c r="N4578" s="16"/>
      <c r="O4578" s="17"/>
      <c r="P4578" s="17"/>
      <c r="Q4578" s="22"/>
      <c r="R4578" s="23"/>
    </row>
    <row r="4579" spans="1:18" ht="12.75">
      <c r="A4579" s="22"/>
      <c r="D4579" s="19"/>
      <c r="H4579" s="18"/>
      <c r="J4579" s="18"/>
      <c r="N4579" s="16"/>
      <c r="O4579" s="17"/>
      <c r="P4579" s="17"/>
      <c r="Q4579" s="22"/>
      <c r="R4579" s="23"/>
    </row>
    <row r="4580" spans="1:18" ht="12.75">
      <c r="A4580" s="22"/>
      <c r="D4580" s="19"/>
      <c r="H4580" s="18"/>
      <c r="J4580" s="18"/>
      <c r="N4580" s="16"/>
      <c r="O4580" s="17"/>
      <c r="P4580" s="17"/>
      <c r="Q4580" s="22"/>
      <c r="R4580" s="23"/>
    </row>
    <row r="4581" spans="1:18" ht="12.75">
      <c r="A4581" s="22"/>
      <c r="D4581" s="19"/>
      <c r="H4581" s="18"/>
      <c r="J4581" s="18"/>
      <c r="N4581" s="16"/>
      <c r="O4581" s="17"/>
      <c r="P4581" s="17"/>
      <c r="Q4581" s="22"/>
      <c r="R4581" s="23"/>
    </row>
    <row r="4582" spans="1:18" ht="12.75">
      <c r="A4582" s="22"/>
      <c r="D4582" s="19"/>
      <c r="H4582" s="18"/>
      <c r="J4582" s="18"/>
      <c r="N4582" s="16"/>
      <c r="O4582" s="17"/>
      <c r="P4582" s="17"/>
      <c r="Q4582" s="22"/>
      <c r="R4582" s="23"/>
    </row>
    <row r="4583" spans="1:18" ht="12.75">
      <c r="A4583" s="22"/>
      <c r="D4583" s="19"/>
      <c r="H4583" s="18"/>
      <c r="J4583" s="18"/>
      <c r="N4583" s="16"/>
      <c r="O4583" s="17"/>
      <c r="P4583" s="17"/>
      <c r="Q4583" s="22"/>
      <c r="R4583" s="23"/>
    </row>
    <row r="4584" spans="1:18" ht="12.75">
      <c r="A4584" s="22"/>
      <c r="D4584" s="19"/>
      <c r="H4584" s="18"/>
      <c r="J4584" s="18"/>
      <c r="N4584" s="16"/>
      <c r="O4584" s="17"/>
      <c r="P4584" s="17"/>
      <c r="Q4584" s="22"/>
      <c r="R4584" s="23"/>
    </row>
    <row r="4585" spans="1:18" ht="12.75">
      <c r="A4585" s="22"/>
      <c r="D4585" s="19"/>
      <c r="H4585" s="18"/>
      <c r="J4585" s="18"/>
      <c r="N4585" s="16"/>
      <c r="O4585" s="17"/>
      <c r="P4585" s="17"/>
      <c r="Q4585" s="22"/>
      <c r="R4585" s="23"/>
    </row>
    <row r="4586" spans="1:18" ht="12.75">
      <c r="A4586" s="22"/>
      <c r="D4586" s="19"/>
      <c r="H4586" s="18"/>
      <c r="J4586" s="18"/>
      <c r="N4586" s="16"/>
      <c r="O4586" s="17"/>
      <c r="P4586" s="17"/>
      <c r="Q4586" s="22"/>
      <c r="R4586" s="23"/>
    </row>
    <row r="4587" spans="1:18" ht="12.75">
      <c r="A4587" s="22"/>
      <c r="D4587" s="19"/>
      <c r="H4587" s="18"/>
      <c r="J4587" s="18"/>
      <c r="N4587" s="16"/>
      <c r="O4587" s="17"/>
      <c r="P4587" s="17"/>
      <c r="Q4587" s="22"/>
      <c r="R4587" s="23"/>
    </row>
    <row r="4588" spans="1:18" ht="12.75">
      <c r="A4588" s="22"/>
      <c r="D4588" s="19"/>
      <c r="H4588" s="18"/>
      <c r="J4588" s="18"/>
      <c r="N4588" s="16"/>
      <c r="O4588" s="17"/>
      <c r="P4588" s="17"/>
      <c r="Q4588" s="22"/>
      <c r="R4588" s="23"/>
    </row>
    <row r="4589" spans="1:18" ht="12.75">
      <c r="A4589" s="22"/>
      <c r="D4589" s="19"/>
      <c r="H4589" s="18"/>
      <c r="J4589" s="18"/>
      <c r="N4589" s="16"/>
      <c r="O4589" s="17"/>
      <c r="P4589" s="17"/>
      <c r="Q4589" s="22"/>
      <c r="R4589" s="23"/>
    </row>
    <row r="4590" spans="1:18" ht="12.75">
      <c r="A4590" s="22"/>
      <c r="D4590" s="19"/>
      <c r="H4590" s="18"/>
      <c r="J4590" s="18"/>
      <c r="N4590" s="16"/>
      <c r="O4590" s="17"/>
      <c r="P4590" s="17"/>
      <c r="Q4590" s="22"/>
      <c r="R4590" s="23"/>
    </row>
    <row r="4591" spans="1:18" ht="12.75">
      <c r="A4591" s="22"/>
      <c r="D4591" s="19"/>
      <c r="H4591" s="18"/>
      <c r="J4591" s="18"/>
      <c r="N4591" s="16"/>
      <c r="O4591" s="17"/>
      <c r="P4591" s="17"/>
      <c r="Q4591" s="22"/>
      <c r="R4591" s="23"/>
    </row>
    <row r="4592" spans="1:18" ht="12.75">
      <c r="A4592" s="22"/>
      <c r="D4592" s="19"/>
      <c r="H4592" s="18"/>
      <c r="J4592" s="18"/>
      <c r="N4592" s="16"/>
      <c r="O4592" s="17"/>
      <c r="P4592" s="17"/>
      <c r="Q4592" s="22"/>
      <c r="R4592" s="23"/>
    </row>
    <row r="4593" spans="1:18" ht="12.75">
      <c r="A4593" s="22"/>
      <c r="D4593" s="19"/>
      <c r="H4593" s="18"/>
      <c r="J4593" s="18"/>
      <c r="N4593" s="16"/>
      <c r="O4593" s="17"/>
      <c r="P4593" s="17"/>
      <c r="Q4593" s="22"/>
      <c r="R4593" s="23"/>
    </row>
    <row r="4594" spans="1:18" ht="12.75">
      <c r="A4594" s="22"/>
      <c r="D4594" s="19"/>
      <c r="H4594" s="18"/>
      <c r="J4594" s="18"/>
      <c r="N4594" s="16"/>
      <c r="O4594" s="17"/>
      <c r="P4594" s="17"/>
      <c r="Q4594" s="22"/>
      <c r="R4594" s="23"/>
    </row>
    <row r="4595" spans="1:18" ht="12.75">
      <c r="A4595" s="22"/>
      <c r="D4595" s="19"/>
      <c r="H4595" s="18"/>
      <c r="J4595" s="18"/>
      <c r="N4595" s="16"/>
      <c r="O4595" s="17"/>
      <c r="P4595" s="17"/>
      <c r="Q4595" s="22"/>
      <c r="R4595" s="23"/>
    </row>
    <row r="4596" spans="1:18" ht="12.75">
      <c r="A4596" s="22"/>
      <c r="D4596" s="19"/>
      <c r="H4596" s="18"/>
      <c r="J4596" s="18"/>
      <c r="N4596" s="16"/>
      <c r="O4596" s="17"/>
      <c r="P4596" s="17"/>
      <c r="Q4596" s="22"/>
      <c r="R4596" s="23"/>
    </row>
    <row r="4597" spans="1:18" ht="12.75">
      <c r="A4597" s="22"/>
      <c r="D4597" s="19"/>
      <c r="H4597" s="18"/>
      <c r="J4597" s="18"/>
      <c r="N4597" s="16"/>
      <c r="O4597" s="17"/>
      <c r="P4597" s="17"/>
      <c r="Q4597" s="22"/>
      <c r="R4597" s="23"/>
    </row>
    <row r="4598" spans="1:18" ht="12.75">
      <c r="A4598" s="22"/>
      <c r="D4598" s="19"/>
      <c r="H4598" s="18"/>
      <c r="J4598" s="18"/>
      <c r="N4598" s="16"/>
      <c r="O4598" s="17"/>
      <c r="P4598" s="17"/>
      <c r="Q4598" s="22"/>
      <c r="R4598" s="23"/>
    </row>
    <row r="4599" spans="1:18" ht="12.75">
      <c r="A4599" s="22"/>
      <c r="D4599" s="19"/>
      <c r="H4599" s="18"/>
      <c r="J4599" s="18"/>
      <c r="N4599" s="16"/>
      <c r="O4599" s="17"/>
      <c r="P4599" s="17"/>
      <c r="Q4599" s="22"/>
      <c r="R4599" s="23"/>
    </row>
    <row r="4600" spans="1:18" ht="12.75">
      <c r="A4600" s="22"/>
      <c r="D4600" s="19"/>
      <c r="H4600" s="18"/>
      <c r="J4600" s="18"/>
      <c r="N4600" s="16"/>
      <c r="O4600" s="17"/>
      <c r="P4600" s="17"/>
      <c r="Q4600" s="22"/>
      <c r="R4600" s="23"/>
    </row>
    <row r="4601" spans="1:18" ht="12.75">
      <c r="A4601" s="22"/>
      <c r="D4601" s="19"/>
      <c r="H4601" s="18"/>
      <c r="J4601" s="18"/>
      <c r="N4601" s="16"/>
      <c r="O4601" s="17"/>
      <c r="P4601" s="17"/>
      <c r="Q4601" s="22"/>
      <c r="R4601" s="23"/>
    </row>
    <row r="4602" spans="1:18" ht="12.75">
      <c r="A4602" s="22"/>
      <c r="D4602" s="19"/>
      <c r="H4602" s="18"/>
      <c r="J4602" s="18"/>
      <c r="N4602" s="16"/>
      <c r="O4602" s="17"/>
      <c r="P4602" s="17"/>
      <c r="Q4602" s="22"/>
      <c r="R4602" s="23"/>
    </row>
    <row r="4603" spans="1:18" ht="12.75">
      <c r="A4603" s="22"/>
      <c r="D4603" s="19"/>
      <c r="H4603" s="18"/>
      <c r="J4603" s="18"/>
      <c r="N4603" s="16"/>
      <c r="O4603" s="17"/>
      <c r="P4603" s="17"/>
      <c r="Q4603" s="22"/>
      <c r="R4603" s="23"/>
    </row>
    <row r="4604" spans="1:18" ht="12.75">
      <c r="A4604" s="22"/>
      <c r="D4604" s="19"/>
      <c r="H4604" s="18"/>
      <c r="J4604" s="18"/>
      <c r="N4604" s="16"/>
      <c r="O4604" s="17"/>
      <c r="P4604" s="17"/>
      <c r="Q4604" s="22"/>
      <c r="R4604" s="23"/>
    </row>
    <row r="4605" spans="1:18" ht="12.75">
      <c r="A4605" s="22"/>
      <c r="D4605" s="19"/>
      <c r="H4605" s="18"/>
      <c r="J4605" s="18"/>
      <c r="N4605" s="16"/>
      <c r="O4605" s="17"/>
      <c r="P4605" s="17"/>
      <c r="Q4605" s="22"/>
      <c r="R4605" s="23"/>
    </row>
    <row r="4606" spans="1:18" ht="12.75">
      <c r="A4606" s="22"/>
      <c r="D4606" s="19"/>
      <c r="H4606" s="18"/>
      <c r="J4606" s="18"/>
      <c r="N4606" s="16"/>
      <c r="O4606" s="17"/>
      <c r="P4606" s="17"/>
      <c r="Q4606" s="22"/>
      <c r="R4606" s="23"/>
    </row>
    <row r="4607" spans="1:18" ht="12.75">
      <c r="A4607" s="22"/>
      <c r="D4607" s="19"/>
      <c r="H4607" s="18"/>
      <c r="J4607" s="18"/>
      <c r="N4607" s="16"/>
      <c r="O4607" s="17"/>
      <c r="P4607" s="17"/>
      <c r="Q4607" s="22"/>
      <c r="R4607" s="23"/>
    </row>
    <row r="4608" spans="1:18" ht="12.75">
      <c r="A4608" s="22"/>
      <c r="D4608" s="19"/>
      <c r="H4608" s="18"/>
      <c r="J4608" s="18"/>
      <c r="N4608" s="16"/>
      <c r="O4608" s="17"/>
      <c r="P4608" s="17"/>
      <c r="Q4608" s="22"/>
      <c r="R4608" s="23"/>
    </row>
    <row r="4609" spans="1:18" ht="12.75">
      <c r="A4609" s="22"/>
      <c r="D4609" s="19"/>
      <c r="H4609" s="18"/>
      <c r="J4609" s="18"/>
      <c r="N4609" s="16"/>
      <c r="O4609" s="17"/>
      <c r="P4609" s="17"/>
      <c r="Q4609" s="22"/>
      <c r="R4609" s="23"/>
    </row>
    <row r="4610" spans="1:18" ht="12.75">
      <c r="A4610" s="22"/>
      <c r="D4610" s="19"/>
      <c r="H4610" s="18"/>
      <c r="J4610" s="18"/>
      <c r="N4610" s="16"/>
      <c r="O4610" s="17"/>
      <c r="P4610" s="17"/>
      <c r="Q4610" s="22"/>
      <c r="R4610" s="23"/>
    </row>
    <row r="4611" spans="1:18" ht="12.75">
      <c r="A4611" s="22"/>
      <c r="D4611" s="19"/>
      <c r="H4611" s="18"/>
      <c r="J4611" s="18"/>
      <c r="N4611" s="16"/>
      <c r="O4611" s="17"/>
      <c r="P4611" s="17"/>
      <c r="Q4611" s="22"/>
      <c r="R4611" s="23"/>
    </row>
    <row r="4612" spans="1:18" ht="12.75">
      <c r="A4612" s="22"/>
      <c r="D4612" s="19"/>
      <c r="H4612" s="18"/>
      <c r="J4612" s="18"/>
      <c r="N4612" s="16"/>
      <c r="O4612" s="17"/>
      <c r="P4612" s="17"/>
      <c r="Q4612" s="22"/>
      <c r="R4612" s="23"/>
    </row>
    <row r="4613" spans="1:18" ht="12.75">
      <c r="A4613" s="22"/>
      <c r="D4613" s="19"/>
      <c r="H4613" s="18"/>
      <c r="J4613" s="18"/>
      <c r="N4613" s="16"/>
      <c r="O4613" s="17"/>
      <c r="P4613" s="17"/>
      <c r="Q4613" s="22"/>
      <c r="R4613" s="23"/>
    </row>
    <row r="4614" spans="1:18" ht="12.75">
      <c r="A4614" s="22"/>
      <c r="D4614" s="19"/>
      <c r="H4614" s="18"/>
      <c r="J4614" s="18"/>
      <c r="N4614" s="16"/>
      <c r="O4614" s="17"/>
      <c r="P4614" s="17"/>
      <c r="Q4614" s="22"/>
      <c r="R4614" s="23"/>
    </row>
    <row r="4615" spans="1:18" ht="12.75">
      <c r="A4615" s="22"/>
      <c r="D4615" s="19"/>
      <c r="H4615" s="18"/>
      <c r="J4615" s="18"/>
      <c r="N4615" s="16"/>
      <c r="O4615" s="17"/>
      <c r="P4615" s="17"/>
      <c r="Q4615" s="22"/>
      <c r="R4615" s="23"/>
    </row>
    <row r="4616" spans="1:18" ht="12.75">
      <c r="A4616" s="22"/>
      <c r="D4616" s="19"/>
      <c r="H4616" s="18"/>
      <c r="J4616" s="18"/>
      <c r="N4616" s="16"/>
      <c r="O4616" s="17"/>
      <c r="P4616" s="17"/>
      <c r="Q4616" s="22"/>
      <c r="R4616" s="23"/>
    </row>
    <row r="4617" spans="1:18" ht="12.75">
      <c r="A4617" s="22"/>
      <c r="D4617" s="19"/>
      <c r="H4617" s="18"/>
      <c r="J4617" s="18"/>
      <c r="N4617" s="16"/>
      <c r="O4617" s="17"/>
      <c r="P4617" s="17"/>
      <c r="Q4617" s="22"/>
      <c r="R4617" s="23"/>
    </row>
    <row r="4618" spans="1:18" ht="12.75">
      <c r="A4618" s="22"/>
      <c r="D4618" s="19"/>
      <c r="H4618" s="18"/>
      <c r="J4618" s="18"/>
      <c r="N4618" s="16"/>
      <c r="O4618" s="17"/>
      <c r="P4618" s="17"/>
      <c r="Q4618" s="22"/>
      <c r="R4618" s="23"/>
    </row>
    <row r="4619" spans="1:18" ht="12.75">
      <c r="A4619" s="22"/>
      <c r="D4619" s="19"/>
      <c r="H4619" s="18"/>
      <c r="J4619" s="18"/>
      <c r="N4619" s="16"/>
      <c r="O4619" s="17"/>
      <c r="P4619" s="17"/>
      <c r="Q4619" s="22"/>
      <c r="R4619" s="23"/>
    </row>
    <row r="4620" spans="1:18" ht="12.75">
      <c r="A4620" s="22"/>
      <c r="D4620" s="19"/>
      <c r="H4620" s="18"/>
      <c r="J4620" s="18"/>
      <c r="N4620" s="16"/>
      <c r="O4620" s="17"/>
      <c r="P4620" s="17"/>
      <c r="Q4620" s="22"/>
      <c r="R4620" s="23"/>
    </row>
    <row r="4621" spans="1:18" ht="12.75">
      <c r="A4621" s="22"/>
      <c r="D4621" s="19"/>
      <c r="H4621" s="18"/>
      <c r="J4621" s="18"/>
      <c r="N4621" s="16"/>
      <c r="O4621" s="17"/>
      <c r="P4621" s="17"/>
      <c r="Q4621" s="22"/>
      <c r="R4621" s="23"/>
    </row>
    <row r="4622" spans="1:18" ht="12.75">
      <c r="A4622" s="22"/>
      <c r="D4622" s="19"/>
      <c r="H4622" s="18"/>
      <c r="J4622" s="18"/>
      <c r="N4622" s="16"/>
      <c r="O4622" s="17"/>
      <c r="P4622" s="17"/>
      <c r="Q4622" s="22"/>
      <c r="R4622" s="23"/>
    </row>
    <row r="4623" spans="1:18" ht="12.75">
      <c r="A4623" s="22"/>
      <c r="D4623" s="19"/>
      <c r="H4623" s="18"/>
      <c r="J4623" s="18"/>
      <c r="N4623" s="16"/>
      <c r="O4623" s="17"/>
      <c r="P4623" s="17"/>
      <c r="Q4623" s="22"/>
      <c r="R4623" s="23"/>
    </row>
    <row r="4624" spans="1:18" ht="12.75">
      <c r="A4624" s="22"/>
      <c r="D4624" s="19"/>
      <c r="H4624" s="18"/>
      <c r="J4624" s="18"/>
      <c r="N4624" s="16"/>
      <c r="O4624" s="17"/>
      <c r="P4624" s="17"/>
      <c r="Q4624" s="22"/>
      <c r="R4624" s="23"/>
    </row>
    <row r="4625" spans="1:18" ht="12.75">
      <c r="A4625" s="22"/>
      <c r="D4625" s="19"/>
      <c r="H4625" s="18"/>
      <c r="J4625" s="18"/>
      <c r="N4625" s="16"/>
      <c r="O4625" s="17"/>
      <c r="P4625" s="17"/>
      <c r="Q4625" s="22"/>
      <c r="R4625" s="23"/>
    </row>
    <row r="4626" spans="1:18" ht="12.75">
      <c r="A4626" s="22"/>
      <c r="D4626" s="19"/>
      <c r="H4626" s="18"/>
      <c r="J4626" s="18"/>
      <c r="N4626" s="16"/>
      <c r="O4626" s="17"/>
      <c r="P4626" s="17"/>
      <c r="Q4626" s="22"/>
      <c r="R4626" s="23"/>
    </row>
    <row r="4627" spans="1:18" ht="12.75">
      <c r="A4627" s="22"/>
      <c r="D4627" s="19"/>
      <c r="H4627" s="18"/>
      <c r="J4627" s="18"/>
      <c r="N4627" s="16"/>
      <c r="O4627" s="17"/>
      <c r="P4627" s="17"/>
      <c r="Q4627" s="22"/>
      <c r="R4627" s="23"/>
    </row>
    <row r="4628" spans="1:18" ht="12.75">
      <c r="A4628" s="22"/>
      <c r="D4628" s="19"/>
      <c r="H4628" s="18"/>
      <c r="J4628" s="18"/>
      <c r="N4628" s="16"/>
      <c r="O4628" s="17"/>
      <c r="P4628" s="17"/>
      <c r="Q4628" s="22"/>
      <c r="R4628" s="23"/>
    </row>
    <row r="4629" spans="1:18" ht="12.75">
      <c r="A4629" s="22"/>
      <c r="D4629" s="19"/>
      <c r="H4629" s="18"/>
      <c r="J4629" s="18"/>
      <c r="N4629" s="16"/>
      <c r="O4629" s="17"/>
      <c r="P4629" s="17"/>
      <c r="Q4629" s="22"/>
      <c r="R4629" s="23"/>
    </row>
    <row r="4630" spans="1:18" ht="12.75">
      <c r="A4630" s="22"/>
      <c r="D4630" s="19"/>
      <c r="H4630" s="18"/>
      <c r="J4630" s="18"/>
      <c r="N4630" s="16"/>
      <c r="O4630" s="17"/>
      <c r="P4630" s="17"/>
      <c r="Q4630" s="22"/>
      <c r="R4630" s="23"/>
    </row>
    <row r="4631" spans="1:18" ht="12.75">
      <c r="A4631" s="22"/>
      <c r="D4631" s="19"/>
      <c r="H4631" s="18"/>
      <c r="J4631" s="18"/>
      <c r="N4631" s="16"/>
      <c r="O4631" s="17"/>
      <c r="P4631" s="17"/>
      <c r="Q4631" s="22"/>
      <c r="R4631" s="23"/>
    </row>
    <row r="4632" spans="1:18" ht="12.75">
      <c r="A4632" s="22"/>
      <c r="D4632" s="19"/>
      <c r="H4632" s="18"/>
      <c r="J4632" s="18"/>
      <c r="N4632" s="16"/>
      <c r="O4632" s="17"/>
      <c r="P4632" s="17"/>
      <c r="Q4632" s="22"/>
      <c r="R4632" s="23"/>
    </row>
    <row r="4633" spans="1:18" ht="12.75">
      <c r="A4633" s="22"/>
      <c r="D4633" s="19"/>
      <c r="H4633" s="18"/>
      <c r="J4633" s="18"/>
      <c r="N4633" s="16"/>
      <c r="O4633" s="17"/>
      <c r="P4633" s="17"/>
      <c r="Q4633" s="22"/>
      <c r="R4633" s="23"/>
    </row>
    <row r="4634" spans="1:18" ht="12.75">
      <c r="A4634" s="22"/>
      <c r="D4634" s="19"/>
      <c r="H4634" s="18"/>
      <c r="J4634" s="18"/>
      <c r="N4634" s="16"/>
      <c r="O4634" s="17"/>
      <c r="P4634" s="17"/>
      <c r="Q4634" s="22"/>
      <c r="R4634" s="23"/>
    </row>
    <row r="4635" spans="1:18" ht="12.75">
      <c r="A4635" s="22"/>
      <c r="D4635" s="19"/>
      <c r="H4635" s="18"/>
      <c r="J4635" s="18"/>
      <c r="N4635" s="16"/>
      <c r="O4635" s="17"/>
      <c r="P4635" s="17"/>
      <c r="Q4635" s="22"/>
      <c r="R4635" s="23"/>
    </row>
    <row r="4636" spans="1:18" ht="12.75">
      <c r="A4636" s="22"/>
      <c r="D4636" s="19"/>
      <c r="H4636" s="18"/>
      <c r="J4636" s="18"/>
      <c r="N4636" s="16"/>
      <c r="O4636" s="17"/>
      <c r="P4636" s="17"/>
      <c r="Q4636" s="22"/>
      <c r="R4636" s="23"/>
    </row>
    <row r="4637" spans="1:18" ht="12.75">
      <c r="A4637" s="22"/>
      <c r="D4637" s="19"/>
      <c r="H4637" s="18"/>
      <c r="J4637" s="18"/>
      <c r="N4637" s="16"/>
      <c r="O4637" s="17"/>
      <c r="P4637" s="17"/>
      <c r="Q4637" s="22"/>
      <c r="R4637" s="23"/>
    </row>
    <row r="4638" spans="1:18" ht="12.75">
      <c r="A4638" s="22"/>
      <c r="D4638" s="19"/>
      <c r="H4638" s="18"/>
      <c r="J4638" s="18"/>
      <c r="N4638" s="16"/>
      <c r="O4638" s="17"/>
      <c r="P4638" s="17"/>
      <c r="Q4638" s="22"/>
      <c r="R4638" s="23"/>
    </row>
    <row r="4639" spans="1:18" ht="12.75">
      <c r="A4639" s="22"/>
      <c r="D4639" s="19"/>
      <c r="H4639" s="18"/>
      <c r="J4639" s="18"/>
      <c r="N4639" s="16"/>
      <c r="O4639" s="17"/>
      <c r="P4639" s="17"/>
      <c r="Q4639" s="22"/>
      <c r="R4639" s="23"/>
    </row>
    <row r="4640" spans="1:18" ht="12.75">
      <c r="A4640" s="22"/>
      <c r="D4640" s="19"/>
      <c r="H4640" s="18"/>
      <c r="J4640" s="18"/>
      <c r="N4640" s="16"/>
      <c r="O4640" s="17"/>
      <c r="P4640" s="17"/>
      <c r="Q4640" s="22"/>
      <c r="R4640" s="23"/>
    </row>
    <row r="4641" spans="1:18" ht="12.75">
      <c r="A4641" s="22"/>
      <c r="D4641" s="19"/>
      <c r="H4641" s="18"/>
      <c r="J4641" s="18"/>
      <c r="N4641" s="16"/>
      <c r="O4641" s="17"/>
      <c r="P4641" s="17"/>
      <c r="Q4641" s="22"/>
      <c r="R4641" s="23"/>
    </row>
    <row r="4642" spans="1:18" ht="12.75">
      <c r="A4642" s="22"/>
      <c r="D4642" s="19"/>
      <c r="H4642" s="18"/>
      <c r="J4642" s="18"/>
      <c r="N4642" s="16"/>
      <c r="O4642" s="17"/>
      <c r="P4642" s="17"/>
      <c r="Q4642" s="22"/>
      <c r="R4642" s="23"/>
    </row>
    <row r="4643" spans="1:18" ht="12.75">
      <c r="A4643" s="22"/>
      <c r="D4643" s="19"/>
      <c r="H4643" s="18"/>
      <c r="J4643" s="18"/>
      <c r="N4643" s="16"/>
      <c r="O4643" s="17"/>
      <c r="P4643" s="17"/>
      <c r="Q4643" s="22"/>
      <c r="R4643" s="23"/>
    </row>
    <row r="4644" spans="1:18" ht="12.75">
      <c r="A4644" s="22"/>
      <c r="D4644" s="19"/>
      <c r="H4644" s="18"/>
      <c r="J4644" s="18"/>
      <c r="N4644" s="16"/>
      <c r="O4644" s="17"/>
      <c r="P4644" s="17"/>
      <c r="Q4644" s="22"/>
      <c r="R4644" s="23"/>
    </row>
    <row r="4645" spans="1:18" ht="12.75">
      <c r="A4645" s="22"/>
      <c r="D4645" s="19"/>
      <c r="H4645" s="18"/>
      <c r="J4645" s="18"/>
      <c r="N4645" s="16"/>
      <c r="O4645" s="17"/>
      <c r="P4645" s="17"/>
      <c r="Q4645" s="22"/>
      <c r="R4645" s="23"/>
    </row>
    <row r="4646" spans="1:18" ht="12.75">
      <c r="A4646" s="22"/>
      <c r="D4646" s="19"/>
      <c r="H4646" s="18"/>
      <c r="J4646" s="18"/>
      <c r="N4646" s="16"/>
      <c r="O4646" s="17"/>
      <c r="P4646" s="17"/>
      <c r="Q4646" s="22"/>
      <c r="R4646" s="23"/>
    </row>
    <row r="4647" spans="1:18" ht="12.75">
      <c r="A4647" s="22"/>
      <c r="D4647" s="19"/>
      <c r="H4647" s="18"/>
      <c r="J4647" s="18"/>
      <c r="N4647" s="16"/>
      <c r="O4647" s="17"/>
      <c r="P4647" s="17"/>
      <c r="Q4647" s="22"/>
      <c r="R4647" s="23"/>
    </row>
    <row r="4648" spans="1:18" ht="12.75">
      <c r="A4648" s="22"/>
      <c r="D4648" s="19"/>
      <c r="H4648" s="18"/>
      <c r="J4648" s="18"/>
      <c r="N4648" s="16"/>
      <c r="O4648" s="17"/>
      <c r="P4648" s="17"/>
      <c r="Q4648" s="22"/>
      <c r="R4648" s="23"/>
    </row>
    <row r="4649" spans="1:18" ht="12.75">
      <c r="A4649" s="22"/>
      <c r="D4649" s="19"/>
      <c r="H4649" s="18"/>
      <c r="J4649" s="18"/>
      <c r="N4649" s="16"/>
      <c r="O4649" s="17"/>
      <c r="P4649" s="17"/>
      <c r="Q4649" s="22"/>
      <c r="R4649" s="23"/>
    </row>
    <row r="4650" spans="1:18" ht="12.75">
      <c r="A4650" s="22"/>
      <c r="D4650" s="19"/>
      <c r="H4650" s="18"/>
      <c r="J4650" s="18"/>
      <c r="N4650" s="16"/>
      <c r="O4650" s="17"/>
      <c r="P4650" s="17"/>
      <c r="Q4650" s="22"/>
      <c r="R4650" s="23"/>
    </row>
    <row r="4651" spans="1:18" ht="12.75">
      <c r="A4651" s="22"/>
      <c r="D4651" s="19"/>
      <c r="H4651" s="18"/>
      <c r="J4651" s="18"/>
      <c r="N4651" s="16"/>
      <c r="O4651" s="17"/>
      <c r="P4651" s="17"/>
      <c r="Q4651" s="22"/>
      <c r="R4651" s="23"/>
    </row>
    <row r="4652" spans="1:18" ht="12.75">
      <c r="A4652" s="22"/>
      <c r="D4652" s="19"/>
      <c r="H4652" s="18"/>
      <c r="J4652" s="18"/>
      <c r="N4652" s="16"/>
      <c r="O4652" s="17"/>
      <c r="P4652" s="17"/>
      <c r="Q4652" s="22"/>
      <c r="R4652" s="23"/>
    </row>
    <row r="4653" spans="1:18" ht="12.75">
      <c r="A4653" s="22"/>
      <c r="D4653" s="19"/>
      <c r="H4653" s="18"/>
      <c r="J4653" s="18"/>
      <c r="N4653" s="16"/>
      <c r="O4653" s="17"/>
      <c r="P4653" s="17"/>
      <c r="Q4653" s="22"/>
      <c r="R4653" s="23"/>
    </row>
    <row r="4654" spans="1:18" ht="12.75">
      <c r="A4654" s="22"/>
      <c r="D4654" s="19"/>
      <c r="H4654" s="18"/>
      <c r="J4654" s="18"/>
      <c r="N4654" s="16"/>
      <c r="O4654" s="17"/>
      <c r="P4654" s="17"/>
      <c r="Q4654" s="22"/>
      <c r="R4654" s="23"/>
    </row>
    <row r="4655" spans="1:18" ht="12.75">
      <c r="A4655" s="22"/>
      <c r="D4655" s="19"/>
      <c r="H4655" s="18"/>
      <c r="J4655" s="18"/>
      <c r="N4655" s="16"/>
      <c r="O4655" s="17"/>
      <c r="P4655" s="17"/>
      <c r="Q4655" s="22"/>
      <c r="R4655" s="23"/>
    </row>
    <row r="4656" spans="1:18" ht="12.75">
      <c r="A4656" s="22"/>
      <c r="D4656" s="19"/>
      <c r="H4656" s="18"/>
      <c r="J4656" s="18"/>
      <c r="N4656" s="16"/>
      <c r="O4656" s="17"/>
      <c r="P4656" s="17"/>
      <c r="Q4656" s="22"/>
      <c r="R4656" s="23"/>
    </row>
    <row r="4657" spans="1:18" ht="12.75">
      <c r="A4657" s="22"/>
      <c r="D4657" s="19"/>
      <c r="H4657" s="18"/>
      <c r="J4657" s="18"/>
      <c r="N4657" s="16"/>
      <c r="O4657" s="17"/>
      <c r="P4657" s="17"/>
      <c r="Q4657" s="22"/>
      <c r="R4657" s="23"/>
    </row>
    <row r="4658" spans="1:18" ht="12.75">
      <c r="A4658" s="22"/>
      <c r="D4658" s="19"/>
      <c r="H4658" s="18"/>
      <c r="J4658" s="18"/>
      <c r="N4658" s="16"/>
      <c r="O4658" s="17"/>
      <c r="P4658" s="17"/>
      <c r="Q4658" s="22"/>
      <c r="R4658" s="23"/>
    </row>
    <row r="4659" spans="1:18" ht="12.75">
      <c r="A4659" s="22"/>
      <c r="D4659" s="19"/>
      <c r="H4659" s="18"/>
      <c r="J4659" s="18"/>
      <c r="N4659" s="16"/>
      <c r="O4659" s="17"/>
      <c r="P4659" s="17"/>
      <c r="Q4659" s="22"/>
      <c r="R4659" s="23"/>
    </row>
    <row r="4660" spans="1:18" ht="12.75">
      <c r="A4660" s="22"/>
      <c r="D4660" s="19"/>
      <c r="H4660" s="18"/>
      <c r="J4660" s="18"/>
      <c r="N4660" s="16"/>
      <c r="O4660" s="17"/>
      <c r="P4660" s="17"/>
      <c r="Q4660" s="22"/>
      <c r="R4660" s="23"/>
    </row>
    <row r="4661" spans="1:18" ht="12.75">
      <c r="A4661" s="22"/>
      <c r="D4661" s="19"/>
      <c r="H4661" s="18"/>
      <c r="J4661" s="18"/>
      <c r="N4661" s="16"/>
      <c r="O4661" s="17"/>
      <c r="P4661" s="17"/>
      <c r="Q4661" s="22"/>
      <c r="R4661" s="23"/>
    </row>
    <row r="4662" spans="1:18" ht="12.75">
      <c r="A4662" s="22"/>
      <c r="D4662" s="19"/>
      <c r="H4662" s="18"/>
      <c r="J4662" s="18"/>
      <c r="N4662" s="16"/>
      <c r="O4662" s="17"/>
      <c r="P4662" s="17"/>
      <c r="Q4662" s="22"/>
      <c r="R4662" s="23"/>
    </row>
    <row r="4663" spans="1:18" ht="12.75">
      <c r="A4663" s="22"/>
      <c r="D4663" s="19"/>
      <c r="H4663" s="18"/>
      <c r="J4663" s="18"/>
      <c r="N4663" s="16"/>
      <c r="O4663" s="17"/>
      <c r="P4663" s="17"/>
      <c r="Q4663" s="22"/>
      <c r="R4663" s="23"/>
    </row>
    <row r="4664" spans="1:18" ht="12.75">
      <c r="A4664" s="22"/>
      <c r="D4664" s="19"/>
      <c r="H4664" s="18"/>
      <c r="J4664" s="18"/>
      <c r="N4664" s="16"/>
      <c r="O4664" s="17"/>
      <c r="P4664" s="17"/>
      <c r="Q4664" s="22"/>
      <c r="R4664" s="23"/>
    </row>
    <row r="4665" spans="1:18" ht="12.75">
      <c r="A4665" s="22"/>
      <c r="D4665" s="19"/>
      <c r="H4665" s="18"/>
      <c r="J4665" s="18"/>
      <c r="N4665" s="16"/>
      <c r="O4665" s="17"/>
      <c r="P4665" s="17"/>
      <c r="Q4665" s="22"/>
      <c r="R4665" s="23"/>
    </row>
    <row r="4666" spans="1:18" ht="12.75">
      <c r="A4666" s="22"/>
      <c r="D4666" s="19"/>
      <c r="H4666" s="18"/>
      <c r="J4666" s="18"/>
      <c r="N4666" s="16"/>
      <c r="O4666" s="17"/>
      <c r="P4666" s="17"/>
      <c r="Q4666" s="22"/>
      <c r="R4666" s="23"/>
    </row>
    <row r="4667" spans="1:18" ht="12.75">
      <c r="A4667" s="22"/>
      <c r="D4667" s="19"/>
      <c r="H4667" s="18"/>
      <c r="J4667" s="18"/>
      <c r="N4667" s="16"/>
      <c r="O4667" s="17"/>
      <c r="P4667" s="17"/>
      <c r="Q4667" s="22"/>
      <c r="R4667" s="23"/>
    </row>
    <row r="4668" spans="1:18" ht="12.75">
      <c r="A4668" s="22"/>
      <c r="D4668" s="19"/>
      <c r="H4668" s="18"/>
      <c r="J4668" s="18"/>
      <c r="N4668" s="16"/>
      <c r="O4668" s="17"/>
      <c r="P4668" s="17"/>
      <c r="Q4668" s="22"/>
      <c r="R4668" s="23"/>
    </row>
    <row r="4669" spans="1:18" ht="12.75">
      <c r="A4669" s="22"/>
      <c r="D4669" s="19"/>
      <c r="H4669" s="18"/>
      <c r="J4669" s="18"/>
      <c r="N4669" s="16"/>
      <c r="O4669" s="17"/>
      <c r="P4669" s="17"/>
      <c r="Q4669" s="22"/>
      <c r="R4669" s="23"/>
    </row>
    <row r="4670" spans="1:18" ht="12.75">
      <c r="A4670" s="22"/>
      <c r="D4670" s="19"/>
      <c r="H4670" s="18"/>
      <c r="J4670" s="18"/>
      <c r="N4670" s="16"/>
      <c r="O4670" s="17"/>
      <c r="P4670" s="17"/>
      <c r="Q4670" s="22"/>
      <c r="R4670" s="23"/>
    </row>
    <row r="4671" spans="1:18" ht="12.75">
      <c r="A4671" s="22"/>
      <c r="D4671" s="19"/>
      <c r="H4671" s="18"/>
      <c r="J4671" s="18"/>
      <c r="N4671" s="16"/>
      <c r="O4671" s="17"/>
      <c r="P4671" s="17"/>
      <c r="Q4671" s="22"/>
      <c r="R4671" s="23"/>
    </row>
    <row r="4672" spans="1:18" ht="12.75">
      <c r="A4672" s="22"/>
      <c r="D4672" s="19"/>
      <c r="H4672" s="18"/>
      <c r="J4672" s="18"/>
      <c r="N4672" s="16"/>
      <c r="O4672" s="17"/>
      <c r="P4672" s="17"/>
      <c r="Q4672" s="22"/>
      <c r="R4672" s="23"/>
    </row>
    <row r="4673" spans="1:18" ht="12.75">
      <c r="A4673" s="22"/>
      <c r="D4673" s="19"/>
      <c r="H4673" s="18"/>
      <c r="J4673" s="18"/>
      <c r="N4673" s="16"/>
      <c r="O4673" s="17"/>
      <c r="P4673" s="17"/>
      <c r="Q4673" s="22"/>
      <c r="R4673" s="23"/>
    </row>
    <row r="4674" spans="1:18" ht="12.75">
      <c r="A4674" s="22"/>
      <c r="D4674" s="19"/>
      <c r="H4674" s="18"/>
      <c r="J4674" s="18"/>
      <c r="N4674" s="16"/>
      <c r="O4674" s="17"/>
      <c r="P4674" s="17"/>
      <c r="Q4674" s="22"/>
      <c r="R4674" s="23"/>
    </row>
    <row r="4675" spans="1:18" ht="12.75">
      <c r="A4675" s="22"/>
      <c r="D4675" s="19"/>
      <c r="H4675" s="18"/>
      <c r="J4675" s="18"/>
      <c r="N4675" s="16"/>
      <c r="O4675" s="17"/>
      <c r="P4675" s="17"/>
      <c r="Q4675" s="22"/>
      <c r="R4675" s="23"/>
    </row>
    <row r="4676" spans="1:18" ht="12.75">
      <c r="A4676" s="22"/>
      <c r="D4676" s="19"/>
      <c r="H4676" s="18"/>
      <c r="J4676" s="18"/>
      <c r="N4676" s="16"/>
      <c r="O4676" s="17"/>
      <c r="P4676" s="17"/>
      <c r="Q4676" s="22"/>
      <c r="R4676" s="23"/>
    </row>
    <row r="4677" spans="1:18" ht="12.75">
      <c r="A4677" s="22"/>
      <c r="D4677" s="19"/>
      <c r="H4677" s="18"/>
      <c r="J4677" s="18"/>
      <c r="N4677" s="16"/>
      <c r="O4677" s="17"/>
      <c r="P4677" s="17"/>
      <c r="Q4677" s="22"/>
      <c r="R4677" s="23"/>
    </row>
    <row r="4678" spans="1:18" ht="12.75">
      <c r="A4678" s="22"/>
      <c r="D4678" s="19"/>
      <c r="H4678" s="18"/>
      <c r="J4678" s="18"/>
      <c r="N4678" s="16"/>
      <c r="O4678" s="17"/>
      <c r="P4678" s="17"/>
      <c r="Q4678" s="22"/>
      <c r="R4678" s="23"/>
    </row>
    <row r="4679" spans="1:18" ht="12.75">
      <c r="A4679" s="22"/>
      <c r="D4679" s="19"/>
      <c r="H4679" s="18"/>
      <c r="J4679" s="18"/>
      <c r="N4679" s="16"/>
      <c r="O4679" s="17"/>
      <c r="P4679" s="17"/>
      <c r="Q4679" s="22"/>
      <c r="R4679" s="23"/>
    </row>
    <row r="4680" spans="1:18" ht="12.75">
      <c r="A4680" s="22"/>
      <c r="D4680" s="19"/>
      <c r="H4680" s="18"/>
      <c r="J4680" s="18"/>
      <c r="N4680" s="16"/>
      <c r="O4680" s="17"/>
      <c r="P4680" s="17"/>
      <c r="Q4680" s="22"/>
      <c r="R4680" s="23"/>
    </row>
    <row r="4681" spans="1:18" ht="12.75">
      <c r="A4681" s="22"/>
      <c r="D4681" s="19"/>
      <c r="H4681" s="18"/>
      <c r="J4681" s="18"/>
      <c r="N4681" s="16"/>
      <c r="O4681" s="17"/>
      <c r="P4681" s="17"/>
      <c r="Q4681" s="22"/>
      <c r="R4681" s="23"/>
    </row>
    <row r="4682" spans="1:18" ht="12.75">
      <c r="A4682" s="22"/>
      <c r="D4682" s="19"/>
      <c r="H4682" s="18"/>
      <c r="J4682" s="18"/>
      <c r="N4682" s="16"/>
      <c r="O4682" s="17"/>
      <c r="P4682" s="17"/>
      <c r="Q4682" s="22"/>
      <c r="R4682" s="23"/>
    </row>
    <row r="4683" spans="1:18" ht="12.75">
      <c r="A4683" s="22"/>
      <c r="D4683" s="19"/>
      <c r="H4683" s="18"/>
      <c r="J4683" s="18"/>
      <c r="N4683" s="16"/>
      <c r="O4683" s="17"/>
      <c r="P4683" s="17"/>
      <c r="Q4683" s="22"/>
      <c r="R4683" s="23"/>
    </row>
    <row r="4684" spans="1:18" ht="12.75">
      <c r="A4684" s="22"/>
      <c r="D4684" s="19"/>
      <c r="H4684" s="18"/>
      <c r="J4684" s="18"/>
      <c r="N4684" s="16"/>
      <c r="O4684" s="17"/>
      <c r="P4684" s="17"/>
      <c r="Q4684" s="22"/>
      <c r="R4684" s="23"/>
    </row>
    <row r="4685" spans="1:18" ht="12.75">
      <c r="A4685" s="22"/>
      <c r="D4685" s="19"/>
      <c r="H4685" s="18"/>
      <c r="J4685" s="18"/>
      <c r="N4685" s="16"/>
      <c r="O4685" s="17"/>
      <c r="P4685" s="17"/>
      <c r="Q4685" s="22"/>
      <c r="R4685" s="23"/>
    </row>
    <row r="4686" spans="1:18" ht="12.75">
      <c r="A4686" s="22"/>
      <c r="D4686" s="19"/>
      <c r="H4686" s="18"/>
      <c r="J4686" s="18"/>
      <c r="N4686" s="16"/>
      <c r="O4686" s="17"/>
      <c r="P4686" s="17"/>
      <c r="Q4686" s="22"/>
      <c r="R4686" s="23"/>
    </row>
    <row r="4687" spans="1:18" ht="12.75">
      <c r="A4687" s="22"/>
      <c r="D4687" s="19"/>
      <c r="H4687" s="18"/>
      <c r="J4687" s="18"/>
      <c r="N4687" s="16"/>
      <c r="O4687" s="17"/>
      <c r="P4687" s="17"/>
      <c r="Q4687" s="22"/>
      <c r="R4687" s="23"/>
    </row>
    <row r="4688" spans="1:18" ht="12.75">
      <c r="A4688" s="22"/>
      <c r="D4688" s="19"/>
      <c r="H4688" s="18"/>
      <c r="J4688" s="18"/>
      <c r="N4688" s="16"/>
      <c r="O4688" s="17"/>
      <c r="P4688" s="17"/>
      <c r="Q4688" s="22"/>
      <c r="R4688" s="23"/>
    </row>
    <row r="4689" spans="1:18" ht="12.75">
      <c r="A4689" s="22"/>
      <c r="D4689" s="19"/>
      <c r="H4689" s="18"/>
      <c r="J4689" s="18"/>
      <c r="N4689" s="16"/>
      <c r="O4689" s="17"/>
      <c r="P4689" s="17"/>
      <c r="Q4689" s="22"/>
      <c r="R4689" s="23"/>
    </row>
    <row r="4690" spans="1:18" ht="12.75">
      <c r="A4690" s="22"/>
      <c r="D4690" s="19"/>
      <c r="H4690" s="18"/>
      <c r="J4690" s="18"/>
      <c r="N4690" s="16"/>
      <c r="O4690" s="17"/>
      <c r="P4690" s="17"/>
      <c r="Q4690" s="22"/>
      <c r="R4690" s="23"/>
    </row>
    <row r="4691" spans="1:18" ht="12.75">
      <c r="A4691" s="22"/>
      <c r="D4691" s="19"/>
      <c r="H4691" s="18"/>
      <c r="J4691" s="18"/>
      <c r="N4691" s="16"/>
      <c r="O4691" s="17"/>
      <c r="P4691" s="17"/>
      <c r="Q4691" s="22"/>
      <c r="R4691" s="23"/>
    </row>
    <row r="4692" spans="1:18" ht="12.75">
      <c r="A4692" s="22"/>
      <c r="D4692" s="19"/>
      <c r="H4692" s="18"/>
      <c r="J4692" s="18"/>
      <c r="N4692" s="16"/>
      <c r="O4692" s="17"/>
      <c r="P4692" s="17"/>
      <c r="Q4692" s="22"/>
      <c r="R4692" s="23"/>
    </row>
    <row r="4693" spans="1:18" ht="12.75">
      <c r="A4693" s="22"/>
      <c r="D4693" s="19"/>
      <c r="H4693" s="18"/>
      <c r="J4693" s="18"/>
      <c r="N4693" s="16"/>
      <c r="O4693" s="17"/>
      <c r="P4693" s="17"/>
      <c r="Q4693" s="22"/>
      <c r="R4693" s="23"/>
    </row>
    <row r="4694" spans="1:18" ht="12.75">
      <c r="A4694" s="22"/>
      <c r="D4694" s="19"/>
      <c r="H4694" s="18"/>
      <c r="J4694" s="18"/>
      <c r="N4694" s="16"/>
      <c r="O4694" s="17"/>
      <c r="P4694" s="17"/>
      <c r="Q4694" s="22"/>
      <c r="R4694" s="23"/>
    </row>
    <row r="4695" spans="1:18" ht="12.75">
      <c r="A4695" s="22"/>
      <c r="D4695" s="19"/>
      <c r="H4695" s="18"/>
      <c r="J4695" s="18"/>
      <c r="N4695" s="16"/>
      <c r="O4695" s="17"/>
      <c r="P4695" s="17"/>
      <c r="Q4695" s="22"/>
      <c r="R4695" s="23"/>
    </row>
    <row r="4696" spans="1:18" ht="12.75">
      <c r="A4696" s="22"/>
      <c r="D4696" s="19"/>
      <c r="H4696" s="18"/>
      <c r="J4696" s="18"/>
      <c r="N4696" s="16"/>
      <c r="O4696" s="17"/>
      <c r="P4696" s="17"/>
      <c r="Q4696" s="22"/>
      <c r="R4696" s="23"/>
    </row>
    <row r="4697" spans="1:18" ht="12.75">
      <c r="A4697" s="22"/>
      <c r="D4697" s="19"/>
      <c r="H4697" s="18"/>
      <c r="J4697" s="18"/>
      <c r="N4697" s="16"/>
      <c r="O4697" s="17"/>
      <c r="P4697" s="17"/>
      <c r="Q4697" s="22"/>
      <c r="R4697" s="23"/>
    </row>
    <row r="4698" spans="1:18" ht="12.75">
      <c r="A4698" s="22"/>
      <c r="D4698" s="19"/>
      <c r="H4698" s="18"/>
      <c r="J4698" s="18"/>
      <c r="N4698" s="16"/>
      <c r="O4698" s="17"/>
      <c r="P4698" s="17"/>
      <c r="Q4698" s="22"/>
      <c r="R4698" s="23"/>
    </row>
    <row r="4699" spans="1:18" ht="12.75">
      <c r="A4699" s="22"/>
      <c r="D4699" s="19"/>
      <c r="H4699" s="18"/>
      <c r="J4699" s="18"/>
      <c r="N4699" s="16"/>
      <c r="O4699" s="17"/>
      <c r="P4699" s="17"/>
      <c r="Q4699" s="22"/>
      <c r="R4699" s="23"/>
    </row>
    <row r="4700" spans="1:18" ht="12.75">
      <c r="A4700" s="22"/>
      <c r="D4700" s="19"/>
      <c r="H4700" s="18"/>
      <c r="J4700" s="18"/>
      <c r="N4700" s="16"/>
      <c r="O4700" s="17"/>
      <c r="P4700" s="17"/>
      <c r="Q4700" s="22"/>
      <c r="R4700" s="23"/>
    </row>
    <row r="4701" spans="1:18" ht="12.75">
      <c r="A4701" s="22"/>
      <c r="D4701" s="19"/>
      <c r="H4701" s="18"/>
      <c r="J4701" s="18"/>
      <c r="N4701" s="16"/>
      <c r="O4701" s="17"/>
      <c r="P4701" s="17"/>
      <c r="Q4701" s="22"/>
      <c r="R4701" s="23"/>
    </row>
    <row r="4702" spans="1:18" ht="12.75">
      <c r="A4702" s="22"/>
      <c r="D4702" s="19"/>
      <c r="H4702" s="18"/>
      <c r="J4702" s="18"/>
      <c r="N4702" s="16"/>
      <c r="O4702" s="17"/>
      <c r="P4702" s="17"/>
      <c r="Q4702" s="22"/>
      <c r="R4702" s="23"/>
    </row>
    <row r="4703" spans="1:18" ht="12.75">
      <c r="A4703" s="22"/>
      <c r="D4703" s="19"/>
      <c r="H4703" s="18"/>
      <c r="J4703" s="18"/>
      <c r="N4703" s="16"/>
      <c r="O4703" s="17"/>
      <c r="P4703" s="17"/>
      <c r="Q4703" s="22"/>
      <c r="R4703" s="23"/>
    </row>
    <row r="4704" spans="1:18" ht="12.75">
      <c r="A4704" s="22"/>
      <c r="D4704" s="19"/>
      <c r="H4704" s="18"/>
      <c r="J4704" s="18"/>
      <c r="N4704" s="16"/>
      <c r="O4704" s="17"/>
      <c r="P4704" s="17"/>
      <c r="Q4704" s="22"/>
      <c r="R4704" s="23"/>
    </row>
    <row r="4705" spans="1:18" ht="12.75">
      <c r="A4705" s="22"/>
      <c r="D4705" s="19"/>
      <c r="H4705" s="18"/>
      <c r="J4705" s="18"/>
      <c r="N4705" s="16"/>
      <c r="O4705" s="17"/>
      <c r="P4705" s="17"/>
      <c r="Q4705" s="22"/>
      <c r="R4705" s="23"/>
    </row>
    <row r="4706" spans="1:18" ht="12.75">
      <c r="A4706" s="22"/>
      <c r="D4706" s="19"/>
      <c r="H4706" s="18"/>
      <c r="J4706" s="18"/>
      <c r="N4706" s="16"/>
      <c r="O4706" s="17"/>
      <c r="P4706" s="17"/>
      <c r="Q4706" s="22"/>
      <c r="R4706" s="23"/>
    </row>
    <row r="4707" spans="1:18" ht="12.75">
      <c r="A4707" s="22"/>
      <c r="D4707" s="19"/>
      <c r="H4707" s="18"/>
      <c r="J4707" s="18"/>
      <c r="N4707" s="16"/>
      <c r="O4707" s="17"/>
      <c r="P4707" s="17"/>
      <c r="Q4707" s="22"/>
      <c r="R4707" s="23"/>
    </row>
    <row r="4708" spans="1:18" ht="12.75">
      <c r="A4708" s="22"/>
      <c r="D4708" s="19"/>
      <c r="H4708" s="18"/>
      <c r="J4708" s="18"/>
      <c r="N4708" s="16"/>
      <c r="O4708" s="17"/>
      <c r="P4708" s="17"/>
      <c r="Q4708" s="22"/>
      <c r="R4708" s="23"/>
    </row>
    <row r="4709" spans="1:18" ht="12.75">
      <c r="A4709" s="22"/>
      <c r="D4709" s="19"/>
      <c r="H4709" s="18"/>
      <c r="J4709" s="18"/>
      <c r="N4709" s="16"/>
      <c r="O4709" s="17"/>
      <c r="P4709" s="17"/>
      <c r="Q4709" s="22"/>
      <c r="R4709" s="23"/>
    </row>
    <row r="4710" spans="1:18" ht="12.75">
      <c r="A4710" s="22"/>
      <c r="D4710" s="19"/>
      <c r="H4710" s="18"/>
      <c r="J4710" s="18"/>
      <c r="N4710" s="16"/>
      <c r="O4710" s="17"/>
      <c r="P4710" s="17"/>
      <c r="Q4710" s="22"/>
      <c r="R4710" s="23"/>
    </row>
    <row r="4711" spans="1:18" ht="12.75">
      <c r="A4711" s="22"/>
      <c r="D4711" s="19"/>
      <c r="H4711" s="18"/>
      <c r="J4711" s="18"/>
      <c r="N4711" s="16"/>
      <c r="O4711" s="17"/>
      <c r="P4711" s="17"/>
      <c r="Q4711" s="22"/>
      <c r="R4711" s="23"/>
    </row>
    <row r="4712" spans="1:18" ht="12.75">
      <c r="A4712" s="22"/>
      <c r="D4712" s="19"/>
      <c r="H4712" s="18"/>
      <c r="J4712" s="18"/>
      <c r="N4712" s="16"/>
      <c r="O4712" s="17"/>
      <c r="P4712" s="17"/>
      <c r="Q4712" s="22"/>
      <c r="R4712" s="23"/>
    </row>
    <row r="4713" spans="1:18" ht="12.75">
      <c r="A4713" s="22"/>
      <c r="D4713" s="19"/>
      <c r="H4713" s="18"/>
      <c r="J4713" s="18"/>
      <c r="N4713" s="16"/>
      <c r="O4713" s="17"/>
      <c r="P4713" s="17"/>
      <c r="Q4713" s="22"/>
      <c r="R4713" s="23"/>
    </row>
    <row r="4714" spans="1:18" ht="12.75">
      <c r="A4714" s="22"/>
      <c r="D4714" s="19"/>
      <c r="H4714" s="18"/>
      <c r="J4714" s="18"/>
      <c r="N4714" s="16"/>
      <c r="O4714" s="17"/>
      <c r="P4714" s="17"/>
      <c r="Q4714" s="22"/>
      <c r="R4714" s="23"/>
    </row>
    <row r="4715" spans="1:18" ht="12.75">
      <c r="A4715" s="22"/>
      <c r="D4715" s="19"/>
      <c r="H4715" s="18"/>
      <c r="J4715" s="18"/>
      <c r="N4715" s="16"/>
      <c r="O4715" s="17"/>
      <c r="P4715" s="17"/>
      <c r="Q4715" s="22"/>
      <c r="R4715" s="23"/>
    </row>
    <row r="4716" spans="1:18" ht="12.75">
      <c r="A4716" s="22"/>
      <c r="D4716" s="19"/>
      <c r="H4716" s="18"/>
      <c r="J4716" s="18"/>
      <c r="N4716" s="16"/>
      <c r="O4716" s="17"/>
      <c r="P4716" s="17"/>
      <c r="Q4716" s="22"/>
      <c r="R4716" s="23"/>
    </row>
    <row r="4717" spans="1:18" ht="12.75">
      <c r="A4717" s="22"/>
      <c r="D4717" s="19"/>
      <c r="H4717" s="18"/>
      <c r="J4717" s="18"/>
      <c r="N4717" s="16"/>
      <c r="O4717" s="17"/>
      <c r="P4717" s="17"/>
      <c r="Q4717" s="22"/>
      <c r="R4717" s="23"/>
    </row>
    <row r="4718" spans="1:18" ht="12.75">
      <c r="A4718" s="22"/>
      <c r="D4718" s="19"/>
      <c r="H4718" s="18"/>
      <c r="J4718" s="18"/>
      <c r="N4718" s="16"/>
      <c r="O4718" s="17"/>
      <c r="P4718" s="17"/>
      <c r="Q4718" s="22"/>
      <c r="R4718" s="23"/>
    </row>
    <row r="4719" spans="1:18" ht="12.75">
      <c r="A4719" s="22"/>
      <c r="D4719" s="19"/>
      <c r="H4719" s="18"/>
      <c r="J4719" s="18"/>
      <c r="N4719" s="16"/>
      <c r="O4719" s="17"/>
      <c r="P4719" s="17"/>
      <c r="Q4719" s="22"/>
      <c r="R4719" s="23"/>
    </row>
    <row r="4720" spans="1:18" ht="12.75">
      <c r="A4720" s="22"/>
      <c r="D4720" s="19"/>
      <c r="H4720" s="18"/>
      <c r="J4720" s="18"/>
      <c r="N4720" s="16"/>
      <c r="O4720" s="17"/>
      <c r="P4720" s="17"/>
      <c r="Q4720" s="22"/>
      <c r="R4720" s="23"/>
    </row>
    <row r="4721" spans="1:18" ht="12.75">
      <c r="A4721" s="22"/>
      <c r="D4721" s="19"/>
      <c r="H4721" s="18"/>
      <c r="J4721" s="18"/>
      <c r="N4721" s="16"/>
      <c r="O4721" s="17"/>
      <c r="P4721" s="17"/>
      <c r="Q4721" s="22"/>
      <c r="R4721" s="23"/>
    </row>
    <row r="4722" spans="1:18" ht="12.75">
      <c r="A4722" s="22"/>
      <c r="D4722" s="19"/>
      <c r="H4722" s="18"/>
      <c r="J4722" s="18"/>
      <c r="N4722" s="16"/>
      <c r="O4722" s="17"/>
      <c r="P4722" s="17"/>
      <c r="Q4722" s="22"/>
      <c r="R4722" s="23"/>
    </row>
    <row r="4723" spans="1:18" ht="12.75">
      <c r="A4723" s="22"/>
      <c r="D4723" s="19"/>
      <c r="H4723" s="18"/>
      <c r="J4723" s="18"/>
      <c r="N4723" s="16"/>
      <c r="O4723" s="17"/>
      <c r="P4723" s="17"/>
      <c r="Q4723" s="22"/>
      <c r="R4723" s="23"/>
    </row>
    <row r="4724" spans="1:18" ht="12.75">
      <c r="A4724" s="22"/>
      <c r="D4724" s="19"/>
      <c r="H4724" s="18"/>
      <c r="J4724" s="18"/>
      <c r="N4724" s="16"/>
      <c r="O4724" s="17"/>
      <c r="P4724" s="17"/>
      <c r="Q4724" s="22"/>
      <c r="R4724" s="23"/>
    </row>
    <row r="4725" spans="1:18" ht="12.75">
      <c r="A4725" s="22"/>
      <c r="D4725" s="19"/>
      <c r="H4725" s="18"/>
      <c r="J4725" s="18"/>
      <c r="N4725" s="16"/>
      <c r="O4725" s="17"/>
      <c r="P4725" s="17"/>
      <c r="Q4725" s="22"/>
      <c r="R4725" s="23"/>
    </row>
    <row r="4726" spans="1:18" ht="12.75">
      <c r="A4726" s="22"/>
      <c r="D4726" s="19"/>
      <c r="H4726" s="18"/>
      <c r="J4726" s="18"/>
      <c r="N4726" s="16"/>
      <c r="O4726" s="17"/>
      <c r="P4726" s="17"/>
      <c r="Q4726" s="22"/>
      <c r="R4726" s="23"/>
    </row>
    <row r="4727" spans="1:18" ht="12.75">
      <c r="A4727" s="22"/>
      <c r="D4727" s="19"/>
      <c r="H4727" s="18"/>
      <c r="J4727" s="18"/>
      <c r="N4727" s="16"/>
      <c r="O4727" s="17"/>
      <c r="P4727" s="17"/>
      <c r="Q4727" s="22"/>
      <c r="R4727" s="23"/>
    </row>
    <row r="4728" spans="1:18" ht="12.75">
      <c r="A4728" s="22"/>
      <c r="D4728" s="19"/>
      <c r="H4728" s="18"/>
      <c r="J4728" s="18"/>
      <c r="N4728" s="16"/>
      <c r="O4728" s="17"/>
      <c r="P4728" s="17"/>
      <c r="Q4728" s="22"/>
      <c r="R4728" s="23"/>
    </row>
    <row r="4729" spans="1:18" ht="12.75">
      <c r="A4729" s="22"/>
      <c r="D4729" s="19"/>
      <c r="H4729" s="18"/>
      <c r="J4729" s="18"/>
      <c r="N4729" s="16"/>
      <c r="O4729" s="17"/>
      <c r="P4729" s="17"/>
      <c r="Q4729" s="22"/>
      <c r="R4729" s="23"/>
    </row>
    <row r="4730" spans="1:18" ht="12.75">
      <c r="A4730" s="22"/>
      <c r="D4730" s="19"/>
      <c r="H4730" s="18"/>
      <c r="J4730" s="18"/>
      <c r="N4730" s="16"/>
      <c r="O4730" s="17"/>
      <c r="P4730" s="17"/>
      <c r="Q4730" s="22"/>
      <c r="R4730" s="23"/>
    </row>
    <row r="4731" spans="1:18" ht="12.75">
      <c r="A4731" s="22"/>
      <c r="D4731" s="19"/>
      <c r="H4731" s="18"/>
      <c r="J4731" s="18"/>
      <c r="N4731" s="16"/>
      <c r="O4731" s="17"/>
      <c r="P4731" s="17"/>
      <c r="Q4731" s="22"/>
      <c r="R4731" s="23"/>
    </row>
    <row r="4732" spans="1:18" ht="12.75">
      <c r="A4732" s="22"/>
      <c r="D4732" s="19"/>
      <c r="H4732" s="18"/>
      <c r="J4732" s="18"/>
      <c r="N4732" s="16"/>
      <c r="O4732" s="17"/>
      <c r="P4732" s="17"/>
      <c r="Q4732" s="22"/>
      <c r="R4732" s="23"/>
    </row>
    <row r="4733" spans="1:18" ht="12.75">
      <c r="A4733" s="22"/>
      <c r="D4733" s="19"/>
      <c r="H4733" s="18"/>
      <c r="J4733" s="18"/>
      <c r="N4733" s="16"/>
      <c r="O4733" s="17"/>
      <c r="P4733" s="17"/>
      <c r="Q4733" s="22"/>
      <c r="R4733" s="23"/>
    </row>
    <row r="4734" spans="1:18" ht="12.75">
      <c r="A4734" s="22"/>
      <c r="D4734" s="19"/>
      <c r="H4734" s="18"/>
      <c r="J4734" s="18"/>
      <c r="N4734" s="16"/>
      <c r="O4734" s="17"/>
      <c r="P4734" s="17"/>
      <c r="Q4734" s="22"/>
      <c r="R4734" s="23"/>
    </row>
    <row r="4735" spans="1:18" ht="12.75">
      <c r="A4735" s="22"/>
      <c r="D4735" s="19"/>
      <c r="H4735" s="18"/>
      <c r="J4735" s="18"/>
      <c r="N4735" s="16"/>
      <c r="O4735" s="17"/>
      <c r="P4735" s="17"/>
      <c r="Q4735" s="22"/>
      <c r="R4735" s="23"/>
    </row>
    <row r="4736" spans="1:18" ht="12.75">
      <c r="A4736" s="22"/>
      <c r="D4736" s="19"/>
      <c r="H4736" s="18"/>
      <c r="J4736" s="18"/>
      <c r="N4736" s="16"/>
      <c r="O4736" s="17"/>
      <c r="P4736" s="17"/>
      <c r="Q4736" s="22"/>
      <c r="R4736" s="23"/>
    </row>
    <row r="4737" spans="1:18" ht="12.75">
      <c r="A4737" s="22"/>
      <c r="D4737" s="19"/>
      <c r="H4737" s="18"/>
      <c r="J4737" s="18"/>
      <c r="N4737" s="16"/>
      <c r="O4737" s="17"/>
      <c r="P4737" s="17"/>
      <c r="Q4737" s="22"/>
      <c r="R4737" s="23"/>
    </row>
    <row r="4738" spans="1:18" ht="12.75">
      <c r="A4738" s="22"/>
      <c r="D4738" s="19"/>
      <c r="H4738" s="18"/>
      <c r="J4738" s="18"/>
      <c r="N4738" s="16"/>
      <c r="O4738" s="17"/>
      <c r="P4738" s="17"/>
      <c r="Q4738" s="22"/>
      <c r="R4738" s="23"/>
    </row>
    <row r="4739" spans="1:18" ht="12.75">
      <c r="A4739" s="22"/>
      <c r="D4739" s="19"/>
      <c r="H4739" s="18"/>
      <c r="J4739" s="18"/>
      <c r="N4739" s="16"/>
      <c r="O4739" s="17"/>
      <c r="P4739" s="17"/>
      <c r="Q4739" s="22"/>
      <c r="R4739" s="23"/>
    </row>
    <row r="4740" spans="1:18" ht="12.75">
      <c r="A4740" s="22"/>
      <c r="D4740" s="19"/>
      <c r="H4740" s="18"/>
      <c r="J4740" s="18"/>
      <c r="N4740" s="16"/>
      <c r="O4740" s="17"/>
      <c r="P4740" s="17"/>
      <c r="Q4740" s="22"/>
      <c r="R4740" s="23"/>
    </row>
    <row r="4741" spans="1:18" ht="12.75">
      <c r="A4741" s="22"/>
      <c r="D4741" s="19"/>
      <c r="H4741" s="18"/>
      <c r="J4741" s="18"/>
      <c r="N4741" s="16"/>
      <c r="O4741" s="17"/>
      <c r="P4741" s="17"/>
      <c r="Q4741" s="22"/>
      <c r="R4741" s="23"/>
    </row>
    <row r="4742" spans="1:18" ht="12.75">
      <c r="A4742" s="22"/>
      <c r="D4742" s="19"/>
      <c r="H4742" s="18"/>
      <c r="J4742" s="18"/>
      <c r="N4742" s="16"/>
      <c r="O4742" s="17"/>
      <c r="P4742" s="17"/>
      <c r="Q4742" s="22"/>
      <c r="R4742" s="23"/>
    </row>
    <row r="4743" spans="1:18" ht="12.75">
      <c r="A4743" s="22"/>
      <c r="D4743" s="19"/>
      <c r="H4743" s="18"/>
      <c r="J4743" s="18"/>
      <c r="N4743" s="16"/>
      <c r="O4743" s="17"/>
      <c r="P4743" s="17"/>
      <c r="Q4743" s="22"/>
      <c r="R4743" s="23"/>
    </row>
    <row r="4744" spans="1:18" ht="12.75">
      <c r="A4744" s="22"/>
      <c r="D4744" s="19"/>
      <c r="H4744" s="18"/>
      <c r="J4744" s="18"/>
      <c r="N4744" s="16"/>
      <c r="O4744" s="17"/>
      <c r="P4744" s="17"/>
      <c r="Q4744" s="22"/>
      <c r="R4744" s="23"/>
    </row>
    <row r="4745" spans="1:18" ht="12.75">
      <c r="A4745" s="22"/>
      <c r="D4745" s="19"/>
      <c r="H4745" s="18"/>
      <c r="J4745" s="18"/>
      <c r="N4745" s="16"/>
      <c r="O4745" s="17"/>
      <c r="P4745" s="17"/>
      <c r="Q4745" s="22"/>
      <c r="R4745" s="23"/>
    </row>
    <row r="4746" spans="1:18" ht="12.75">
      <c r="A4746" s="22"/>
      <c r="D4746" s="19"/>
      <c r="H4746" s="18"/>
      <c r="J4746" s="18"/>
      <c r="N4746" s="16"/>
      <c r="O4746" s="17"/>
      <c r="P4746" s="17"/>
      <c r="Q4746" s="22"/>
      <c r="R4746" s="23"/>
    </row>
    <row r="4747" spans="1:18" ht="12.75">
      <c r="A4747" s="22"/>
      <c r="D4747" s="19"/>
      <c r="H4747" s="18"/>
      <c r="J4747" s="18"/>
      <c r="N4747" s="16"/>
      <c r="O4747" s="17"/>
      <c r="P4747" s="17"/>
      <c r="Q4747" s="22"/>
      <c r="R4747" s="23"/>
    </row>
    <row r="4748" spans="1:18" ht="12.75">
      <c r="A4748" s="22"/>
      <c r="D4748" s="19"/>
      <c r="H4748" s="18"/>
      <c r="J4748" s="18"/>
      <c r="N4748" s="16"/>
      <c r="O4748" s="17"/>
      <c r="P4748" s="17"/>
      <c r="Q4748" s="22"/>
      <c r="R4748" s="23"/>
    </row>
    <row r="4749" spans="1:18" ht="12.75">
      <c r="A4749" s="22"/>
      <c r="D4749" s="19"/>
      <c r="H4749" s="18"/>
      <c r="J4749" s="18"/>
      <c r="N4749" s="16"/>
      <c r="O4749" s="17"/>
      <c r="P4749" s="17"/>
      <c r="Q4749" s="22"/>
      <c r="R4749" s="23"/>
    </row>
    <row r="4750" spans="1:18" ht="12.75">
      <c r="A4750" s="22"/>
      <c r="D4750" s="19"/>
      <c r="H4750" s="18"/>
      <c r="J4750" s="18"/>
      <c r="N4750" s="16"/>
      <c r="O4750" s="17"/>
      <c r="P4750" s="17"/>
      <c r="Q4750" s="22"/>
      <c r="R4750" s="23"/>
    </row>
    <row r="4751" spans="1:18" ht="12.75">
      <c r="A4751" s="22"/>
      <c r="D4751" s="19"/>
      <c r="H4751" s="18"/>
      <c r="J4751" s="18"/>
      <c r="N4751" s="16"/>
      <c r="O4751" s="17"/>
      <c r="P4751" s="17"/>
      <c r="Q4751" s="22"/>
      <c r="R4751" s="23"/>
    </row>
    <row r="4752" spans="1:18" ht="12.75">
      <c r="A4752" s="22"/>
      <c r="D4752" s="19"/>
      <c r="H4752" s="18"/>
      <c r="J4752" s="18"/>
      <c r="N4752" s="16"/>
      <c r="O4752" s="17"/>
      <c r="P4752" s="17"/>
      <c r="Q4752" s="22"/>
      <c r="R4752" s="23"/>
    </row>
    <row r="4753" spans="1:18" ht="12.75">
      <c r="A4753" s="22"/>
      <c r="D4753" s="19"/>
      <c r="H4753" s="18"/>
      <c r="J4753" s="18"/>
      <c r="N4753" s="16"/>
      <c r="O4753" s="17"/>
      <c r="P4753" s="17"/>
      <c r="Q4753" s="22"/>
      <c r="R4753" s="23"/>
    </row>
    <row r="4754" spans="1:18" ht="12.75">
      <c r="A4754" s="22"/>
      <c r="D4754" s="19"/>
      <c r="H4754" s="18"/>
      <c r="J4754" s="18"/>
      <c r="N4754" s="16"/>
      <c r="O4754" s="17"/>
      <c r="P4754" s="17"/>
      <c r="Q4754" s="22"/>
      <c r="R4754" s="23"/>
    </row>
    <row r="4755" spans="1:18" ht="12.75">
      <c r="A4755" s="22"/>
      <c r="D4755" s="19"/>
      <c r="H4755" s="18"/>
      <c r="J4755" s="18"/>
      <c r="N4755" s="16"/>
      <c r="O4755" s="17"/>
      <c r="P4755" s="17"/>
      <c r="Q4755" s="22"/>
      <c r="R4755" s="23"/>
    </row>
    <row r="4756" spans="1:18" ht="12.75">
      <c r="A4756" s="22"/>
      <c r="D4756" s="19"/>
      <c r="H4756" s="18"/>
      <c r="J4756" s="18"/>
      <c r="N4756" s="16"/>
      <c r="O4756" s="17"/>
      <c r="P4756" s="17"/>
      <c r="Q4756" s="22"/>
      <c r="R4756" s="23"/>
    </row>
    <row r="4757" spans="1:18" ht="12.75">
      <c r="A4757" s="22"/>
      <c r="D4757" s="19"/>
      <c r="H4757" s="18"/>
      <c r="J4757" s="18"/>
      <c r="N4757" s="16"/>
      <c r="O4757" s="17"/>
      <c r="P4757" s="17"/>
      <c r="Q4757" s="22"/>
      <c r="R4757" s="23"/>
    </row>
    <row r="4758" spans="1:18" ht="12.75">
      <c r="A4758" s="22"/>
      <c r="D4758" s="19"/>
      <c r="H4758" s="18"/>
      <c r="J4758" s="18"/>
      <c r="N4758" s="16"/>
      <c r="O4758" s="17"/>
      <c r="P4758" s="17"/>
      <c r="Q4758" s="22"/>
      <c r="R4758" s="23"/>
    </row>
    <row r="4759" spans="1:18" ht="12.75">
      <c r="A4759" s="22"/>
      <c r="D4759" s="19"/>
      <c r="H4759" s="18"/>
      <c r="J4759" s="18"/>
      <c r="N4759" s="16"/>
      <c r="O4759" s="17"/>
      <c r="P4759" s="17"/>
      <c r="Q4759" s="22"/>
      <c r="R4759" s="23"/>
    </row>
    <row r="4760" spans="1:18" ht="12.75">
      <c r="A4760" s="22"/>
      <c r="D4760" s="19"/>
      <c r="H4760" s="18"/>
      <c r="J4760" s="18"/>
      <c r="N4760" s="16"/>
      <c r="O4760" s="17"/>
      <c r="P4760" s="17"/>
      <c r="Q4760" s="22"/>
      <c r="R4760" s="23"/>
    </row>
    <row r="4761" spans="1:18" ht="12.75">
      <c r="A4761" s="22"/>
      <c r="D4761" s="19"/>
      <c r="H4761" s="18"/>
      <c r="J4761" s="18"/>
      <c r="N4761" s="16"/>
      <c r="O4761" s="17"/>
      <c r="P4761" s="17"/>
      <c r="Q4761" s="22"/>
      <c r="R4761" s="23"/>
    </row>
    <row r="4762" spans="1:18" ht="12.75">
      <c r="A4762" s="22"/>
      <c r="D4762" s="19"/>
      <c r="H4762" s="18"/>
      <c r="J4762" s="18"/>
      <c r="N4762" s="16"/>
      <c r="O4762" s="17"/>
      <c r="P4762" s="17"/>
      <c r="Q4762" s="22"/>
      <c r="R4762" s="23"/>
    </row>
    <row r="4763" spans="1:18" ht="12.75">
      <c r="A4763" s="22"/>
      <c r="D4763" s="19"/>
      <c r="H4763" s="18"/>
      <c r="J4763" s="18"/>
      <c r="N4763" s="16"/>
      <c r="O4763" s="17"/>
      <c r="P4763" s="17"/>
      <c r="Q4763" s="22"/>
      <c r="R4763" s="23"/>
    </row>
    <row r="4764" spans="1:18" ht="12.75">
      <c r="A4764" s="22"/>
      <c r="D4764" s="19"/>
      <c r="H4764" s="18"/>
      <c r="J4764" s="18"/>
      <c r="N4764" s="16"/>
      <c r="O4764" s="17"/>
      <c r="P4764" s="17"/>
      <c r="Q4764" s="22"/>
      <c r="R4764" s="23"/>
    </row>
    <row r="4765" spans="1:18" ht="12.75">
      <c r="A4765" s="22"/>
      <c r="D4765" s="19"/>
      <c r="H4765" s="18"/>
      <c r="J4765" s="18"/>
      <c r="N4765" s="16"/>
      <c r="O4765" s="17"/>
      <c r="P4765" s="17"/>
      <c r="Q4765" s="22"/>
      <c r="R4765" s="23"/>
    </row>
    <row r="4766" spans="1:18" ht="12.75">
      <c r="A4766" s="22"/>
      <c r="D4766" s="19"/>
      <c r="H4766" s="18"/>
      <c r="J4766" s="18"/>
      <c r="N4766" s="16"/>
      <c r="O4766" s="17"/>
      <c r="P4766" s="17"/>
      <c r="Q4766" s="22"/>
      <c r="R4766" s="23"/>
    </row>
    <row r="4767" spans="1:18" ht="12.75">
      <c r="A4767" s="22"/>
      <c r="D4767" s="19"/>
      <c r="H4767" s="18"/>
      <c r="J4767" s="18"/>
      <c r="N4767" s="16"/>
      <c r="O4767" s="17"/>
      <c r="P4767" s="17"/>
      <c r="Q4767" s="22"/>
      <c r="R4767" s="23"/>
    </row>
    <row r="4768" spans="1:18" ht="12.75">
      <c r="A4768" s="22"/>
      <c r="D4768" s="19"/>
      <c r="H4768" s="18"/>
      <c r="J4768" s="18"/>
      <c r="N4768" s="16"/>
      <c r="O4768" s="17"/>
      <c r="P4768" s="17"/>
      <c r="Q4768" s="22"/>
      <c r="R4768" s="23"/>
    </row>
    <row r="4769" spans="1:18" ht="12.75">
      <c r="A4769" s="22"/>
      <c r="D4769" s="19"/>
      <c r="H4769" s="18"/>
      <c r="J4769" s="18"/>
      <c r="N4769" s="16"/>
      <c r="O4769" s="17"/>
      <c r="P4769" s="17"/>
      <c r="Q4769" s="22"/>
      <c r="R4769" s="23"/>
    </row>
    <row r="4770" spans="1:18" ht="12.75">
      <c r="A4770" s="22"/>
      <c r="D4770" s="19"/>
      <c r="H4770" s="18"/>
      <c r="J4770" s="18"/>
      <c r="N4770" s="16"/>
      <c r="O4770" s="17"/>
      <c r="P4770" s="17"/>
      <c r="Q4770" s="22"/>
      <c r="R4770" s="23"/>
    </row>
    <row r="4771" spans="1:18" ht="12.75">
      <c r="A4771" s="22"/>
      <c r="D4771" s="19"/>
      <c r="H4771" s="18"/>
      <c r="J4771" s="18"/>
      <c r="N4771" s="16"/>
      <c r="O4771" s="17"/>
      <c r="P4771" s="17"/>
      <c r="Q4771" s="22"/>
      <c r="R4771" s="23"/>
    </row>
    <row r="4772" spans="1:18" ht="12.75">
      <c r="A4772" s="22"/>
      <c r="D4772" s="19"/>
      <c r="H4772" s="18"/>
      <c r="J4772" s="18"/>
      <c r="N4772" s="16"/>
      <c r="O4772" s="17"/>
      <c r="P4772" s="17"/>
      <c r="Q4772" s="22"/>
      <c r="R4772" s="23"/>
    </row>
    <row r="4773" spans="1:18" ht="12.75">
      <c r="A4773" s="22"/>
      <c r="D4773" s="19"/>
      <c r="H4773" s="18"/>
      <c r="J4773" s="18"/>
      <c r="N4773" s="16"/>
      <c r="O4773" s="17"/>
      <c r="P4773" s="17"/>
      <c r="Q4773" s="22"/>
      <c r="R4773" s="23"/>
    </row>
    <row r="4774" spans="1:18" ht="12.75">
      <c r="A4774" s="22"/>
      <c r="D4774" s="19"/>
      <c r="H4774" s="18"/>
      <c r="J4774" s="18"/>
      <c r="N4774" s="16"/>
      <c r="O4774" s="17"/>
      <c r="P4774" s="17"/>
      <c r="Q4774" s="22"/>
      <c r="R4774" s="23"/>
    </row>
    <row r="4775" spans="1:18" ht="12.75">
      <c r="A4775" s="22"/>
      <c r="D4775" s="19"/>
      <c r="H4775" s="18"/>
      <c r="J4775" s="18"/>
      <c r="N4775" s="16"/>
      <c r="O4775" s="17"/>
      <c r="P4775" s="17"/>
      <c r="Q4775" s="22"/>
      <c r="R4775" s="23"/>
    </row>
    <row r="4776" spans="1:18" ht="12.75">
      <c r="A4776" s="22"/>
      <c r="D4776" s="19"/>
      <c r="H4776" s="18"/>
      <c r="J4776" s="18"/>
      <c r="N4776" s="16"/>
      <c r="O4776" s="17"/>
      <c r="P4776" s="17"/>
      <c r="Q4776" s="22"/>
      <c r="R4776" s="23"/>
    </row>
    <row r="4777" spans="1:18" ht="12.75">
      <c r="A4777" s="22"/>
      <c r="D4777" s="19"/>
      <c r="H4777" s="18"/>
      <c r="J4777" s="18"/>
      <c r="N4777" s="16"/>
      <c r="O4777" s="17"/>
      <c r="P4777" s="17"/>
      <c r="Q4777" s="22"/>
      <c r="R4777" s="23"/>
    </row>
    <row r="4778" spans="1:18" ht="12.75">
      <c r="A4778" s="22"/>
      <c r="D4778" s="19"/>
      <c r="H4778" s="18"/>
      <c r="J4778" s="18"/>
      <c r="N4778" s="16"/>
      <c r="O4778" s="17"/>
      <c r="P4778" s="17"/>
      <c r="Q4778" s="22"/>
      <c r="R4778" s="23"/>
    </row>
    <row r="4779" spans="1:18" ht="12.75">
      <c r="A4779" s="22"/>
      <c r="D4779" s="19"/>
      <c r="H4779" s="18"/>
      <c r="J4779" s="18"/>
      <c r="N4779" s="16"/>
      <c r="O4779" s="17"/>
      <c r="P4779" s="17"/>
      <c r="Q4779" s="22"/>
      <c r="R4779" s="23"/>
    </row>
    <row r="4780" spans="1:18" ht="12.75">
      <c r="A4780" s="22"/>
      <c r="D4780" s="19"/>
      <c r="H4780" s="18"/>
      <c r="J4780" s="18"/>
      <c r="N4780" s="16"/>
      <c r="O4780" s="17"/>
      <c r="P4780" s="17"/>
      <c r="Q4780" s="22"/>
      <c r="R4780" s="23"/>
    </row>
    <row r="4781" spans="1:18" ht="12.75">
      <c r="A4781" s="22"/>
      <c r="D4781" s="19"/>
      <c r="H4781" s="18"/>
      <c r="J4781" s="18"/>
      <c r="N4781" s="16"/>
      <c r="O4781" s="17"/>
      <c r="P4781" s="17"/>
      <c r="Q4781" s="22"/>
      <c r="R4781" s="23"/>
    </row>
    <row r="4782" spans="1:18" ht="12.75">
      <c r="A4782" s="22"/>
      <c r="D4782" s="19"/>
      <c r="H4782" s="18"/>
      <c r="J4782" s="18"/>
      <c r="N4782" s="16"/>
      <c r="O4782" s="17"/>
      <c r="P4782" s="17"/>
      <c r="Q4782" s="22"/>
      <c r="R4782" s="23"/>
    </row>
    <row r="4783" spans="1:18" ht="12.75">
      <c r="A4783" s="22"/>
      <c r="D4783" s="19"/>
      <c r="H4783" s="18"/>
      <c r="J4783" s="18"/>
      <c r="N4783" s="16"/>
      <c r="O4783" s="17"/>
      <c r="P4783" s="17"/>
      <c r="Q4783" s="22"/>
      <c r="R4783" s="23"/>
    </row>
    <row r="4784" spans="1:18" ht="12.75">
      <c r="A4784" s="22"/>
      <c r="D4784" s="19"/>
      <c r="H4784" s="18"/>
      <c r="J4784" s="18"/>
      <c r="N4784" s="16"/>
      <c r="O4784" s="17"/>
      <c r="P4784" s="17"/>
      <c r="Q4784" s="22"/>
      <c r="R4784" s="23"/>
    </row>
    <row r="4785" spans="1:18" ht="12.75">
      <c r="A4785" s="22"/>
      <c r="D4785" s="19"/>
      <c r="H4785" s="18"/>
      <c r="J4785" s="18"/>
      <c r="N4785" s="16"/>
      <c r="O4785" s="17"/>
      <c r="P4785" s="17"/>
      <c r="Q4785" s="22"/>
      <c r="R4785" s="23"/>
    </row>
    <row r="4786" spans="1:18" ht="12.75">
      <c r="A4786" s="22"/>
      <c r="D4786" s="19"/>
      <c r="H4786" s="18"/>
      <c r="J4786" s="18"/>
      <c r="N4786" s="16"/>
      <c r="O4786" s="17"/>
      <c r="P4786" s="17"/>
      <c r="Q4786" s="22"/>
      <c r="R4786" s="23"/>
    </row>
    <row r="4787" spans="1:18" ht="12.75">
      <c r="A4787" s="22"/>
      <c r="D4787" s="19"/>
      <c r="H4787" s="18"/>
      <c r="J4787" s="18"/>
      <c r="N4787" s="16"/>
      <c r="O4787" s="17"/>
      <c r="P4787" s="17"/>
      <c r="Q4787" s="22"/>
      <c r="R4787" s="23"/>
    </row>
    <row r="4788" spans="1:18" ht="12.75">
      <c r="A4788" s="22"/>
      <c r="D4788" s="19"/>
      <c r="H4788" s="18"/>
      <c r="J4788" s="18"/>
      <c r="N4788" s="16"/>
      <c r="O4788" s="17"/>
      <c r="P4788" s="17"/>
      <c r="Q4788" s="22"/>
      <c r="R4788" s="23"/>
    </row>
    <row r="4789" spans="1:18" ht="12.75">
      <c r="A4789" s="22"/>
      <c r="D4789" s="19"/>
      <c r="H4789" s="18"/>
      <c r="J4789" s="18"/>
      <c r="N4789" s="16"/>
      <c r="O4789" s="17"/>
      <c r="P4789" s="17"/>
      <c r="Q4789" s="22"/>
      <c r="R4789" s="23"/>
    </row>
    <row r="4790" spans="1:18" ht="12.75">
      <c r="A4790" s="22"/>
      <c r="D4790" s="19"/>
      <c r="H4790" s="18"/>
      <c r="J4790" s="18"/>
      <c r="N4790" s="16"/>
      <c r="O4790" s="17"/>
      <c r="P4790" s="17"/>
      <c r="Q4790" s="22"/>
      <c r="R4790" s="23"/>
    </row>
    <row r="4791" spans="1:18" ht="12.75">
      <c r="A4791" s="22"/>
      <c r="D4791" s="19"/>
      <c r="H4791" s="18"/>
      <c r="J4791" s="18"/>
      <c r="N4791" s="16"/>
      <c r="O4791" s="17"/>
      <c r="P4791" s="17"/>
      <c r="Q4791" s="22"/>
      <c r="R4791" s="23"/>
    </row>
    <row r="4792" spans="1:18" ht="12.75">
      <c r="A4792" s="22"/>
      <c r="D4792" s="19"/>
      <c r="H4792" s="18"/>
      <c r="J4792" s="18"/>
      <c r="N4792" s="16"/>
      <c r="O4792" s="17"/>
      <c r="P4792" s="17"/>
      <c r="Q4792" s="22"/>
      <c r="R4792" s="23"/>
    </row>
    <row r="4793" spans="1:18" ht="12.75">
      <c r="A4793" s="22"/>
      <c r="D4793" s="19"/>
      <c r="H4793" s="18"/>
      <c r="J4793" s="18"/>
      <c r="N4793" s="16"/>
      <c r="O4793" s="17"/>
      <c r="P4793" s="17"/>
      <c r="Q4793" s="22"/>
      <c r="R4793" s="23"/>
    </row>
    <row r="4794" spans="1:18" ht="12.75">
      <c r="A4794" s="22"/>
      <c r="D4794" s="19"/>
      <c r="H4794" s="18"/>
      <c r="J4794" s="18"/>
      <c r="N4794" s="16"/>
      <c r="O4794" s="17"/>
      <c r="P4794" s="17"/>
      <c r="Q4794" s="22"/>
      <c r="R4794" s="23"/>
    </row>
    <row r="4795" spans="1:18" ht="12.75">
      <c r="A4795" s="22"/>
      <c r="D4795" s="19"/>
      <c r="H4795" s="18"/>
      <c r="J4795" s="18"/>
      <c r="N4795" s="16"/>
      <c r="O4795" s="17"/>
      <c r="P4795" s="17"/>
      <c r="Q4795" s="22"/>
      <c r="R4795" s="23"/>
    </row>
    <row r="4796" spans="1:18" ht="12.75">
      <c r="A4796" s="22"/>
      <c r="D4796" s="19"/>
      <c r="H4796" s="18"/>
      <c r="J4796" s="18"/>
      <c r="N4796" s="16"/>
      <c r="O4796" s="17"/>
      <c r="P4796" s="17"/>
      <c r="Q4796" s="22"/>
      <c r="R4796" s="23"/>
    </row>
    <row r="4797" spans="1:18" ht="12.75">
      <c r="A4797" s="22"/>
      <c r="D4797" s="19"/>
      <c r="H4797" s="18"/>
      <c r="J4797" s="18"/>
      <c r="N4797" s="16"/>
      <c r="O4797" s="17"/>
      <c r="P4797" s="17"/>
      <c r="Q4797" s="22"/>
      <c r="R4797" s="23"/>
    </row>
    <row r="4798" spans="1:18" ht="12.75">
      <c r="A4798" s="22"/>
      <c r="D4798" s="19"/>
      <c r="H4798" s="18"/>
      <c r="J4798" s="18"/>
      <c r="N4798" s="16"/>
      <c r="O4798" s="17"/>
      <c r="P4798" s="17"/>
      <c r="Q4798" s="22"/>
      <c r="R4798" s="23"/>
    </row>
    <row r="4799" spans="1:18" ht="12.75">
      <c r="A4799" s="22"/>
      <c r="D4799" s="19"/>
      <c r="H4799" s="18"/>
      <c r="J4799" s="18"/>
      <c r="N4799" s="16"/>
      <c r="O4799" s="17"/>
      <c r="P4799" s="17"/>
      <c r="Q4799" s="22"/>
      <c r="R4799" s="23"/>
    </row>
    <row r="4800" spans="1:18" ht="12.75">
      <c r="A4800" s="22"/>
      <c r="D4800" s="19"/>
      <c r="H4800" s="18"/>
      <c r="J4800" s="18"/>
      <c r="N4800" s="16"/>
      <c r="O4800" s="17"/>
      <c r="P4800" s="17"/>
      <c r="Q4800" s="22"/>
      <c r="R4800" s="23"/>
    </row>
    <row r="4801" spans="1:18" ht="12.75">
      <c r="A4801" s="22"/>
      <c r="D4801" s="19"/>
      <c r="H4801" s="18"/>
      <c r="J4801" s="18"/>
      <c r="N4801" s="16"/>
      <c r="O4801" s="17"/>
      <c r="P4801" s="17"/>
      <c r="Q4801" s="22"/>
      <c r="R4801" s="23"/>
    </row>
    <row r="4802" spans="1:18" ht="12.75">
      <c r="A4802" s="22"/>
      <c r="D4802" s="19"/>
      <c r="H4802" s="18"/>
      <c r="J4802" s="18"/>
      <c r="N4802" s="16"/>
      <c r="O4802" s="17"/>
      <c r="P4802" s="17"/>
      <c r="Q4802" s="22"/>
      <c r="R4802" s="23"/>
    </row>
    <row r="4803" spans="1:18" ht="12.75">
      <c r="A4803" s="22"/>
      <c r="D4803" s="19"/>
      <c r="H4803" s="18"/>
      <c r="J4803" s="18"/>
      <c r="N4803" s="16"/>
      <c r="O4803" s="17"/>
      <c r="P4803" s="17"/>
      <c r="Q4803" s="22"/>
      <c r="R4803" s="23"/>
    </row>
    <row r="4804" spans="1:18" ht="12.75">
      <c r="A4804" s="22"/>
      <c r="D4804" s="19"/>
      <c r="H4804" s="18"/>
      <c r="J4804" s="18"/>
      <c r="N4804" s="16"/>
      <c r="O4804" s="17"/>
      <c r="P4804" s="17"/>
      <c r="Q4804" s="22"/>
      <c r="R4804" s="23"/>
    </row>
    <row r="4805" spans="1:18" ht="12.75">
      <c r="A4805" s="22"/>
      <c r="D4805" s="19"/>
      <c r="H4805" s="18"/>
      <c r="J4805" s="18"/>
      <c r="N4805" s="16"/>
      <c r="O4805" s="17"/>
      <c r="P4805" s="17"/>
      <c r="Q4805" s="22"/>
      <c r="R4805" s="23"/>
    </row>
    <row r="4806" spans="1:18" ht="12.75">
      <c r="A4806" s="22"/>
      <c r="D4806" s="19"/>
      <c r="H4806" s="18"/>
      <c r="J4806" s="18"/>
      <c r="N4806" s="16"/>
      <c r="O4806" s="17"/>
      <c r="P4806" s="17"/>
      <c r="Q4806" s="22"/>
      <c r="R4806" s="23"/>
    </row>
    <row r="4807" spans="1:18" ht="12.75">
      <c r="A4807" s="22"/>
      <c r="D4807" s="19"/>
      <c r="H4807" s="18"/>
      <c r="J4807" s="18"/>
      <c r="N4807" s="16"/>
      <c r="O4807" s="17"/>
      <c r="P4807" s="17"/>
      <c r="Q4807" s="22"/>
      <c r="R4807" s="23"/>
    </row>
    <row r="4808" spans="1:18" ht="12.75">
      <c r="A4808" s="22"/>
      <c r="D4808" s="19"/>
      <c r="H4808" s="18"/>
      <c r="J4808" s="18"/>
      <c r="N4808" s="16"/>
      <c r="O4808" s="17"/>
      <c r="P4808" s="17"/>
      <c r="Q4808" s="22"/>
      <c r="R4808" s="23"/>
    </row>
    <row r="4809" spans="1:18" ht="12.75">
      <c r="A4809" s="22"/>
      <c r="D4809" s="19"/>
      <c r="H4809" s="18"/>
      <c r="J4809" s="18"/>
      <c r="N4809" s="16"/>
      <c r="O4809" s="17"/>
      <c r="P4809" s="17"/>
      <c r="Q4809" s="22"/>
      <c r="R4809" s="23"/>
    </row>
    <row r="4810" spans="1:18" ht="12.75">
      <c r="A4810" s="22"/>
      <c r="D4810" s="19"/>
      <c r="H4810" s="18"/>
      <c r="J4810" s="18"/>
      <c r="N4810" s="16"/>
      <c r="O4810" s="17"/>
      <c r="P4810" s="17"/>
      <c r="Q4810" s="22"/>
      <c r="R4810" s="23"/>
    </row>
    <row r="4811" spans="1:18" ht="12.75">
      <c r="A4811" s="22"/>
      <c r="D4811" s="19"/>
      <c r="H4811" s="18"/>
      <c r="J4811" s="18"/>
      <c r="N4811" s="16"/>
      <c r="O4811" s="17"/>
      <c r="P4811" s="17"/>
      <c r="Q4811" s="22"/>
      <c r="R4811" s="23"/>
    </row>
    <row r="4812" spans="1:18" ht="12.75">
      <c r="A4812" s="22"/>
      <c r="D4812" s="19"/>
      <c r="H4812" s="18"/>
      <c r="J4812" s="18"/>
      <c r="N4812" s="16"/>
      <c r="O4812" s="17"/>
      <c r="P4812" s="17"/>
      <c r="Q4812" s="22"/>
      <c r="R4812" s="23"/>
    </row>
    <row r="4813" spans="1:18" ht="12.75">
      <c r="A4813" s="22"/>
      <c r="D4813" s="19"/>
      <c r="H4813" s="18"/>
      <c r="J4813" s="18"/>
      <c r="N4813" s="16"/>
      <c r="O4813" s="17"/>
      <c r="P4813" s="17"/>
      <c r="Q4813" s="22"/>
      <c r="R4813" s="23"/>
    </row>
    <row r="4814" spans="1:18" ht="12.75">
      <c r="A4814" s="22"/>
      <c r="D4814" s="19"/>
      <c r="H4814" s="18"/>
      <c r="J4814" s="18"/>
      <c r="N4814" s="16"/>
      <c r="O4814" s="17"/>
      <c r="P4814" s="17"/>
      <c r="Q4814" s="22"/>
      <c r="R4814" s="23"/>
    </row>
    <row r="4815" spans="1:18" ht="12.75">
      <c r="A4815" s="22"/>
      <c r="D4815" s="19"/>
      <c r="H4815" s="18"/>
      <c r="J4815" s="18"/>
      <c r="N4815" s="16"/>
      <c r="O4815" s="17"/>
      <c r="P4815" s="17"/>
      <c r="Q4815" s="22"/>
      <c r="R4815" s="23"/>
    </row>
    <row r="4816" spans="1:18" ht="12.75">
      <c r="A4816" s="22"/>
      <c r="D4816" s="19"/>
      <c r="H4816" s="18"/>
      <c r="J4816" s="18"/>
      <c r="N4816" s="16"/>
      <c r="O4816" s="17"/>
      <c r="P4816" s="17"/>
      <c r="Q4816" s="22"/>
      <c r="R4816" s="23"/>
    </row>
    <row r="4817" spans="1:18" ht="12.75">
      <c r="A4817" s="22"/>
      <c r="D4817" s="19"/>
      <c r="H4817" s="18"/>
      <c r="J4817" s="18"/>
      <c r="N4817" s="16"/>
      <c r="O4817" s="17"/>
      <c r="P4817" s="17"/>
      <c r="Q4817" s="22"/>
      <c r="R4817" s="23"/>
    </row>
    <row r="4818" spans="1:18" ht="12.75">
      <c r="A4818" s="22"/>
      <c r="D4818" s="19"/>
      <c r="H4818" s="18"/>
      <c r="J4818" s="18"/>
      <c r="N4818" s="16"/>
      <c r="O4818" s="17"/>
      <c r="P4818" s="17"/>
      <c r="Q4818" s="22"/>
      <c r="R4818" s="23"/>
    </row>
    <row r="4819" spans="1:18" ht="12.75">
      <c r="A4819" s="22"/>
      <c r="D4819" s="19"/>
      <c r="H4819" s="18"/>
      <c r="J4819" s="18"/>
      <c r="N4819" s="16"/>
      <c r="O4819" s="17"/>
      <c r="P4819" s="17"/>
      <c r="Q4819" s="22"/>
      <c r="R4819" s="23"/>
    </row>
    <row r="4820" spans="1:18" ht="12.75">
      <c r="A4820" s="22"/>
      <c r="D4820" s="19"/>
      <c r="H4820" s="18"/>
      <c r="J4820" s="18"/>
      <c r="N4820" s="16"/>
      <c r="O4820" s="17"/>
      <c r="P4820" s="17"/>
      <c r="Q4820" s="22"/>
      <c r="R4820" s="23"/>
    </row>
    <row r="4821" spans="1:18" ht="12.75">
      <c r="A4821" s="22"/>
      <c r="D4821" s="19"/>
      <c r="H4821" s="18"/>
      <c r="J4821" s="18"/>
      <c r="N4821" s="16"/>
      <c r="O4821" s="17"/>
      <c r="P4821" s="17"/>
      <c r="Q4821" s="22"/>
      <c r="R4821" s="23"/>
    </row>
    <row r="4822" spans="1:18" ht="12.75">
      <c r="A4822" s="22"/>
      <c r="D4822" s="19"/>
      <c r="H4822" s="18"/>
      <c r="J4822" s="18"/>
      <c r="N4822" s="16"/>
      <c r="O4822" s="17"/>
      <c r="P4822" s="17"/>
      <c r="Q4822" s="22"/>
      <c r="R4822" s="23"/>
    </row>
    <row r="4823" spans="1:18" ht="12.75">
      <c r="A4823" s="22"/>
      <c r="D4823" s="19"/>
      <c r="H4823" s="18"/>
      <c r="J4823" s="18"/>
      <c r="N4823" s="16"/>
      <c r="O4823" s="17"/>
      <c r="P4823" s="17"/>
      <c r="Q4823" s="22"/>
      <c r="R4823" s="23"/>
    </row>
    <row r="4824" spans="1:18" ht="12.75">
      <c r="A4824" s="22"/>
      <c r="D4824" s="19"/>
      <c r="H4824" s="18"/>
      <c r="J4824" s="18"/>
      <c r="N4824" s="16"/>
      <c r="O4824" s="17"/>
      <c r="P4824" s="17"/>
      <c r="Q4824" s="22"/>
      <c r="R4824" s="23"/>
    </row>
    <row r="4825" spans="1:18" ht="12.75">
      <c r="A4825" s="22"/>
      <c r="D4825" s="19"/>
      <c r="H4825" s="18"/>
      <c r="J4825" s="18"/>
      <c r="N4825" s="16"/>
      <c r="O4825" s="17"/>
      <c r="P4825" s="17"/>
      <c r="Q4825" s="22"/>
      <c r="R4825" s="23"/>
    </row>
    <row r="4826" spans="1:18" ht="12.75">
      <c r="A4826" s="22"/>
      <c r="D4826" s="19"/>
      <c r="H4826" s="18"/>
      <c r="J4826" s="18"/>
      <c r="N4826" s="16"/>
      <c r="O4826" s="17"/>
      <c r="P4826" s="17"/>
      <c r="Q4826" s="22"/>
      <c r="R4826" s="23"/>
    </row>
    <row r="4827" spans="1:18" ht="12.75">
      <c r="A4827" s="22"/>
      <c r="D4827" s="19"/>
      <c r="H4827" s="18"/>
      <c r="J4827" s="18"/>
      <c r="N4827" s="16"/>
      <c r="O4827" s="17"/>
      <c r="P4827" s="17"/>
      <c r="Q4827" s="22"/>
      <c r="R4827" s="23"/>
    </row>
    <row r="4828" spans="1:18" ht="12.75">
      <c r="A4828" s="22"/>
      <c r="D4828" s="19"/>
      <c r="H4828" s="18"/>
      <c r="J4828" s="18"/>
      <c r="N4828" s="16"/>
      <c r="O4828" s="17"/>
      <c r="P4828" s="17"/>
      <c r="Q4828" s="22"/>
      <c r="R4828" s="23"/>
    </row>
    <row r="4829" spans="1:18" ht="12.75">
      <c r="A4829" s="22"/>
      <c r="D4829" s="19"/>
      <c r="H4829" s="18"/>
      <c r="J4829" s="18"/>
      <c r="N4829" s="16"/>
      <c r="O4829" s="17"/>
      <c r="P4829" s="17"/>
      <c r="Q4829" s="22"/>
      <c r="R4829" s="23"/>
    </row>
    <row r="4830" spans="1:18" ht="12.75">
      <c r="A4830" s="22"/>
      <c r="D4830" s="19"/>
      <c r="H4830" s="18"/>
      <c r="J4830" s="18"/>
      <c r="N4830" s="16"/>
      <c r="O4830" s="17"/>
      <c r="P4830" s="17"/>
      <c r="Q4830" s="22"/>
      <c r="R4830" s="23"/>
    </row>
    <row r="4831" spans="1:18" ht="12.75">
      <c r="A4831" s="22"/>
      <c r="D4831" s="19"/>
      <c r="H4831" s="18"/>
      <c r="J4831" s="18"/>
      <c r="N4831" s="16"/>
      <c r="O4831" s="17"/>
      <c r="P4831" s="17"/>
      <c r="Q4831" s="22"/>
      <c r="R4831" s="23"/>
    </row>
    <row r="4832" spans="1:18" ht="12.75">
      <c r="A4832" s="22"/>
      <c r="D4832" s="19"/>
      <c r="H4832" s="18"/>
      <c r="J4832" s="18"/>
      <c r="N4832" s="16"/>
      <c r="O4832" s="17"/>
      <c r="P4832" s="17"/>
      <c r="Q4832" s="22"/>
      <c r="R4832" s="23"/>
    </row>
    <row r="4833" spans="1:18" ht="12.75">
      <c r="A4833" s="22"/>
      <c r="D4833" s="19"/>
      <c r="H4833" s="18"/>
      <c r="J4833" s="18"/>
      <c r="N4833" s="16"/>
      <c r="O4833" s="17"/>
      <c r="P4833" s="17"/>
      <c r="Q4833" s="22"/>
      <c r="R4833" s="23"/>
    </row>
    <row r="4834" spans="1:18" ht="12.75">
      <c r="A4834" s="22"/>
      <c r="D4834" s="19"/>
      <c r="H4834" s="18"/>
      <c r="J4834" s="18"/>
      <c r="N4834" s="16"/>
      <c r="O4834" s="17"/>
      <c r="P4834" s="17"/>
      <c r="Q4834" s="22"/>
      <c r="R4834" s="23"/>
    </row>
    <row r="4835" spans="1:18" ht="12.75">
      <c r="A4835" s="22"/>
      <c r="D4835" s="19"/>
      <c r="H4835" s="18"/>
      <c r="J4835" s="18"/>
      <c r="N4835" s="16"/>
      <c r="O4835" s="17"/>
      <c r="P4835" s="17"/>
      <c r="Q4835" s="22"/>
      <c r="R4835" s="23"/>
    </row>
    <row r="4836" spans="1:18" ht="12.75">
      <c r="A4836" s="22"/>
      <c r="D4836" s="19"/>
      <c r="H4836" s="18"/>
      <c r="J4836" s="18"/>
      <c r="N4836" s="16"/>
      <c r="O4836" s="17"/>
      <c r="P4836" s="17"/>
      <c r="Q4836" s="22"/>
      <c r="R4836" s="23"/>
    </row>
    <row r="4837" spans="1:18" ht="12.75">
      <c r="A4837" s="22"/>
      <c r="D4837" s="19"/>
      <c r="H4837" s="18"/>
      <c r="J4837" s="18"/>
      <c r="N4837" s="16"/>
      <c r="O4837" s="17"/>
      <c r="P4837" s="17"/>
      <c r="Q4837" s="22"/>
      <c r="R4837" s="23"/>
    </row>
    <row r="4838" spans="1:18" ht="12.75">
      <c r="A4838" s="22"/>
      <c r="D4838" s="19"/>
      <c r="H4838" s="18"/>
      <c r="J4838" s="18"/>
      <c r="N4838" s="16"/>
      <c r="O4838" s="17"/>
      <c r="P4838" s="17"/>
      <c r="Q4838" s="22"/>
      <c r="R4838" s="23"/>
    </row>
    <row r="4839" spans="1:18" ht="12.75">
      <c r="A4839" s="22"/>
      <c r="D4839" s="19"/>
      <c r="H4839" s="18"/>
      <c r="J4839" s="18"/>
      <c r="N4839" s="16"/>
      <c r="O4839" s="17"/>
      <c r="P4839" s="17"/>
      <c r="Q4839" s="22"/>
      <c r="R4839" s="23"/>
    </row>
    <row r="4840" spans="1:18" ht="12.75">
      <c r="A4840" s="22"/>
      <c r="D4840" s="19"/>
      <c r="H4840" s="18"/>
      <c r="J4840" s="18"/>
      <c r="N4840" s="16"/>
      <c r="O4840" s="17"/>
      <c r="P4840" s="17"/>
      <c r="Q4840" s="22"/>
      <c r="R4840" s="23"/>
    </row>
    <row r="4841" spans="1:18" ht="12.75">
      <c r="A4841" s="22"/>
      <c r="D4841" s="19"/>
      <c r="H4841" s="18"/>
      <c r="J4841" s="18"/>
      <c r="N4841" s="16"/>
      <c r="O4841" s="17"/>
      <c r="P4841" s="17"/>
      <c r="Q4841" s="22"/>
      <c r="R4841" s="23"/>
    </row>
    <row r="4842" spans="1:18" ht="12.75">
      <c r="A4842" s="22"/>
      <c r="D4842" s="19"/>
      <c r="H4842" s="18"/>
      <c r="J4842" s="18"/>
      <c r="N4842" s="16"/>
      <c r="O4842" s="17"/>
      <c r="P4842" s="17"/>
      <c r="Q4842" s="22"/>
      <c r="R4842" s="23"/>
    </row>
    <row r="4843" spans="1:18" ht="12.75">
      <c r="A4843" s="22"/>
      <c r="D4843" s="19"/>
      <c r="H4843" s="18"/>
      <c r="J4843" s="18"/>
      <c r="N4843" s="16"/>
      <c r="O4843" s="17"/>
      <c r="P4843" s="17"/>
      <c r="Q4843" s="22"/>
      <c r="R4843" s="23"/>
    </row>
    <row r="4844" spans="1:18" ht="12.75">
      <c r="A4844" s="22"/>
      <c r="D4844" s="19"/>
      <c r="H4844" s="18"/>
      <c r="J4844" s="18"/>
      <c r="N4844" s="16"/>
      <c r="O4844" s="17"/>
      <c r="P4844" s="17"/>
      <c r="Q4844" s="22"/>
      <c r="R4844" s="23"/>
    </row>
    <row r="4845" spans="1:18" ht="12.75">
      <c r="A4845" s="22"/>
      <c r="D4845" s="19"/>
      <c r="H4845" s="18"/>
      <c r="J4845" s="18"/>
      <c r="N4845" s="16"/>
      <c r="O4845" s="17"/>
      <c r="P4845" s="17"/>
      <c r="Q4845" s="22"/>
      <c r="R4845" s="23"/>
    </row>
    <row r="4846" spans="1:18" ht="12.75">
      <c r="A4846" s="22"/>
      <c r="D4846" s="19"/>
      <c r="H4846" s="18"/>
      <c r="J4846" s="18"/>
      <c r="N4846" s="16"/>
      <c r="O4846" s="17"/>
      <c r="P4846" s="17"/>
      <c r="Q4846" s="22"/>
      <c r="R4846" s="23"/>
    </row>
    <row r="4847" spans="1:18" ht="12.75">
      <c r="A4847" s="22"/>
      <c r="D4847" s="19"/>
      <c r="H4847" s="18"/>
      <c r="J4847" s="18"/>
      <c r="N4847" s="16"/>
      <c r="O4847" s="17"/>
      <c r="P4847" s="17"/>
      <c r="Q4847" s="22"/>
      <c r="R4847" s="23"/>
    </row>
    <row r="4848" spans="1:18" ht="12.75">
      <c r="A4848" s="22"/>
      <c r="D4848" s="19"/>
      <c r="H4848" s="18"/>
      <c r="J4848" s="18"/>
      <c r="N4848" s="16"/>
      <c r="O4848" s="17"/>
      <c r="P4848" s="17"/>
      <c r="Q4848" s="22"/>
      <c r="R4848" s="23"/>
    </row>
    <row r="4849" spans="1:18" ht="12.75">
      <c r="A4849" s="22"/>
      <c r="D4849" s="19"/>
      <c r="H4849" s="18"/>
      <c r="J4849" s="18"/>
      <c r="N4849" s="16"/>
      <c r="O4849" s="17"/>
      <c r="P4849" s="17"/>
      <c r="Q4849" s="22"/>
      <c r="R4849" s="23"/>
    </row>
    <row r="4850" spans="1:18" ht="12.75">
      <c r="A4850" s="22"/>
      <c r="D4850" s="19"/>
      <c r="H4850" s="18"/>
      <c r="J4850" s="18"/>
      <c r="N4850" s="16"/>
      <c r="O4850" s="17"/>
      <c r="P4850" s="17"/>
      <c r="Q4850" s="22"/>
      <c r="R4850" s="23"/>
    </row>
    <row r="4851" spans="1:18" ht="12.75">
      <c r="A4851" s="22"/>
      <c r="D4851" s="19"/>
      <c r="H4851" s="18"/>
      <c r="J4851" s="18"/>
      <c r="N4851" s="16"/>
      <c r="O4851" s="17"/>
      <c r="P4851" s="17"/>
      <c r="Q4851" s="22"/>
      <c r="R4851" s="23"/>
    </row>
    <row r="4852" spans="1:18" ht="12.75">
      <c r="A4852" s="22"/>
      <c r="D4852" s="19"/>
      <c r="H4852" s="18"/>
      <c r="J4852" s="18"/>
      <c r="N4852" s="16"/>
      <c r="O4852" s="17"/>
      <c r="P4852" s="17"/>
      <c r="Q4852" s="22"/>
      <c r="R4852" s="23"/>
    </row>
    <row r="4853" spans="1:18" ht="12.75">
      <c r="A4853" s="22"/>
      <c r="D4853" s="19"/>
      <c r="H4853" s="18"/>
      <c r="J4853" s="18"/>
      <c r="N4853" s="16"/>
      <c r="O4853" s="17"/>
      <c r="P4853" s="17"/>
      <c r="Q4853" s="22"/>
      <c r="R4853" s="23"/>
    </row>
    <row r="4854" spans="1:18" ht="12.75">
      <c r="A4854" s="22"/>
      <c r="D4854" s="19"/>
      <c r="H4854" s="18"/>
      <c r="J4854" s="18"/>
      <c r="N4854" s="16"/>
      <c r="O4854" s="17"/>
      <c r="P4854" s="17"/>
      <c r="Q4854" s="22"/>
      <c r="R4854" s="23"/>
    </row>
    <row r="4855" spans="1:18" ht="12.75">
      <c r="A4855" s="22"/>
      <c r="D4855" s="19"/>
      <c r="H4855" s="18"/>
      <c r="J4855" s="18"/>
      <c r="N4855" s="16"/>
      <c r="O4855" s="17"/>
      <c r="P4855" s="17"/>
      <c r="Q4855" s="22"/>
      <c r="R4855" s="23"/>
    </row>
    <row r="4856" spans="1:18" ht="12.75">
      <c r="A4856" s="22"/>
      <c r="D4856" s="19"/>
      <c r="H4856" s="18"/>
      <c r="J4856" s="18"/>
      <c r="N4856" s="16"/>
      <c r="O4856" s="17"/>
      <c r="P4856" s="17"/>
      <c r="Q4856" s="22"/>
      <c r="R4856" s="23"/>
    </row>
    <row r="4857" spans="1:18" ht="12.75">
      <c r="A4857" s="22"/>
      <c r="D4857" s="19"/>
      <c r="H4857" s="18"/>
      <c r="J4857" s="18"/>
      <c r="N4857" s="16"/>
      <c r="O4857" s="17"/>
      <c r="P4857" s="17"/>
      <c r="Q4857" s="22"/>
      <c r="R4857" s="23"/>
    </row>
    <row r="4858" spans="1:18" ht="12.75">
      <c r="A4858" s="22"/>
      <c r="D4858" s="19"/>
      <c r="H4858" s="18"/>
      <c r="J4858" s="18"/>
      <c r="N4858" s="16"/>
      <c r="O4858" s="17"/>
      <c r="P4858" s="17"/>
      <c r="Q4858" s="22"/>
      <c r="R4858" s="23"/>
    </row>
    <row r="4859" spans="1:18" ht="12.75">
      <c r="A4859" s="22"/>
      <c r="D4859" s="19"/>
      <c r="H4859" s="18"/>
      <c r="J4859" s="18"/>
      <c r="N4859" s="16"/>
      <c r="O4859" s="17"/>
      <c r="P4859" s="17"/>
      <c r="Q4859" s="22"/>
      <c r="R4859" s="23"/>
    </row>
    <row r="4860" spans="1:18" ht="12.75">
      <c r="A4860" s="22"/>
      <c r="D4860" s="19"/>
      <c r="H4860" s="18"/>
      <c r="J4860" s="18"/>
      <c r="N4860" s="16"/>
      <c r="O4860" s="17"/>
      <c r="P4860" s="17"/>
      <c r="Q4860" s="22"/>
      <c r="R4860" s="23"/>
    </row>
    <row r="4861" spans="1:18" ht="12.75">
      <c r="A4861" s="22"/>
      <c r="D4861" s="19"/>
      <c r="H4861" s="18"/>
      <c r="J4861" s="18"/>
      <c r="N4861" s="16"/>
      <c r="O4861" s="17"/>
      <c r="P4861" s="17"/>
      <c r="Q4861" s="22"/>
      <c r="R4861" s="23"/>
    </row>
    <row r="4862" spans="1:18" ht="12.75">
      <c r="A4862" s="22"/>
      <c r="D4862" s="19"/>
      <c r="H4862" s="18"/>
      <c r="J4862" s="18"/>
      <c r="N4862" s="16"/>
      <c r="O4862" s="17"/>
      <c r="P4862" s="17"/>
      <c r="Q4862" s="22"/>
      <c r="R4862" s="23"/>
    </row>
    <row r="4863" spans="1:18" ht="12.75">
      <c r="A4863" s="22"/>
      <c r="D4863" s="19"/>
      <c r="H4863" s="18"/>
      <c r="J4863" s="18"/>
      <c r="N4863" s="16"/>
      <c r="O4863" s="17"/>
      <c r="P4863" s="17"/>
      <c r="Q4863" s="22"/>
      <c r="R4863" s="23"/>
    </row>
    <row r="4864" spans="1:18" ht="12.75">
      <c r="A4864" s="22"/>
      <c r="D4864" s="19"/>
      <c r="H4864" s="18"/>
      <c r="J4864" s="18"/>
      <c r="N4864" s="16"/>
      <c r="O4864" s="17"/>
      <c r="P4864" s="17"/>
      <c r="Q4864" s="22"/>
      <c r="R4864" s="23"/>
    </row>
    <row r="4865" spans="1:18" ht="12.75">
      <c r="A4865" s="22"/>
      <c r="D4865" s="19"/>
      <c r="H4865" s="18"/>
      <c r="J4865" s="18"/>
      <c r="N4865" s="16"/>
      <c r="O4865" s="17"/>
      <c r="P4865" s="17"/>
      <c r="Q4865" s="22"/>
      <c r="R4865" s="23"/>
    </row>
    <row r="4866" spans="1:18" ht="12.75">
      <c r="A4866" s="22"/>
      <c r="D4866" s="19"/>
      <c r="H4866" s="18"/>
      <c r="J4866" s="18"/>
      <c r="N4866" s="16"/>
      <c r="O4866" s="17"/>
      <c r="P4866" s="17"/>
      <c r="Q4866" s="22"/>
      <c r="R4866" s="23"/>
    </row>
    <row r="4867" spans="1:18" ht="12.75">
      <c r="A4867" s="22"/>
      <c r="D4867" s="19"/>
      <c r="H4867" s="18"/>
      <c r="J4867" s="18"/>
      <c r="N4867" s="16"/>
      <c r="O4867" s="17"/>
      <c r="P4867" s="17"/>
      <c r="Q4867" s="22"/>
      <c r="R4867" s="23"/>
    </row>
    <row r="4868" spans="1:18" ht="12.75">
      <c r="A4868" s="22"/>
      <c r="D4868" s="19"/>
      <c r="H4868" s="18"/>
      <c r="J4868" s="18"/>
      <c r="N4868" s="16"/>
      <c r="O4868" s="17"/>
      <c r="P4868" s="17"/>
      <c r="Q4868" s="22"/>
      <c r="R4868" s="23"/>
    </row>
    <row r="4869" spans="1:18" ht="12.75">
      <c r="A4869" s="22"/>
      <c r="D4869" s="19"/>
      <c r="H4869" s="18"/>
      <c r="J4869" s="18"/>
      <c r="N4869" s="16"/>
      <c r="O4869" s="17"/>
      <c r="P4869" s="17"/>
      <c r="Q4869" s="22"/>
      <c r="R4869" s="23"/>
    </row>
    <row r="4870" spans="1:18" ht="12.75">
      <c r="A4870" s="22"/>
      <c r="D4870" s="19"/>
      <c r="H4870" s="18"/>
      <c r="J4870" s="18"/>
      <c r="N4870" s="16"/>
      <c r="O4870" s="17"/>
      <c r="P4870" s="17"/>
      <c r="Q4870" s="22"/>
      <c r="R4870" s="23"/>
    </row>
    <row r="4871" spans="1:18" ht="12.75">
      <c r="A4871" s="22"/>
      <c r="D4871" s="19"/>
      <c r="H4871" s="18"/>
      <c r="J4871" s="18"/>
      <c r="N4871" s="16"/>
      <c r="O4871" s="17"/>
      <c r="P4871" s="17"/>
      <c r="Q4871" s="22"/>
      <c r="R4871" s="23"/>
    </row>
    <row r="4872" spans="1:18" ht="12.75">
      <c r="A4872" s="22"/>
      <c r="D4872" s="19"/>
      <c r="H4872" s="18"/>
      <c r="J4872" s="18"/>
      <c r="N4872" s="16"/>
      <c r="O4872" s="17"/>
      <c r="P4872" s="17"/>
      <c r="Q4872" s="22"/>
      <c r="R4872" s="23"/>
    </row>
    <row r="4873" spans="1:18" ht="12.75">
      <c r="A4873" s="22"/>
      <c r="D4873" s="19"/>
      <c r="H4873" s="18"/>
      <c r="J4873" s="18"/>
      <c r="N4873" s="16"/>
      <c r="O4873" s="17"/>
      <c r="P4873" s="17"/>
      <c r="Q4873" s="22"/>
      <c r="R4873" s="23"/>
    </row>
    <row r="4874" spans="1:18" ht="12.75">
      <c r="A4874" s="22"/>
      <c r="D4874" s="19"/>
      <c r="H4874" s="18"/>
      <c r="J4874" s="18"/>
      <c r="N4874" s="16"/>
      <c r="O4874" s="17"/>
      <c r="P4874" s="17"/>
      <c r="Q4874" s="22"/>
      <c r="R4874" s="23"/>
    </row>
    <row r="4875" spans="1:18" ht="12.75">
      <c r="A4875" s="22"/>
      <c r="D4875" s="19"/>
      <c r="H4875" s="18"/>
      <c r="J4875" s="18"/>
      <c r="N4875" s="16"/>
      <c r="O4875" s="17"/>
      <c r="P4875" s="17"/>
      <c r="Q4875" s="22"/>
      <c r="R4875" s="23"/>
    </row>
    <row r="4876" spans="1:18" ht="12.75">
      <c r="A4876" s="22"/>
      <c r="D4876" s="19"/>
      <c r="H4876" s="18"/>
      <c r="J4876" s="18"/>
      <c r="N4876" s="16"/>
      <c r="O4876" s="17"/>
      <c r="P4876" s="17"/>
      <c r="Q4876" s="22"/>
      <c r="R4876" s="23"/>
    </row>
    <row r="4877" spans="1:18" ht="12.75">
      <c r="A4877" s="22"/>
      <c r="D4877" s="19"/>
      <c r="H4877" s="18"/>
      <c r="J4877" s="18"/>
      <c r="N4877" s="16"/>
      <c r="O4877" s="17"/>
      <c r="P4877" s="17"/>
      <c r="Q4877" s="22"/>
      <c r="R4877" s="23"/>
    </row>
    <row r="4878" spans="1:18" ht="12.75">
      <c r="A4878" s="22"/>
      <c r="D4878" s="19"/>
      <c r="H4878" s="18"/>
      <c r="J4878" s="18"/>
      <c r="N4878" s="16"/>
      <c r="O4878" s="17"/>
      <c r="P4878" s="17"/>
      <c r="Q4878" s="22"/>
      <c r="R4878" s="23"/>
    </row>
    <row r="4879" spans="1:18" ht="12.75">
      <c r="A4879" s="22"/>
      <c r="D4879" s="19"/>
      <c r="H4879" s="18"/>
      <c r="J4879" s="18"/>
      <c r="N4879" s="16"/>
      <c r="O4879" s="17"/>
      <c r="P4879" s="17"/>
      <c r="Q4879" s="22"/>
      <c r="R4879" s="23"/>
    </row>
    <row r="4880" spans="1:18" ht="12.75">
      <c r="A4880" s="22"/>
      <c r="D4880" s="19"/>
      <c r="H4880" s="18"/>
      <c r="J4880" s="18"/>
      <c r="N4880" s="16"/>
      <c r="O4880" s="17"/>
      <c r="P4880" s="17"/>
      <c r="Q4880" s="22"/>
      <c r="R4880" s="23"/>
    </row>
    <row r="4881" spans="1:18" ht="12.75">
      <c r="A4881" s="22"/>
      <c r="D4881" s="19"/>
      <c r="H4881" s="18"/>
      <c r="J4881" s="18"/>
      <c r="N4881" s="16"/>
      <c r="O4881" s="17"/>
      <c r="P4881" s="17"/>
      <c r="Q4881" s="22"/>
      <c r="R4881" s="23"/>
    </row>
    <row r="4882" spans="1:18" ht="12.75">
      <c r="A4882" s="22"/>
      <c r="D4882" s="19"/>
      <c r="H4882" s="18"/>
      <c r="J4882" s="18"/>
      <c r="N4882" s="16"/>
      <c r="O4882" s="17"/>
      <c r="P4882" s="17"/>
      <c r="Q4882" s="22"/>
      <c r="R4882" s="23"/>
    </row>
    <row r="4883" spans="1:18" ht="12.75">
      <c r="A4883" s="22"/>
      <c r="D4883" s="19"/>
      <c r="H4883" s="18"/>
      <c r="J4883" s="18"/>
      <c r="N4883" s="16"/>
      <c r="O4883" s="17"/>
      <c r="P4883" s="17"/>
      <c r="Q4883" s="22"/>
      <c r="R4883" s="23"/>
    </row>
    <row r="4884" spans="1:18" ht="12.75">
      <c r="A4884" s="22"/>
      <c r="D4884" s="19"/>
      <c r="H4884" s="18"/>
      <c r="J4884" s="18"/>
      <c r="N4884" s="16"/>
      <c r="O4884" s="17"/>
      <c r="P4884" s="17"/>
      <c r="Q4884" s="22"/>
      <c r="R4884" s="23"/>
    </row>
    <row r="4885" spans="1:18" ht="12.75">
      <c r="A4885" s="22"/>
      <c r="D4885" s="19"/>
      <c r="H4885" s="18"/>
      <c r="J4885" s="18"/>
      <c r="N4885" s="16"/>
      <c r="O4885" s="17"/>
      <c r="P4885" s="17"/>
      <c r="Q4885" s="22"/>
      <c r="R4885" s="23"/>
    </row>
    <row r="4886" spans="1:18" ht="12.75">
      <c r="A4886" s="22"/>
      <c r="D4886" s="19"/>
      <c r="H4886" s="18"/>
      <c r="J4886" s="18"/>
      <c r="N4886" s="16"/>
      <c r="O4886" s="17"/>
      <c r="P4886" s="17"/>
      <c r="Q4886" s="22"/>
      <c r="R4886" s="23"/>
    </row>
    <row r="4887" spans="1:18" ht="12.75">
      <c r="A4887" s="22"/>
      <c r="D4887" s="19"/>
      <c r="H4887" s="18"/>
      <c r="J4887" s="18"/>
      <c r="N4887" s="16"/>
      <c r="O4887" s="17"/>
      <c r="P4887" s="17"/>
      <c r="Q4887" s="22"/>
      <c r="R4887" s="23"/>
    </row>
    <row r="4888" spans="1:18" ht="12.75">
      <c r="A4888" s="22"/>
      <c r="D4888" s="19"/>
      <c r="H4888" s="18"/>
      <c r="J4888" s="18"/>
      <c r="N4888" s="16"/>
      <c r="O4888" s="17"/>
      <c r="P4888" s="17"/>
      <c r="Q4888" s="22"/>
      <c r="R4888" s="23"/>
    </row>
    <row r="4889" spans="1:18" ht="12.75">
      <c r="A4889" s="22"/>
      <c r="D4889" s="19"/>
      <c r="H4889" s="18"/>
      <c r="J4889" s="18"/>
      <c r="N4889" s="16"/>
      <c r="O4889" s="17"/>
      <c r="P4889" s="17"/>
      <c r="Q4889" s="22"/>
      <c r="R4889" s="23"/>
    </row>
    <row r="4890" spans="1:18" ht="12.75">
      <c r="A4890" s="22"/>
      <c r="D4890" s="19"/>
      <c r="H4890" s="18"/>
      <c r="J4890" s="18"/>
      <c r="N4890" s="16"/>
      <c r="O4890" s="17"/>
      <c r="P4890" s="17"/>
      <c r="Q4890" s="22"/>
      <c r="R4890" s="23"/>
    </row>
    <row r="4891" spans="1:18" ht="12.75">
      <c r="A4891" s="22"/>
      <c r="D4891" s="19"/>
      <c r="H4891" s="18"/>
      <c r="J4891" s="18"/>
      <c r="N4891" s="16"/>
      <c r="O4891" s="17"/>
      <c r="P4891" s="17"/>
      <c r="Q4891" s="22"/>
      <c r="R4891" s="23"/>
    </row>
    <row r="4892" spans="1:18" ht="12.75">
      <c r="A4892" s="22"/>
      <c r="D4892" s="19"/>
      <c r="H4892" s="18"/>
      <c r="J4892" s="18"/>
      <c r="N4892" s="16"/>
      <c r="O4892" s="17"/>
      <c r="P4892" s="17"/>
      <c r="Q4892" s="22"/>
      <c r="R4892" s="23"/>
    </row>
    <row r="4893" spans="1:18" ht="12.75">
      <c r="A4893" s="22"/>
      <c r="D4893" s="19"/>
      <c r="H4893" s="18"/>
      <c r="J4893" s="18"/>
      <c r="N4893" s="16"/>
      <c r="O4893" s="17"/>
      <c r="P4893" s="17"/>
      <c r="Q4893" s="22"/>
      <c r="R4893" s="23"/>
    </row>
    <row r="4894" spans="1:18" ht="12.75">
      <c r="A4894" s="22"/>
      <c r="D4894" s="19"/>
      <c r="H4894" s="18"/>
      <c r="J4894" s="18"/>
      <c r="N4894" s="16"/>
      <c r="O4894" s="17"/>
      <c r="P4894" s="17"/>
      <c r="Q4894" s="22"/>
      <c r="R4894" s="23"/>
    </row>
    <row r="4895" spans="1:18" ht="12.75">
      <c r="A4895" s="22"/>
      <c r="D4895" s="19"/>
      <c r="H4895" s="18"/>
      <c r="J4895" s="18"/>
      <c r="N4895" s="16"/>
      <c r="O4895" s="17"/>
      <c r="P4895" s="17"/>
      <c r="Q4895" s="22"/>
      <c r="R4895" s="23"/>
    </row>
    <row r="4896" spans="1:18" ht="12.75">
      <c r="A4896" s="22"/>
      <c r="D4896" s="19"/>
      <c r="H4896" s="18"/>
      <c r="J4896" s="18"/>
      <c r="N4896" s="16"/>
      <c r="O4896" s="17"/>
      <c r="P4896" s="17"/>
      <c r="Q4896" s="22"/>
      <c r="R4896" s="23"/>
    </row>
    <row r="4897" spans="1:18" ht="12.75">
      <c r="A4897" s="22"/>
      <c r="D4897" s="19"/>
      <c r="H4897" s="18"/>
      <c r="J4897" s="18"/>
      <c r="N4897" s="16"/>
      <c r="O4897" s="17"/>
      <c r="P4897" s="17"/>
      <c r="Q4897" s="22"/>
      <c r="R4897" s="23"/>
    </row>
    <row r="4898" spans="1:18" ht="12.75">
      <c r="A4898" s="22"/>
      <c r="D4898" s="19"/>
      <c r="H4898" s="18"/>
      <c r="J4898" s="18"/>
      <c r="N4898" s="16"/>
      <c r="O4898" s="17"/>
      <c r="P4898" s="17"/>
      <c r="Q4898" s="22"/>
      <c r="R4898" s="23"/>
    </row>
    <row r="4899" spans="1:18" ht="12.75">
      <c r="A4899" s="22"/>
      <c r="D4899" s="19"/>
      <c r="H4899" s="18"/>
      <c r="J4899" s="18"/>
      <c r="N4899" s="16"/>
      <c r="O4899" s="17"/>
      <c r="P4899" s="17"/>
      <c r="Q4899" s="22"/>
      <c r="R4899" s="23"/>
    </row>
    <row r="4900" spans="1:18" ht="12.75">
      <c r="A4900" s="22"/>
      <c r="D4900" s="19"/>
      <c r="H4900" s="18"/>
      <c r="J4900" s="18"/>
      <c r="N4900" s="16"/>
      <c r="O4900" s="17"/>
      <c r="P4900" s="17"/>
      <c r="Q4900" s="22"/>
      <c r="R4900" s="23"/>
    </row>
    <row r="4901" spans="1:18" ht="12.75">
      <c r="A4901" s="22"/>
      <c r="D4901" s="19"/>
      <c r="H4901" s="18"/>
      <c r="J4901" s="18"/>
      <c r="N4901" s="16"/>
      <c r="O4901" s="17"/>
      <c r="P4901" s="17"/>
      <c r="Q4901" s="22"/>
      <c r="R4901" s="23"/>
    </row>
    <row r="4902" spans="1:18" ht="12.75">
      <c r="A4902" s="22"/>
      <c r="D4902" s="19"/>
      <c r="H4902" s="18"/>
      <c r="J4902" s="18"/>
      <c r="N4902" s="16"/>
      <c r="O4902" s="17"/>
      <c r="P4902" s="17"/>
      <c r="Q4902" s="22"/>
      <c r="R4902" s="23"/>
    </row>
    <row r="4903" spans="1:18" ht="12.75">
      <c r="A4903" s="22"/>
      <c r="D4903" s="19"/>
      <c r="H4903" s="18"/>
      <c r="J4903" s="18"/>
      <c r="N4903" s="16"/>
      <c r="O4903" s="17"/>
      <c r="P4903" s="17"/>
      <c r="Q4903" s="22"/>
      <c r="R4903" s="23"/>
    </row>
    <row r="4904" spans="1:18" ht="12.75">
      <c r="A4904" s="22"/>
      <c r="D4904" s="19"/>
      <c r="H4904" s="18"/>
      <c r="J4904" s="18"/>
      <c r="N4904" s="16"/>
      <c r="O4904" s="17"/>
      <c r="P4904" s="17"/>
      <c r="Q4904" s="22"/>
      <c r="R4904" s="23"/>
    </row>
    <row r="4905" spans="1:18" ht="12.75">
      <c r="A4905" s="22"/>
      <c r="D4905" s="19"/>
      <c r="H4905" s="18"/>
      <c r="J4905" s="18"/>
      <c r="N4905" s="16"/>
      <c r="O4905" s="17"/>
      <c r="P4905" s="17"/>
      <c r="Q4905" s="22"/>
      <c r="R4905" s="23"/>
    </row>
    <row r="4906" spans="1:18" ht="12.75">
      <c r="A4906" s="22"/>
      <c r="D4906" s="19"/>
      <c r="H4906" s="18"/>
      <c r="J4906" s="18"/>
      <c r="N4906" s="16"/>
      <c r="O4906" s="17"/>
      <c r="P4906" s="17"/>
      <c r="Q4906" s="22"/>
      <c r="R4906" s="23"/>
    </row>
    <row r="4907" spans="1:18" ht="12.75">
      <c r="A4907" s="22"/>
      <c r="D4907" s="19"/>
      <c r="H4907" s="18"/>
      <c r="J4907" s="18"/>
      <c r="N4907" s="16"/>
      <c r="O4907" s="17"/>
      <c r="P4907" s="17"/>
      <c r="Q4907" s="22"/>
      <c r="R4907" s="23"/>
    </row>
    <row r="4908" spans="1:18" ht="12.75">
      <c r="A4908" s="22"/>
      <c r="D4908" s="19"/>
      <c r="H4908" s="18"/>
      <c r="J4908" s="18"/>
      <c r="N4908" s="16"/>
      <c r="O4908" s="17"/>
      <c r="P4908" s="17"/>
      <c r="Q4908" s="22"/>
      <c r="R4908" s="23"/>
    </row>
    <row r="4909" spans="1:18" ht="12.75">
      <c r="A4909" s="22"/>
      <c r="D4909" s="19"/>
      <c r="H4909" s="18"/>
      <c r="J4909" s="18"/>
      <c r="N4909" s="16"/>
      <c r="O4909" s="17"/>
      <c r="P4909" s="17"/>
      <c r="Q4909" s="22"/>
      <c r="R4909" s="23"/>
    </row>
    <row r="4910" spans="1:18" ht="12.75">
      <c r="A4910" s="22"/>
      <c r="D4910" s="19"/>
      <c r="H4910" s="18"/>
      <c r="J4910" s="18"/>
      <c r="N4910" s="16"/>
      <c r="O4910" s="17"/>
      <c r="P4910" s="17"/>
      <c r="Q4910" s="22"/>
      <c r="R4910" s="23"/>
    </row>
    <row r="4911" spans="1:18" ht="12.75">
      <c r="A4911" s="22"/>
      <c r="D4911" s="19"/>
      <c r="H4911" s="18"/>
      <c r="J4911" s="18"/>
      <c r="N4911" s="16"/>
      <c r="O4911" s="17"/>
      <c r="P4911" s="17"/>
      <c r="Q4911" s="22"/>
      <c r="R4911" s="23"/>
    </row>
    <row r="4912" spans="1:18" ht="12.75">
      <c r="A4912" s="22"/>
      <c r="D4912" s="19"/>
      <c r="H4912" s="18"/>
      <c r="J4912" s="18"/>
      <c r="N4912" s="16"/>
      <c r="O4912" s="17"/>
      <c r="P4912" s="17"/>
      <c r="Q4912" s="22"/>
      <c r="R4912" s="23"/>
    </row>
    <row r="4913" spans="1:18" ht="12.75">
      <c r="A4913" s="22"/>
      <c r="D4913" s="19"/>
      <c r="H4913" s="18"/>
      <c r="J4913" s="18"/>
      <c r="N4913" s="16"/>
      <c r="O4913" s="17"/>
      <c r="P4913" s="17"/>
      <c r="Q4913" s="22"/>
      <c r="R4913" s="23"/>
    </row>
    <row r="4914" spans="1:18" ht="12.75">
      <c r="A4914" s="22"/>
      <c r="D4914" s="19"/>
      <c r="H4914" s="18"/>
      <c r="J4914" s="18"/>
      <c r="N4914" s="16"/>
      <c r="O4914" s="17"/>
      <c r="P4914" s="17"/>
      <c r="Q4914" s="22"/>
      <c r="R4914" s="23"/>
    </row>
    <row r="4915" spans="1:18" ht="12.75">
      <c r="A4915" s="22"/>
      <c r="D4915" s="19"/>
      <c r="H4915" s="18"/>
      <c r="J4915" s="18"/>
      <c r="N4915" s="16"/>
      <c r="O4915" s="17"/>
      <c r="P4915" s="17"/>
      <c r="Q4915" s="22"/>
      <c r="R4915" s="23"/>
    </row>
    <row r="4916" spans="1:18" ht="12.75">
      <c r="A4916" s="22"/>
      <c r="D4916" s="19"/>
      <c r="H4916" s="18"/>
      <c r="J4916" s="18"/>
      <c r="N4916" s="16"/>
      <c r="O4916" s="17"/>
      <c r="P4916" s="17"/>
      <c r="Q4916" s="22"/>
      <c r="R4916" s="23"/>
    </row>
    <row r="4917" spans="1:18" ht="12.75">
      <c r="A4917" s="22"/>
      <c r="D4917" s="19"/>
      <c r="H4917" s="18"/>
      <c r="J4917" s="18"/>
      <c r="N4917" s="16"/>
      <c r="O4917" s="17"/>
      <c r="P4917" s="17"/>
      <c r="Q4917" s="22"/>
      <c r="R4917" s="23"/>
    </row>
    <row r="4918" spans="1:18" ht="12.75">
      <c r="A4918" s="22"/>
      <c r="D4918" s="19"/>
      <c r="H4918" s="18"/>
      <c r="J4918" s="18"/>
      <c r="N4918" s="16"/>
      <c r="O4918" s="17"/>
      <c r="P4918" s="17"/>
      <c r="Q4918" s="22"/>
      <c r="R4918" s="23"/>
    </row>
    <row r="4919" spans="1:18" ht="12.75">
      <c r="A4919" s="22"/>
      <c r="D4919" s="19"/>
      <c r="H4919" s="18"/>
      <c r="J4919" s="18"/>
      <c r="N4919" s="16"/>
      <c r="O4919" s="17"/>
      <c r="P4919" s="17"/>
      <c r="Q4919" s="22"/>
      <c r="R4919" s="23"/>
    </row>
    <row r="4920" spans="1:18" ht="12.75">
      <c r="A4920" s="22"/>
      <c r="D4920" s="19"/>
      <c r="H4920" s="18"/>
      <c r="J4920" s="18"/>
      <c r="N4920" s="16"/>
      <c r="O4920" s="17"/>
      <c r="P4920" s="17"/>
      <c r="Q4920" s="22"/>
      <c r="R4920" s="23"/>
    </row>
    <row r="4921" spans="1:18" ht="12.75">
      <c r="A4921" s="22"/>
      <c r="D4921" s="19"/>
      <c r="H4921" s="18"/>
      <c r="J4921" s="18"/>
      <c r="N4921" s="16"/>
      <c r="O4921" s="17"/>
      <c r="P4921" s="17"/>
      <c r="Q4921" s="22"/>
      <c r="R4921" s="23"/>
    </row>
    <row r="4922" spans="1:18" ht="12.75">
      <c r="A4922" s="22"/>
      <c r="D4922" s="19"/>
      <c r="H4922" s="18"/>
      <c r="J4922" s="18"/>
      <c r="N4922" s="16"/>
      <c r="O4922" s="17"/>
      <c r="P4922" s="17"/>
      <c r="Q4922" s="22"/>
      <c r="R4922" s="23"/>
    </row>
    <row r="4923" spans="1:18" ht="12.75">
      <c r="A4923" s="22"/>
      <c r="D4923" s="19"/>
      <c r="H4923" s="18"/>
      <c r="J4923" s="18"/>
      <c r="N4923" s="16"/>
      <c r="O4923" s="17"/>
      <c r="P4923" s="17"/>
      <c r="Q4923" s="22"/>
      <c r="R4923" s="23"/>
    </row>
    <row r="4924" spans="1:18" ht="12.75">
      <c r="A4924" s="22"/>
      <c r="D4924" s="19"/>
      <c r="H4924" s="18"/>
      <c r="J4924" s="18"/>
      <c r="N4924" s="16"/>
      <c r="O4924" s="17"/>
      <c r="P4924" s="17"/>
      <c r="Q4924" s="22"/>
      <c r="R4924" s="23"/>
    </row>
    <row r="4925" spans="1:18" ht="12.75">
      <c r="A4925" s="22"/>
      <c r="D4925" s="19"/>
      <c r="H4925" s="18"/>
      <c r="J4925" s="18"/>
      <c r="N4925" s="16"/>
      <c r="O4925" s="17"/>
      <c r="P4925" s="17"/>
      <c r="Q4925" s="22"/>
      <c r="R4925" s="23"/>
    </row>
    <row r="4926" spans="1:18" ht="12.75">
      <c r="A4926" s="22"/>
      <c r="D4926" s="19"/>
      <c r="H4926" s="18"/>
      <c r="J4926" s="18"/>
      <c r="N4926" s="16"/>
      <c r="O4926" s="17"/>
      <c r="P4926" s="17"/>
      <c r="Q4926" s="22"/>
      <c r="R4926" s="23"/>
    </row>
    <row r="4927" spans="1:18" ht="12.75">
      <c r="A4927" s="22"/>
      <c r="D4927" s="19"/>
      <c r="H4927" s="18"/>
      <c r="J4927" s="18"/>
      <c r="N4927" s="16"/>
      <c r="O4927" s="17"/>
      <c r="P4927" s="17"/>
      <c r="Q4927" s="22"/>
      <c r="R4927" s="23"/>
    </row>
    <row r="4928" spans="1:18" ht="12.75">
      <c r="A4928" s="22"/>
      <c r="D4928" s="19"/>
      <c r="H4928" s="18"/>
      <c r="J4928" s="18"/>
      <c r="N4928" s="16"/>
      <c r="O4928" s="17"/>
      <c r="P4928" s="17"/>
      <c r="Q4928" s="22"/>
      <c r="R4928" s="23"/>
    </row>
    <row r="4929" spans="1:18" ht="12.75">
      <c r="A4929" s="22"/>
      <c r="D4929" s="19"/>
      <c r="H4929" s="18"/>
      <c r="J4929" s="18"/>
      <c r="N4929" s="16"/>
      <c r="O4929" s="17"/>
      <c r="P4929" s="17"/>
      <c r="Q4929" s="22"/>
      <c r="R4929" s="23"/>
    </row>
    <row r="4930" spans="1:18" ht="12.75">
      <c r="A4930" s="22"/>
      <c r="D4930" s="19"/>
      <c r="H4930" s="18"/>
      <c r="J4930" s="18"/>
      <c r="N4930" s="16"/>
      <c r="O4930" s="17"/>
      <c r="P4930" s="17"/>
      <c r="Q4930" s="22"/>
      <c r="R4930" s="23"/>
    </row>
    <row r="4931" spans="1:18" ht="12.75">
      <c r="A4931" s="22"/>
      <c r="D4931" s="19"/>
      <c r="H4931" s="18"/>
      <c r="J4931" s="18"/>
      <c r="N4931" s="16"/>
      <c r="O4931" s="17"/>
      <c r="P4931" s="17"/>
      <c r="Q4931" s="22"/>
      <c r="R4931" s="23"/>
    </row>
    <row r="4932" spans="1:18" ht="12.75">
      <c r="A4932" s="22"/>
      <c r="D4932" s="19"/>
      <c r="H4932" s="18"/>
      <c r="J4932" s="18"/>
      <c r="N4932" s="16"/>
      <c r="O4932" s="17"/>
      <c r="P4932" s="17"/>
      <c r="Q4932" s="22"/>
      <c r="R4932" s="23"/>
    </row>
    <row r="4933" spans="1:18" ht="12.75">
      <c r="A4933" s="22"/>
      <c r="D4933" s="19"/>
      <c r="H4933" s="18"/>
      <c r="J4933" s="18"/>
      <c r="N4933" s="16"/>
      <c r="O4933" s="17"/>
      <c r="P4933" s="17"/>
      <c r="Q4933" s="22"/>
      <c r="R4933" s="23"/>
    </row>
    <row r="4934" spans="1:18" ht="12.75">
      <c r="A4934" s="22"/>
      <c r="D4934" s="19"/>
      <c r="H4934" s="18"/>
      <c r="J4934" s="18"/>
      <c r="N4934" s="16"/>
      <c r="O4934" s="17"/>
      <c r="P4934" s="17"/>
      <c r="Q4934" s="22"/>
      <c r="R4934" s="23"/>
    </row>
    <row r="4935" spans="1:18" ht="12.75">
      <c r="A4935" s="22"/>
      <c r="D4935" s="19"/>
      <c r="H4935" s="18"/>
      <c r="J4935" s="18"/>
      <c r="N4935" s="16"/>
      <c r="O4935" s="17"/>
      <c r="P4935" s="17"/>
      <c r="Q4935" s="22"/>
      <c r="R4935" s="23"/>
    </row>
    <row r="4936" spans="1:18" ht="12.75">
      <c r="A4936" s="22"/>
      <c r="D4936" s="19"/>
      <c r="H4936" s="18"/>
      <c r="J4936" s="18"/>
      <c r="N4936" s="16"/>
      <c r="O4936" s="17"/>
      <c r="P4936" s="17"/>
      <c r="Q4936" s="22"/>
      <c r="R4936" s="23"/>
    </row>
    <row r="4937" spans="1:18" ht="12.75">
      <c r="A4937" s="22"/>
      <c r="D4937" s="19"/>
      <c r="H4937" s="18"/>
      <c r="J4937" s="18"/>
      <c r="N4937" s="16"/>
      <c r="O4937" s="17"/>
      <c r="P4937" s="17"/>
      <c r="Q4937" s="22"/>
      <c r="R4937" s="23"/>
    </row>
    <row r="4938" spans="1:18" ht="12.75">
      <c r="A4938" s="22"/>
      <c r="D4938" s="19"/>
      <c r="H4938" s="18"/>
      <c r="J4938" s="18"/>
      <c r="N4938" s="16"/>
      <c r="O4938" s="17"/>
      <c r="P4938" s="17"/>
      <c r="Q4938" s="22"/>
      <c r="R4938" s="23"/>
    </row>
    <row r="4939" spans="1:18" ht="12.75">
      <c r="A4939" s="22"/>
      <c r="D4939" s="19"/>
      <c r="H4939" s="18"/>
      <c r="J4939" s="18"/>
      <c r="N4939" s="16"/>
      <c r="O4939" s="17"/>
      <c r="P4939" s="17"/>
      <c r="Q4939" s="22"/>
      <c r="R4939" s="23"/>
    </row>
    <row r="4940" spans="1:18" ht="12.75">
      <c r="A4940" s="22"/>
      <c r="D4940" s="19"/>
      <c r="H4940" s="18"/>
      <c r="J4940" s="18"/>
      <c r="N4940" s="16"/>
      <c r="O4940" s="17"/>
      <c r="P4940" s="17"/>
      <c r="Q4940" s="22"/>
      <c r="R4940" s="23"/>
    </row>
    <row r="4941" spans="1:18" ht="12.75">
      <c r="A4941" s="22"/>
      <c r="D4941" s="19"/>
      <c r="H4941" s="18"/>
      <c r="J4941" s="18"/>
      <c r="N4941" s="16"/>
      <c r="O4941" s="17"/>
      <c r="P4941" s="17"/>
      <c r="Q4941" s="22"/>
      <c r="R4941" s="23"/>
    </row>
    <row r="4942" spans="1:18" ht="12.75">
      <c r="A4942" s="22"/>
      <c r="D4942" s="19"/>
      <c r="H4942" s="18"/>
      <c r="J4942" s="18"/>
      <c r="N4942" s="16"/>
      <c r="O4942" s="17"/>
      <c r="P4942" s="17"/>
      <c r="Q4942" s="22"/>
      <c r="R4942" s="23"/>
    </row>
    <row r="4943" spans="1:18" ht="12.75">
      <c r="A4943" s="22"/>
      <c r="D4943" s="19"/>
      <c r="H4943" s="18"/>
      <c r="J4943" s="18"/>
      <c r="N4943" s="16"/>
      <c r="O4943" s="17"/>
      <c r="P4943" s="17"/>
      <c r="Q4943" s="22"/>
      <c r="R4943" s="23"/>
    </row>
    <row r="4944" spans="1:18" ht="12.75">
      <c r="A4944" s="22"/>
      <c r="D4944" s="19"/>
      <c r="H4944" s="18"/>
      <c r="J4944" s="18"/>
      <c r="N4944" s="16"/>
      <c r="O4944" s="17"/>
      <c r="P4944" s="17"/>
      <c r="Q4944" s="22"/>
      <c r="R4944" s="23"/>
    </row>
    <row r="4945" spans="1:18" ht="12.75">
      <c r="A4945" s="22"/>
      <c r="D4945" s="19"/>
      <c r="H4945" s="18"/>
      <c r="J4945" s="18"/>
      <c r="N4945" s="16"/>
      <c r="O4945" s="17"/>
      <c r="P4945" s="17"/>
      <c r="Q4945" s="22"/>
      <c r="R4945" s="23"/>
    </row>
    <row r="4946" spans="1:18" ht="12.75">
      <c r="A4946" s="22"/>
      <c r="D4946" s="19"/>
      <c r="H4946" s="18"/>
      <c r="J4946" s="18"/>
      <c r="N4946" s="16"/>
      <c r="O4946" s="17"/>
      <c r="P4946" s="17"/>
      <c r="Q4946" s="22"/>
      <c r="R4946" s="23"/>
    </row>
    <row r="4947" spans="1:18" ht="12.75">
      <c r="A4947" s="22"/>
      <c r="D4947" s="19"/>
      <c r="H4947" s="18"/>
      <c r="J4947" s="18"/>
      <c r="N4947" s="16"/>
      <c r="O4947" s="17"/>
      <c r="P4947" s="17"/>
      <c r="Q4947" s="22"/>
      <c r="R4947" s="23"/>
    </row>
    <row r="4948" spans="1:18" ht="12.75">
      <c r="A4948" s="22"/>
      <c r="D4948" s="19"/>
      <c r="H4948" s="18"/>
      <c r="J4948" s="18"/>
      <c r="N4948" s="16"/>
      <c r="O4948" s="17"/>
      <c r="P4948" s="17"/>
      <c r="Q4948" s="22"/>
      <c r="R4948" s="23"/>
    </row>
    <row r="4949" spans="1:18" ht="12.75">
      <c r="A4949" s="22"/>
      <c r="D4949" s="19"/>
      <c r="H4949" s="18"/>
      <c r="J4949" s="18"/>
      <c r="N4949" s="16"/>
      <c r="O4949" s="17"/>
      <c r="P4949" s="17"/>
      <c r="Q4949" s="22"/>
      <c r="R4949" s="23"/>
    </row>
    <row r="4950" spans="1:18" ht="12.75">
      <c r="A4950" s="22"/>
      <c r="D4950" s="19"/>
      <c r="H4950" s="18"/>
      <c r="J4950" s="18"/>
      <c r="N4950" s="16"/>
      <c r="O4950" s="17"/>
      <c r="P4950" s="17"/>
      <c r="Q4950" s="22"/>
      <c r="R4950" s="23"/>
    </row>
    <row r="4951" spans="1:18" ht="12.75">
      <c r="A4951" s="22"/>
      <c r="D4951" s="19"/>
      <c r="H4951" s="18"/>
      <c r="J4951" s="18"/>
      <c r="N4951" s="16"/>
      <c r="O4951" s="17"/>
      <c r="P4951" s="17"/>
      <c r="Q4951" s="22"/>
      <c r="R4951" s="23"/>
    </row>
    <row r="4952" spans="1:18" ht="12.75">
      <c r="A4952" s="22"/>
      <c r="D4952" s="19"/>
      <c r="H4952" s="18"/>
      <c r="J4952" s="18"/>
      <c r="N4952" s="16"/>
      <c r="O4952" s="17"/>
      <c r="P4952" s="17"/>
      <c r="Q4952" s="22"/>
      <c r="R4952" s="23"/>
    </row>
    <row r="4953" spans="1:18" ht="12.75">
      <c r="A4953" s="22"/>
      <c r="D4953" s="19"/>
      <c r="H4953" s="18"/>
      <c r="J4953" s="18"/>
      <c r="N4953" s="16"/>
      <c r="O4953" s="17"/>
      <c r="P4953" s="17"/>
      <c r="Q4953" s="22"/>
      <c r="R4953" s="23"/>
    </row>
    <row r="4954" spans="1:18" ht="12.75">
      <c r="A4954" s="22"/>
      <c r="D4954" s="19"/>
      <c r="H4954" s="18"/>
      <c r="J4954" s="18"/>
      <c r="N4954" s="16"/>
      <c r="O4954" s="17"/>
      <c r="P4954" s="17"/>
      <c r="Q4954" s="22"/>
      <c r="R4954" s="23"/>
    </row>
    <row r="4955" spans="1:18" ht="12.75">
      <c r="A4955" s="22"/>
      <c r="D4955" s="19"/>
      <c r="H4955" s="18"/>
      <c r="J4955" s="18"/>
      <c r="N4955" s="16"/>
      <c r="O4955" s="17"/>
      <c r="P4955" s="17"/>
      <c r="Q4955" s="22"/>
      <c r="R4955" s="23"/>
    </row>
    <row r="4956" spans="1:18" ht="12.75">
      <c r="A4956" s="22"/>
      <c r="D4956" s="19"/>
      <c r="H4956" s="18"/>
      <c r="J4956" s="18"/>
      <c r="N4956" s="16"/>
      <c r="O4956" s="17"/>
      <c r="P4956" s="17"/>
      <c r="Q4956" s="22"/>
      <c r="R4956" s="23"/>
    </row>
    <row r="4957" spans="1:18" ht="12.75">
      <c r="A4957" s="22"/>
      <c r="D4957" s="19"/>
      <c r="H4957" s="18"/>
      <c r="J4957" s="18"/>
      <c r="N4957" s="16"/>
      <c r="O4957" s="17"/>
      <c r="P4957" s="17"/>
      <c r="Q4957" s="22"/>
      <c r="R4957" s="23"/>
    </row>
    <row r="4958" spans="1:18" ht="12.75">
      <c r="A4958" s="22"/>
      <c r="D4958" s="19"/>
      <c r="H4958" s="18"/>
      <c r="J4958" s="18"/>
      <c r="N4958" s="16"/>
      <c r="O4958" s="17"/>
      <c r="P4958" s="17"/>
      <c r="Q4958" s="22"/>
      <c r="R4958" s="23"/>
    </row>
    <row r="4959" spans="1:18" ht="12.75">
      <c r="A4959" s="22"/>
      <c r="D4959" s="19"/>
      <c r="H4959" s="18"/>
      <c r="J4959" s="18"/>
      <c r="N4959" s="16"/>
      <c r="O4959" s="17"/>
      <c r="P4959" s="17"/>
      <c r="Q4959" s="22"/>
      <c r="R4959" s="23"/>
    </row>
    <row r="4960" spans="1:18" ht="12.75">
      <c r="A4960" s="22"/>
      <c r="D4960" s="19"/>
      <c r="H4960" s="18"/>
      <c r="J4960" s="18"/>
      <c r="N4960" s="16"/>
      <c r="O4960" s="17"/>
      <c r="P4960" s="17"/>
      <c r="Q4960" s="22"/>
      <c r="R4960" s="23"/>
    </row>
    <row r="4961" spans="1:18" ht="12.75">
      <c r="A4961" s="22"/>
      <c r="D4961" s="19"/>
      <c r="H4961" s="18"/>
      <c r="J4961" s="18"/>
      <c r="N4961" s="16"/>
      <c r="O4961" s="17"/>
      <c r="P4961" s="17"/>
      <c r="Q4961" s="22"/>
      <c r="R4961" s="23"/>
    </row>
    <row r="4962" spans="1:18" ht="12.75">
      <c r="A4962" s="22"/>
      <c r="D4962" s="19"/>
      <c r="H4962" s="18"/>
      <c r="J4962" s="18"/>
      <c r="N4962" s="16"/>
      <c r="O4962" s="17"/>
      <c r="P4962" s="17"/>
      <c r="Q4962" s="22"/>
      <c r="R4962" s="23"/>
    </row>
    <row r="4963" spans="1:18" ht="12.75">
      <c r="A4963" s="22"/>
      <c r="D4963" s="19"/>
      <c r="H4963" s="18"/>
      <c r="J4963" s="18"/>
      <c r="N4963" s="16"/>
      <c r="O4963" s="17"/>
      <c r="P4963" s="17"/>
      <c r="Q4963" s="22"/>
      <c r="R4963" s="23"/>
    </row>
    <row r="4964" spans="1:18" ht="12.75">
      <c r="A4964" s="22"/>
      <c r="D4964" s="19"/>
      <c r="H4964" s="18"/>
      <c r="J4964" s="18"/>
      <c r="N4964" s="16"/>
      <c r="O4964" s="17"/>
      <c r="P4964" s="17"/>
      <c r="Q4964" s="22"/>
      <c r="R4964" s="23"/>
    </row>
    <row r="4965" spans="1:18" ht="12.75">
      <c r="A4965" s="22"/>
      <c r="D4965" s="19"/>
      <c r="H4965" s="18"/>
      <c r="J4965" s="18"/>
      <c r="N4965" s="16"/>
      <c r="O4965" s="17"/>
      <c r="P4965" s="17"/>
      <c r="Q4965" s="22"/>
      <c r="R4965" s="23"/>
    </row>
    <row r="4966" spans="1:18" ht="12.75">
      <c r="A4966" s="22"/>
      <c r="D4966" s="19"/>
      <c r="H4966" s="18"/>
      <c r="J4966" s="18"/>
      <c r="N4966" s="16"/>
      <c r="O4966" s="17"/>
      <c r="P4966" s="17"/>
      <c r="Q4966" s="22"/>
      <c r="R4966" s="23"/>
    </row>
    <row r="4967" spans="1:18" ht="12.75">
      <c r="A4967" s="22"/>
      <c r="D4967" s="19"/>
      <c r="H4967" s="18"/>
      <c r="J4967" s="18"/>
      <c r="N4967" s="16"/>
      <c r="O4967" s="17"/>
      <c r="P4967" s="17"/>
      <c r="Q4967" s="22"/>
      <c r="R4967" s="23"/>
    </row>
    <row r="4968" spans="1:18" ht="12.75">
      <c r="A4968" s="22"/>
      <c r="D4968" s="19"/>
      <c r="H4968" s="18"/>
      <c r="J4968" s="18"/>
      <c r="N4968" s="16"/>
      <c r="O4968" s="17"/>
      <c r="P4968" s="17"/>
      <c r="Q4968" s="22"/>
      <c r="R4968" s="23"/>
    </row>
    <row r="4969" spans="1:18" ht="12.75">
      <c r="A4969" s="22"/>
      <c r="D4969" s="19"/>
      <c r="H4969" s="18"/>
      <c r="J4969" s="18"/>
      <c r="N4969" s="16"/>
      <c r="O4969" s="17"/>
      <c r="P4969" s="17"/>
      <c r="Q4969" s="22"/>
      <c r="R4969" s="23"/>
    </row>
    <row r="4970" spans="1:18" ht="12.75">
      <c r="A4970" s="22"/>
      <c r="D4970" s="19"/>
      <c r="H4970" s="18"/>
      <c r="J4970" s="18"/>
      <c r="N4970" s="16"/>
      <c r="O4970" s="17"/>
      <c r="P4970" s="17"/>
      <c r="Q4970" s="22"/>
      <c r="R4970" s="23"/>
    </row>
    <row r="4971" spans="1:18" ht="12.75">
      <c r="A4971" s="22"/>
      <c r="D4971" s="19"/>
      <c r="H4971" s="18"/>
      <c r="J4971" s="18"/>
      <c r="N4971" s="16"/>
      <c r="O4971" s="17"/>
      <c r="P4971" s="17"/>
      <c r="Q4971" s="22"/>
      <c r="R4971" s="23"/>
    </row>
    <row r="4972" spans="1:18" ht="12.75">
      <c r="A4972" s="22"/>
      <c r="D4972" s="19"/>
      <c r="H4972" s="18"/>
      <c r="J4972" s="18"/>
      <c r="N4972" s="16"/>
      <c r="O4972" s="17"/>
      <c r="P4972" s="17"/>
      <c r="Q4972" s="22"/>
      <c r="R4972" s="23"/>
    </row>
    <row r="4973" spans="1:18" ht="12.75">
      <c r="A4973" s="22"/>
      <c r="D4973" s="19"/>
      <c r="H4973" s="18"/>
      <c r="J4973" s="18"/>
      <c r="N4973" s="16"/>
      <c r="O4973" s="17"/>
      <c r="P4973" s="17"/>
      <c r="Q4973" s="22"/>
      <c r="R4973" s="23"/>
    </row>
    <row r="4974" spans="1:18" ht="12.75">
      <c r="A4974" s="22"/>
      <c r="D4974" s="19"/>
      <c r="H4974" s="18"/>
      <c r="J4974" s="18"/>
      <c r="N4974" s="16"/>
      <c r="O4974" s="17"/>
      <c r="P4974" s="17"/>
      <c r="Q4974" s="22"/>
      <c r="R4974" s="23"/>
    </row>
    <row r="4975" spans="1:18" ht="12.75">
      <c r="A4975" s="22"/>
      <c r="D4975" s="19"/>
      <c r="H4975" s="18"/>
      <c r="J4975" s="18"/>
      <c r="N4975" s="16"/>
      <c r="O4975" s="17"/>
      <c r="P4975" s="17"/>
      <c r="Q4975" s="22"/>
      <c r="R4975" s="23"/>
    </row>
    <row r="4976" spans="1:18" ht="12.75">
      <c r="A4976" s="22"/>
      <c r="D4976" s="19"/>
      <c r="H4976" s="18"/>
      <c r="J4976" s="18"/>
      <c r="N4976" s="16"/>
      <c r="O4976" s="17"/>
      <c r="P4976" s="17"/>
      <c r="Q4976" s="22"/>
      <c r="R4976" s="23"/>
    </row>
    <row r="4977" spans="1:18" ht="12.75">
      <c r="A4977" s="22"/>
      <c r="D4977" s="19"/>
      <c r="H4977" s="18"/>
      <c r="J4977" s="18"/>
      <c r="N4977" s="16"/>
      <c r="O4977" s="17"/>
      <c r="P4977" s="17"/>
      <c r="Q4977" s="22"/>
      <c r="R4977" s="23"/>
    </row>
    <row r="4978" spans="1:18" ht="12.75">
      <c r="A4978" s="22"/>
      <c r="D4978" s="19"/>
      <c r="H4978" s="18"/>
      <c r="J4978" s="18"/>
      <c r="N4978" s="16"/>
      <c r="O4978" s="17"/>
      <c r="P4978" s="17"/>
      <c r="Q4978" s="22"/>
      <c r="R4978" s="23"/>
    </row>
    <row r="4979" spans="1:18" ht="12.75">
      <c r="A4979" s="22"/>
      <c r="D4979" s="19"/>
      <c r="H4979" s="18"/>
      <c r="J4979" s="18"/>
      <c r="N4979" s="16"/>
      <c r="O4979" s="17"/>
      <c r="P4979" s="17"/>
      <c r="Q4979" s="22"/>
      <c r="R4979" s="23"/>
    </row>
    <row r="4980" spans="1:18" ht="12.75">
      <c r="A4980" s="22"/>
      <c r="D4980" s="19"/>
      <c r="H4980" s="18"/>
      <c r="J4980" s="18"/>
      <c r="N4980" s="16"/>
      <c r="O4980" s="17"/>
      <c r="P4980" s="17"/>
      <c r="Q4980" s="22"/>
      <c r="R4980" s="23"/>
    </row>
    <row r="4981" spans="1:18" ht="12.75">
      <c r="A4981" s="22"/>
      <c r="D4981" s="19"/>
      <c r="H4981" s="18"/>
      <c r="J4981" s="18"/>
      <c r="N4981" s="16"/>
      <c r="O4981" s="17"/>
      <c r="P4981" s="17"/>
      <c r="Q4981" s="22"/>
      <c r="R4981" s="23"/>
    </row>
    <row r="4982" spans="1:18" ht="12.75">
      <c r="A4982" s="22"/>
      <c r="D4982" s="19"/>
      <c r="H4982" s="18"/>
      <c r="J4982" s="18"/>
      <c r="N4982" s="16"/>
      <c r="O4982" s="17"/>
      <c r="P4982" s="17"/>
      <c r="Q4982" s="22"/>
      <c r="R4982" s="23"/>
    </row>
    <row r="4983" spans="1:18" ht="12.75">
      <c r="A4983" s="22"/>
      <c r="D4983" s="19"/>
      <c r="H4983" s="18"/>
      <c r="J4983" s="18"/>
      <c r="N4983" s="16"/>
      <c r="O4983" s="17"/>
      <c r="P4983" s="17"/>
      <c r="Q4983" s="22"/>
      <c r="R4983" s="23"/>
    </row>
    <row r="4984" spans="1:18" ht="12.75">
      <c r="A4984" s="22"/>
      <c r="D4984" s="19"/>
      <c r="H4984" s="18"/>
      <c r="J4984" s="18"/>
      <c r="N4984" s="16"/>
      <c r="O4984" s="17"/>
      <c r="P4984" s="17"/>
      <c r="Q4984" s="22"/>
      <c r="R4984" s="23"/>
    </row>
    <row r="4985" spans="1:18" ht="12.75">
      <c r="A4985" s="22"/>
      <c r="D4985" s="19"/>
      <c r="H4985" s="18"/>
      <c r="J4985" s="18"/>
      <c r="N4985" s="16"/>
      <c r="O4985" s="17"/>
      <c r="P4985" s="17"/>
      <c r="Q4985" s="22"/>
      <c r="R4985" s="23"/>
    </row>
    <row r="4986" spans="1:18" ht="12.75">
      <c r="A4986" s="22"/>
      <c r="D4986" s="19"/>
      <c r="H4986" s="18"/>
      <c r="J4986" s="18"/>
      <c r="N4986" s="16"/>
      <c r="O4986" s="17"/>
      <c r="P4986" s="17"/>
      <c r="Q4986" s="22"/>
      <c r="R4986" s="23"/>
    </row>
    <row r="4987" spans="1:18" ht="12.75">
      <c r="A4987" s="22"/>
      <c r="D4987" s="19"/>
      <c r="H4987" s="18"/>
      <c r="J4987" s="18"/>
      <c r="N4987" s="16"/>
      <c r="O4987" s="17"/>
      <c r="P4987" s="17"/>
      <c r="Q4987" s="22"/>
      <c r="R4987" s="23"/>
    </row>
    <row r="4988" spans="1:18" ht="12.75">
      <c r="A4988" s="22"/>
      <c r="D4988" s="19"/>
      <c r="H4988" s="18"/>
      <c r="J4988" s="18"/>
      <c r="N4988" s="16"/>
      <c r="O4988" s="17"/>
      <c r="P4988" s="17"/>
      <c r="Q4988" s="22"/>
      <c r="R4988" s="23"/>
    </row>
    <row r="4989" spans="1:18" ht="12.75">
      <c r="A4989" s="22"/>
      <c r="D4989" s="19"/>
      <c r="H4989" s="18"/>
      <c r="J4989" s="18"/>
      <c r="N4989" s="16"/>
      <c r="O4989" s="17"/>
      <c r="P4989" s="17"/>
      <c r="Q4989" s="22"/>
      <c r="R4989" s="23"/>
    </row>
    <row r="4990" spans="1:18" ht="12.75">
      <c r="A4990" s="22"/>
      <c r="D4990" s="19"/>
      <c r="H4990" s="18"/>
      <c r="J4990" s="18"/>
      <c r="N4990" s="16"/>
      <c r="O4990" s="17"/>
      <c r="P4990" s="17"/>
      <c r="Q4990" s="22"/>
      <c r="R4990" s="23"/>
    </row>
    <row r="4991" spans="1:18" ht="12.75">
      <c r="A4991" s="22"/>
      <c r="D4991" s="19"/>
      <c r="H4991" s="18"/>
      <c r="J4991" s="18"/>
      <c r="N4991" s="16"/>
      <c r="O4991" s="17"/>
      <c r="P4991" s="17"/>
      <c r="Q4991" s="22"/>
      <c r="R4991" s="23"/>
    </row>
    <row r="4992" spans="1:18" ht="12.75">
      <c r="A4992" s="22"/>
      <c r="D4992" s="19"/>
      <c r="H4992" s="18"/>
      <c r="J4992" s="18"/>
      <c r="N4992" s="16"/>
      <c r="O4992" s="17"/>
      <c r="P4992" s="17"/>
      <c r="Q4992" s="22"/>
      <c r="R4992" s="23"/>
    </row>
    <row r="4993" spans="1:18" ht="12.75">
      <c r="A4993" s="22"/>
      <c r="D4993" s="19"/>
      <c r="H4993" s="18"/>
      <c r="J4993" s="18"/>
      <c r="N4993" s="16"/>
      <c r="O4993" s="17"/>
      <c r="P4993" s="17"/>
      <c r="Q4993" s="22"/>
      <c r="R4993" s="23"/>
    </row>
    <row r="4994" spans="1:18" ht="12.75">
      <c r="A4994" s="22"/>
      <c r="D4994" s="19"/>
      <c r="H4994" s="18"/>
      <c r="J4994" s="18"/>
      <c r="N4994" s="16"/>
      <c r="O4994" s="17"/>
      <c r="P4994" s="17"/>
      <c r="Q4994" s="22"/>
      <c r="R4994" s="23"/>
    </row>
    <row r="4995" spans="1:18" ht="12.75">
      <c r="A4995" s="22"/>
      <c r="D4995" s="19"/>
      <c r="H4995" s="18"/>
      <c r="J4995" s="18"/>
      <c r="N4995" s="16"/>
      <c r="O4995" s="17"/>
      <c r="P4995" s="17"/>
      <c r="Q4995" s="22"/>
      <c r="R4995" s="23"/>
    </row>
    <row r="4996" spans="1:18" ht="12.75">
      <c r="A4996" s="22"/>
      <c r="D4996" s="19"/>
      <c r="H4996" s="18"/>
      <c r="J4996" s="18"/>
      <c r="N4996" s="16"/>
      <c r="O4996" s="17"/>
      <c r="P4996" s="17"/>
      <c r="Q4996" s="22"/>
      <c r="R4996" s="23"/>
    </row>
    <row r="4997" spans="1:18" ht="12.75">
      <c r="A4997" s="22"/>
      <c r="D4997" s="19"/>
      <c r="H4997" s="18"/>
      <c r="J4997" s="18"/>
      <c r="N4997" s="16"/>
      <c r="O4997" s="17"/>
      <c r="P4997" s="17"/>
      <c r="Q4997" s="22"/>
      <c r="R4997" s="23"/>
    </row>
    <row r="4998" spans="1:18" ht="12.75">
      <c r="A4998" s="22"/>
      <c r="D4998" s="19"/>
      <c r="H4998" s="18"/>
      <c r="J4998" s="18"/>
      <c r="N4998" s="16"/>
      <c r="O4998" s="17"/>
      <c r="P4998" s="17"/>
      <c r="Q4998" s="22"/>
      <c r="R4998" s="23"/>
    </row>
    <row r="4999" spans="1:18" ht="12.75">
      <c r="A4999" s="22"/>
      <c r="D4999" s="19"/>
      <c r="H4999" s="18"/>
      <c r="J4999" s="18"/>
      <c r="N4999" s="16"/>
      <c r="O4999" s="17"/>
      <c r="P4999" s="17"/>
      <c r="Q4999" s="22"/>
      <c r="R4999" s="23"/>
    </row>
    <row r="5000" spans="1:18" ht="12.75">
      <c r="A5000" s="22"/>
      <c r="D5000" s="19"/>
      <c r="H5000" s="18"/>
      <c r="J5000" s="18"/>
      <c r="N5000" s="16"/>
      <c r="O5000" s="17"/>
      <c r="P5000" s="17"/>
      <c r="Q5000" s="22"/>
      <c r="R5000" s="23"/>
    </row>
    <row r="5001" spans="1:18" ht="12.75">
      <c r="A5001" s="22"/>
      <c r="D5001" s="19"/>
      <c r="H5001" s="18"/>
      <c r="J5001" s="18"/>
      <c r="N5001" s="16"/>
      <c r="O5001" s="17"/>
      <c r="P5001" s="17"/>
      <c r="Q5001" s="22"/>
      <c r="R5001" s="23"/>
    </row>
    <row r="5002" spans="1:18" ht="12.75">
      <c r="A5002" s="22"/>
      <c r="D5002" s="19"/>
      <c r="H5002" s="18"/>
      <c r="J5002" s="18"/>
      <c r="N5002" s="16"/>
      <c r="O5002" s="17"/>
      <c r="P5002" s="17"/>
      <c r="Q5002" s="22"/>
      <c r="R5002" s="23"/>
    </row>
    <row r="5003" spans="1:18" ht="12.75">
      <c r="A5003" s="22"/>
      <c r="D5003" s="19"/>
      <c r="H5003" s="18"/>
      <c r="J5003" s="18"/>
      <c r="N5003" s="16"/>
      <c r="O5003" s="17"/>
      <c r="P5003" s="17"/>
      <c r="Q5003" s="22"/>
      <c r="R5003" s="23"/>
    </row>
    <row r="5004" spans="1:18" ht="12.75">
      <c r="A5004" s="22"/>
      <c r="D5004" s="19"/>
      <c r="H5004" s="18"/>
      <c r="J5004" s="18"/>
      <c r="N5004" s="16"/>
      <c r="O5004" s="17"/>
      <c r="P5004" s="17"/>
      <c r="Q5004" s="22"/>
      <c r="R5004" s="23"/>
    </row>
    <row r="5005" spans="1:18" ht="12.75">
      <c r="A5005" s="22"/>
      <c r="D5005" s="19"/>
      <c r="H5005" s="18"/>
      <c r="J5005" s="18"/>
      <c r="N5005" s="16"/>
      <c r="O5005" s="17"/>
      <c r="P5005" s="17"/>
      <c r="Q5005" s="22"/>
      <c r="R5005" s="23"/>
    </row>
    <row r="5006" spans="1:18" ht="12.75">
      <c r="A5006" s="22"/>
      <c r="D5006" s="19"/>
      <c r="H5006" s="18"/>
      <c r="J5006" s="18"/>
      <c r="N5006" s="16"/>
      <c r="O5006" s="17"/>
      <c r="P5006" s="17"/>
      <c r="Q5006" s="22"/>
      <c r="R5006" s="23"/>
    </row>
    <row r="5007" spans="1:18" ht="12.75">
      <c r="A5007" s="22"/>
      <c r="D5007" s="19"/>
      <c r="H5007" s="18"/>
      <c r="J5007" s="18"/>
      <c r="N5007" s="16"/>
      <c r="O5007" s="17"/>
      <c r="P5007" s="17"/>
      <c r="Q5007" s="22"/>
      <c r="R5007" s="23"/>
    </row>
    <row r="5008" spans="1:18" ht="12.75">
      <c r="A5008" s="22"/>
      <c r="D5008" s="19"/>
      <c r="H5008" s="18"/>
      <c r="J5008" s="18"/>
      <c r="N5008" s="16"/>
      <c r="O5008" s="17"/>
      <c r="P5008" s="17"/>
      <c r="Q5008" s="22"/>
      <c r="R5008" s="23"/>
    </row>
    <row r="5009" spans="1:18" ht="12.75">
      <c r="A5009" s="22"/>
      <c r="D5009" s="19"/>
      <c r="H5009" s="18"/>
      <c r="J5009" s="18"/>
      <c r="N5009" s="16"/>
      <c r="O5009" s="17"/>
      <c r="P5009" s="17"/>
      <c r="Q5009" s="22"/>
      <c r="R5009" s="23"/>
    </row>
    <row r="5010" spans="1:18" ht="12.75">
      <c r="A5010" s="22"/>
      <c r="D5010" s="19"/>
      <c r="H5010" s="18"/>
      <c r="J5010" s="18"/>
      <c r="N5010" s="16"/>
      <c r="O5010" s="17"/>
      <c r="P5010" s="17"/>
      <c r="Q5010" s="22"/>
      <c r="R5010" s="23"/>
    </row>
    <row r="5011" spans="1:18" ht="12.75">
      <c r="A5011" s="22"/>
      <c r="D5011" s="19"/>
      <c r="H5011" s="18"/>
      <c r="J5011" s="18"/>
      <c r="N5011" s="16"/>
      <c r="O5011" s="17"/>
      <c r="P5011" s="17"/>
      <c r="Q5011" s="22"/>
      <c r="R5011" s="23"/>
    </row>
    <row r="5012" spans="1:18" ht="12.75">
      <c r="A5012" s="22"/>
      <c r="D5012" s="19"/>
      <c r="H5012" s="18"/>
      <c r="J5012" s="18"/>
      <c r="N5012" s="16"/>
      <c r="O5012" s="17"/>
      <c r="P5012" s="17"/>
      <c r="Q5012" s="22"/>
      <c r="R5012" s="23"/>
    </row>
    <row r="5013" spans="1:18" ht="12.75">
      <c r="A5013" s="22"/>
      <c r="D5013" s="19"/>
      <c r="H5013" s="18"/>
      <c r="J5013" s="18"/>
      <c r="N5013" s="16"/>
      <c r="O5013" s="17"/>
      <c r="P5013" s="17"/>
      <c r="Q5013" s="22"/>
      <c r="R5013" s="23"/>
    </row>
    <row r="5014" spans="1:18" ht="12.75">
      <c r="A5014" s="22"/>
      <c r="D5014" s="19"/>
      <c r="H5014" s="18"/>
      <c r="J5014" s="18"/>
      <c r="N5014" s="16"/>
      <c r="O5014" s="17"/>
      <c r="P5014" s="17"/>
      <c r="Q5014" s="22"/>
      <c r="R5014" s="23"/>
    </row>
    <row r="5015" spans="1:18" ht="12.75">
      <c r="A5015" s="22"/>
      <c r="D5015" s="19"/>
      <c r="H5015" s="18"/>
      <c r="J5015" s="18"/>
      <c r="N5015" s="16"/>
      <c r="O5015" s="17"/>
      <c r="P5015" s="17"/>
      <c r="Q5015" s="22"/>
      <c r="R5015" s="23"/>
    </row>
    <row r="5016" spans="1:18" ht="12.75">
      <c r="A5016" s="22"/>
      <c r="D5016" s="19"/>
      <c r="H5016" s="18"/>
      <c r="J5016" s="18"/>
      <c r="N5016" s="16"/>
      <c r="O5016" s="17"/>
      <c r="P5016" s="17"/>
      <c r="Q5016" s="22"/>
      <c r="R5016" s="23"/>
    </row>
    <row r="5017" spans="1:18" ht="12.75">
      <c r="A5017" s="22"/>
      <c r="D5017" s="19"/>
      <c r="H5017" s="18"/>
      <c r="J5017" s="18"/>
      <c r="N5017" s="16"/>
      <c r="O5017" s="17"/>
      <c r="P5017" s="17"/>
      <c r="Q5017" s="22"/>
      <c r="R5017" s="23"/>
    </row>
    <row r="5018" spans="1:18" ht="12.75">
      <c r="A5018" s="22"/>
      <c r="D5018" s="19"/>
      <c r="H5018" s="18"/>
      <c r="J5018" s="18"/>
      <c r="N5018" s="16"/>
      <c r="O5018" s="17"/>
      <c r="P5018" s="17"/>
      <c r="Q5018" s="22"/>
      <c r="R5018" s="23"/>
    </row>
    <row r="5019" spans="1:18" ht="12.75">
      <c r="A5019" s="22"/>
      <c r="D5019" s="19"/>
      <c r="H5019" s="18"/>
      <c r="J5019" s="18"/>
      <c r="N5019" s="16"/>
      <c r="O5019" s="17"/>
      <c r="P5019" s="17"/>
      <c r="Q5019" s="22"/>
      <c r="R5019" s="23"/>
    </row>
    <row r="5020" spans="1:18" ht="12.75">
      <c r="A5020" s="22"/>
      <c r="D5020" s="19"/>
      <c r="H5020" s="18"/>
      <c r="J5020" s="18"/>
      <c r="N5020" s="16"/>
      <c r="O5020" s="17"/>
      <c r="P5020" s="17"/>
      <c r="Q5020" s="22"/>
      <c r="R5020" s="23"/>
    </row>
    <row r="5021" spans="1:18" ht="12.75">
      <c r="A5021" s="22"/>
      <c r="D5021" s="19"/>
      <c r="H5021" s="18"/>
      <c r="J5021" s="18"/>
      <c r="N5021" s="16"/>
      <c r="O5021" s="17"/>
      <c r="P5021" s="17"/>
      <c r="Q5021" s="22"/>
      <c r="R5021" s="23"/>
    </row>
    <row r="5022" spans="1:18" ht="12.75">
      <c r="A5022" s="22"/>
      <c r="D5022" s="19"/>
      <c r="H5022" s="18"/>
      <c r="J5022" s="18"/>
      <c r="N5022" s="16"/>
      <c r="O5022" s="17"/>
      <c r="P5022" s="17"/>
      <c r="Q5022" s="22"/>
      <c r="R5022" s="23"/>
    </row>
    <row r="5023" spans="1:18" ht="12.75">
      <c r="A5023" s="22"/>
      <c r="D5023" s="19"/>
      <c r="H5023" s="18"/>
      <c r="J5023" s="18"/>
      <c r="N5023" s="16"/>
      <c r="O5023" s="17"/>
      <c r="P5023" s="17"/>
      <c r="Q5023" s="22"/>
      <c r="R5023" s="23"/>
    </row>
    <row r="5024" spans="1:18" ht="12.75">
      <c r="A5024" s="22"/>
      <c r="D5024" s="19"/>
      <c r="H5024" s="18"/>
      <c r="J5024" s="18"/>
      <c r="N5024" s="16"/>
      <c r="O5024" s="17"/>
      <c r="P5024" s="17"/>
      <c r="Q5024" s="22"/>
      <c r="R5024" s="23"/>
    </row>
    <row r="5025" spans="1:18" ht="12.75">
      <c r="A5025" s="22"/>
      <c r="D5025" s="19"/>
      <c r="H5025" s="18"/>
      <c r="J5025" s="18"/>
      <c r="N5025" s="16"/>
      <c r="O5025" s="17"/>
      <c r="P5025" s="17"/>
      <c r="Q5025" s="22"/>
      <c r="R5025" s="23"/>
    </row>
    <row r="5026" spans="1:18" ht="12.75">
      <c r="A5026" s="22"/>
      <c r="D5026" s="19"/>
      <c r="H5026" s="18"/>
      <c r="J5026" s="18"/>
      <c r="N5026" s="16"/>
      <c r="O5026" s="17"/>
      <c r="P5026" s="17"/>
      <c r="Q5026" s="22"/>
      <c r="R5026" s="23"/>
    </row>
    <row r="5027" spans="1:18" ht="12.75">
      <c r="A5027" s="22"/>
      <c r="D5027" s="19"/>
      <c r="H5027" s="18"/>
      <c r="J5027" s="18"/>
      <c r="N5027" s="16"/>
      <c r="O5027" s="17"/>
      <c r="P5027" s="17"/>
      <c r="Q5027" s="22"/>
      <c r="R5027" s="23"/>
    </row>
    <row r="5028" spans="1:18" ht="12.75">
      <c r="A5028" s="22"/>
      <c r="D5028" s="19"/>
      <c r="H5028" s="18"/>
      <c r="J5028" s="18"/>
      <c r="N5028" s="16"/>
      <c r="O5028" s="17"/>
      <c r="P5028" s="17"/>
      <c r="Q5028" s="22"/>
      <c r="R5028" s="23"/>
    </row>
    <row r="5029" spans="1:18" ht="12.75">
      <c r="A5029" s="22"/>
      <c r="D5029" s="19"/>
      <c r="H5029" s="18"/>
      <c r="J5029" s="18"/>
      <c r="N5029" s="16"/>
      <c r="O5029" s="17"/>
      <c r="P5029" s="17"/>
      <c r="Q5029" s="22"/>
      <c r="R5029" s="23"/>
    </row>
    <row r="5030" spans="1:18" ht="12.75">
      <c r="A5030" s="22"/>
      <c r="D5030" s="19"/>
      <c r="H5030" s="18"/>
      <c r="J5030" s="18"/>
      <c r="N5030" s="16"/>
      <c r="O5030" s="17"/>
      <c r="P5030" s="17"/>
      <c r="Q5030" s="22"/>
      <c r="R5030" s="23"/>
    </row>
    <row r="5031" spans="1:18" ht="12.75">
      <c r="A5031" s="22"/>
      <c r="D5031" s="19"/>
      <c r="H5031" s="18"/>
      <c r="J5031" s="18"/>
      <c r="N5031" s="16"/>
      <c r="O5031" s="17"/>
      <c r="P5031" s="17"/>
      <c r="Q5031" s="22"/>
      <c r="R5031" s="23"/>
    </row>
    <row r="5032" spans="1:18" ht="12.75">
      <c r="A5032" s="22"/>
      <c r="D5032" s="19"/>
      <c r="H5032" s="18"/>
      <c r="J5032" s="18"/>
      <c r="N5032" s="16"/>
      <c r="O5032" s="17"/>
      <c r="P5032" s="17"/>
      <c r="Q5032" s="22"/>
      <c r="R5032" s="23"/>
    </row>
    <row r="5033" spans="1:18" ht="12.75">
      <c r="A5033" s="22"/>
      <c r="D5033" s="19"/>
      <c r="H5033" s="18"/>
      <c r="J5033" s="18"/>
      <c r="N5033" s="16"/>
      <c r="O5033" s="17"/>
      <c r="P5033" s="17"/>
      <c r="Q5033" s="22"/>
      <c r="R5033" s="23"/>
    </row>
    <row r="5034" spans="1:18" ht="12.75">
      <c r="A5034" s="22"/>
      <c r="D5034" s="19"/>
      <c r="H5034" s="18"/>
      <c r="J5034" s="18"/>
      <c r="N5034" s="16"/>
      <c r="O5034" s="17"/>
      <c r="P5034" s="17"/>
      <c r="Q5034" s="22"/>
      <c r="R5034" s="23"/>
    </row>
    <row r="5035" spans="1:18" ht="12.75">
      <c r="A5035" s="22"/>
      <c r="D5035" s="19"/>
      <c r="H5035" s="18"/>
      <c r="J5035" s="18"/>
      <c r="N5035" s="16"/>
      <c r="O5035" s="17"/>
      <c r="P5035" s="17"/>
      <c r="Q5035" s="22"/>
      <c r="R5035" s="23"/>
    </row>
    <row r="5036" spans="1:18" ht="12.75">
      <c r="A5036" s="22"/>
      <c r="D5036" s="19"/>
      <c r="H5036" s="18"/>
      <c r="J5036" s="18"/>
      <c r="N5036" s="16"/>
      <c r="O5036" s="17"/>
      <c r="P5036" s="17"/>
      <c r="Q5036" s="22"/>
      <c r="R5036" s="23"/>
    </row>
    <row r="5037" spans="1:18" ht="12.75">
      <c r="A5037" s="22"/>
      <c r="D5037" s="19"/>
      <c r="H5037" s="18"/>
      <c r="J5037" s="18"/>
      <c r="N5037" s="16"/>
      <c r="O5037" s="17"/>
      <c r="P5037" s="17"/>
      <c r="Q5037" s="22"/>
      <c r="R5037" s="23"/>
    </row>
    <row r="5038" spans="1:18" ht="12.75">
      <c r="A5038" s="22"/>
      <c r="D5038" s="19"/>
      <c r="H5038" s="18"/>
      <c r="J5038" s="18"/>
      <c r="N5038" s="16"/>
      <c r="O5038" s="17"/>
      <c r="P5038" s="17"/>
      <c r="Q5038" s="22"/>
      <c r="R5038" s="23"/>
    </row>
    <row r="5039" spans="1:18" ht="12.75">
      <c r="A5039" s="22"/>
      <c r="D5039" s="19"/>
      <c r="H5039" s="18"/>
      <c r="J5039" s="18"/>
      <c r="N5039" s="16"/>
      <c r="O5039" s="17"/>
      <c r="P5039" s="17"/>
      <c r="Q5039" s="22"/>
      <c r="R5039" s="23"/>
    </row>
    <row r="5040" spans="1:18" ht="12.75">
      <c r="A5040" s="22"/>
      <c r="D5040" s="19"/>
      <c r="H5040" s="18"/>
      <c r="J5040" s="18"/>
      <c r="N5040" s="16"/>
      <c r="O5040" s="17"/>
      <c r="P5040" s="17"/>
      <c r="Q5040" s="22"/>
      <c r="R5040" s="23"/>
    </row>
    <row r="5041" spans="1:18" ht="12.75">
      <c r="A5041" s="22"/>
      <c r="D5041" s="19"/>
      <c r="H5041" s="18"/>
      <c r="J5041" s="18"/>
      <c r="N5041" s="16"/>
      <c r="O5041" s="17"/>
      <c r="P5041" s="17"/>
      <c r="Q5041" s="22"/>
      <c r="R5041" s="23"/>
    </row>
    <row r="5042" spans="1:18" ht="12.75">
      <c r="A5042" s="22"/>
      <c r="D5042" s="19"/>
      <c r="H5042" s="18"/>
      <c r="J5042" s="18"/>
      <c r="N5042" s="16"/>
      <c r="O5042" s="17"/>
      <c r="P5042" s="17"/>
      <c r="Q5042" s="22"/>
      <c r="R5042" s="23"/>
    </row>
    <row r="5043" spans="1:18" ht="12.75">
      <c r="A5043" s="22"/>
      <c r="D5043" s="19"/>
      <c r="H5043" s="18"/>
      <c r="J5043" s="18"/>
      <c r="N5043" s="16"/>
      <c r="O5043" s="17"/>
      <c r="P5043" s="17"/>
      <c r="Q5043" s="22"/>
      <c r="R5043" s="23"/>
    </row>
    <row r="5044" spans="1:18" ht="12.75">
      <c r="A5044" s="22"/>
      <c r="D5044" s="19"/>
      <c r="H5044" s="18"/>
      <c r="J5044" s="18"/>
      <c r="N5044" s="16"/>
      <c r="O5044" s="17"/>
      <c r="P5044" s="17"/>
      <c r="Q5044" s="22"/>
      <c r="R5044" s="23"/>
    </row>
    <row r="5045" spans="1:18" ht="12.75">
      <c r="A5045" s="22"/>
      <c r="D5045" s="19"/>
      <c r="H5045" s="18"/>
      <c r="J5045" s="18"/>
      <c r="N5045" s="16"/>
      <c r="O5045" s="17"/>
      <c r="P5045" s="17"/>
      <c r="Q5045" s="22"/>
      <c r="R5045" s="23"/>
    </row>
    <row r="5046" spans="1:18" ht="12.75">
      <c r="A5046" s="22"/>
      <c r="D5046" s="19"/>
      <c r="H5046" s="18"/>
      <c r="J5046" s="18"/>
      <c r="N5046" s="16"/>
      <c r="O5046" s="17"/>
      <c r="P5046" s="17"/>
      <c r="Q5046" s="22"/>
      <c r="R5046" s="23"/>
    </row>
    <row r="5047" spans="1:18" ht="12.75">
      <c r="A5047" s="22"/>
      <c r="D5047" s="19"/>
      <c r="H5047" s="18"/>
      <c r="J5047" s="18"/>
      <c r="N5047" s="16"/>
      <c r="O5047" s="17"/>
      <c r="P5047" s="17"/>
      <c r="Q5047" s="22"/>
      <c r="R5047" s="23"/>
    </row>
    <row r="5048" spans="1:18" ht="12.75">
      <c r="A5048" s="22"/>
      <c r="D5048" s="19"/>
      <c r="H5048" s="18"/>
      <c r="J5048" s="18"/>
      <c r="N5048" s="16"/>
      <c r="O5048" s="17"/>
      <c r="P5048" s="17"/>
      <c r="Q5048" s="22"/>
      <c r="R5048" s="23"/>
    </row>
    <row r="5049" spans="1:18" ht="12.75">
      <c r="A5049" s="22"/>
      <c r="D5049" s="19"/>
      <c r="H5049" s="18"/>
      <c r="J5049" s="18"/>
      <c r="N5049" s="16"/>
      <c r="O5049" s="17"/>
      <c r="P5049" s="17"/>
      <c r="Q5049" s="22"/>
      <c r="R5049" s="23"/>
    </row>
    <row r="5050" spans="1:18" ht="12.75">
      <c r="A5050" s="22"/>
      <c r="D5050" s="19"/>
      <c r="H5050" s="18"/>
      <c r="J5050" s="18"/>
      <c r="N5050" s="16"/>
      <c r="O5050" s="17"/>
      <c r="P5050" s="17"/>
      <c r="Q5050" s="22"/>
      <c r="R5050" s="23"/>
    </row>
    <row r="5051" spans="1:18" ht="12.75">
      <c r="A5051" s="22"/>
      <c r="D5051" s="19"/>
      <c r="H5051" s="18"/>
      <c r="J5051" s="18"/>
      <c r="N5051" s="16"/>
      <c r="O5051" s="17"/>
      <c r="P5051" s="17"/>
      <c r="Q5051" s="22"/>
      <c r="R5051" s="23"/>
    </row>
    <row r="5052" spans="1:18" ht="12.75">
      <c r="A5052" s="22"/>
      <c r="D5052" s="19"/>
      <c r="H5052" s="18"/>
      <c r="J5052" s="18"/>
      <c r="N5052" s="16"/>
      <c r="O5052" s="17"/>
      <c r="P5052" s="17"/>
      <c r="Q5052" s="22"/>
      <c r="R5052" s="23"/>
    </row>
    <row r="5053" spans="1:18" ht="12.75">
      <c r="A5053" s="22"/>
      <c r="D5053" s="19"/>
      <c r="H5053" s="18"/>
      <c r="J5053" s="18"/>
      <c r="N5053" s="16"/>
      <c r="O5053" s="17"/>
      <c r="P5053" s="17"/>
      <c r="Q5053" s="22"/>
      <c r="R5053" s="23"/>
    </row>
    <row r="5054" spans="1:18" ht="12.75">
      <c r="A5054" s="22"/>
      <c r="D5054" s="19"/>
      <c r="H5054" s="18"/>
      <c r="J5054" s="18"/>
      <c r="N5054" s="16"/>
      <c r="O5054" s="17"/>
      <c r="P5054" s="17"/>
      <c r="Q5054" s="22"/>
      <c r="R5054" s="23"/>
    </row>
    <row r="5055" spans="1:18" ht="12.75">
      <c r="A5055" s="22"/>
      <c r="D5055" s="19"/>
      <c r="H5055" s="18"/>
      <c r="J5055" s="18"/>
      <c r="N5055" s="16"/>
      <c r="O5055" s="17"/>
      <c r="P5055" s="17"/>
      <c r="Q5055" s="22"/>
      <c r="R5055" s="23"/>
    </row>
    <row r="5056" spans="1:18" ht="12.75">
      <c r="A5056" s="22"/>
      <c r="D5056" s="19"/>
      <c r="H5056" s="18"/>
      <c r="J5056" s="18"/>
      <c r="N5056" s="16"/>
      <c r="O5056" s="17"/>
      <c r="P5056" s="17"/>
      <c r="Q5056" s="22"/>
      <c r="R5056" s="23"/>
    </row>
    <row r="5057" spans="1:18" ht="12.75">
      <c r="A5057" s="22"/>
      <c r="D5057" s="19"/>
      <c r="H5057" s="18"/>
      <c r="J5057" s="18"/>
      <c r="N5057" s="16"/>
      <c r="O5057" s="17"/>
      <c r="P5057" s="17"/>
      <c r="Q5057" s="22"/>
      <c r="R5057" s="23"/>
    </row>
    <row r="5058" spans="1:18" ht="12.75">
      <c r="A5058" s="22"/>
      <c r="D5058" s="19"/>
      <c r="H5058" s="18"/>
      <c r="J5058" s="18"/>
      <c r="N5058" s="16"/>
      <c r="O5058" s="17"/>
      <c r="P5058" s="17"/>
      <c r="Q5058" s="22"/>
      <c r="R5058" s="23"/>
    </row>
    <row r="5059" spans="1:18" ht="12.75">
      <c r="A5059" s="22"/>
      <c r="D5059" s="19"/>
      <c r="H5059" s="18"/>
      <c r="J5059" s="18"/>
      <c r="N5059" s="16"/>
      <c r="O5059" s="17"/>
      <c r="P5059" s="17"/>
      <c r="Q5059" s="22"/>
      <c r="R5059" s="23"/>
    </row>
    <row r="5060" spans="1:18" ht="12.75">
      <c r="A5060" s="22"/>
      <c r="D5060" s="19"/>
      <c r="H5060" s="18"/>
      <c r="J5060" s="18"/>
      <c r="N5060" s="16"/>
      <c r="O5060" s="17"/>
      <c r="P5060" s="17"/>
      <c r="Q5060" s="22"/>
      <c r="R5060" s="23"/>
    </row>
    <row r="5061" spans="1:18" ht="12.75">
      <c r="A5061" s="22"/>
      <c r="D5061" s="19"/>
      <c r="H5061" s="18"/>
      <c r="J5061" s="18"/>
      <c r="N5061" s="16"/>
      <c r="O5061" s="17"/>
      <c r="P5061" s="17"/>
      <c r="Q5061" s="22"/>
      <c r="R5061" s="23"/>
    </row>
    <row r="5062" spans="1:18" ht="12.75">
      <c r="A5062" s="22"/>
      <c r="D5062" s="19"/>
      <c r="H5062" s="18"/>
      <c r="J5062" s="18"/>
      <c r="N5062" s="16"/>
      <c r="O5062" s="17"/>
      <c r="P5062" s="17"/>
      <c r="Q5062" s="22"/>
      <c r="R5062" s="23"/>
    </row>
    <row r="5063" spans="1:18" ht="12.75">
      <c r="A5063" s="22"/>
      <c r="D5063" s="19"/>
      <c r="H5063" s="18"/>
      <c r="J5063" s="18"/>
      <c r="N5063" s="16"/>
      <c r="O5063" s="17"/>
      <c r="P5063" s="17"/>
      <c r="Q5063" s="22"/>
      <c r="R5063" s="23"/>
    </row>
    <row r="5064" spans="1:18" ht="12.75">
      <c r="A5064" s="22"/>
      <c r="D5064" s="19"/>
      <c r="H5064" s="18"/>
      <c r="J5064" s="18"/>
      <c r="N5064" s="16"/>
      <c r="O5064" s="17"/>
      <c r="P5064" s="17"/>
      <c r="Q5064" s="22"/>
      <c r="R5064" s="23"/>
    </row>
    <row r="5065" spans="1:18" ht="12.75">
      <c r="A5065" s="22"/>
      <c r="D5065" s="19"/>
      <c r="H5065" s="18"/>
      <c r="J5065" s="18"/>
      <c r="N5065" s="16"/>
      <c r="O5065" s="17"/>
      <c r="P5065" s="17"/>
      <c r="Q5065" s="22"/>
      <c r="R5065" s="23"/>
    </row>
    <row r="5066" spans="1:18" ht="12.75">
      <c r="A5066" s="22"/>
      <c r="D5066" s="19"/>
      <c r="H5066" s="18"/>
      <c r="J5066" s="18"/>
      <c r="N5066" s="16"/>
      <c r="O5066" s="17"/>
      <c r="P5066" s="17"/>
      <c r="Q5066" s="22"/>
      <c r="R5066" s="23"/>
    </row>
    <row r="5067" spans="1:18" ht="12.75">
      <c r="A5067" s="22"/>
      <c r="D5067" s="19"/>
      <c r="H5067" s="18"/>
      <c r="J5067" s="18"/>
      <c r="N5067" s="16"/>
      <c r="O5067" s="17"/>
      <c r="P5067" s="17"/>
      <c r="Q5067" s="22"/>
      <c r="R5067" s="23"/>
    </row>
    <row r="5068" spans="1:18" ht="12.75">
      <c r="A5068" s="22"/>
      <c r="D5068" s="19"/>
      <c r="H5068" s="18"/>
      <c r="J5068" s="18"/>
      <c r="N5068" s="16"/>
      <c r="O5068" s="17"/>
      <c r="P5068" s="17"/>
      <c r="Q5068" s="22"/>
      <c r="R5068" s="23"/>
    </row>
    <row r="5069" spans="1:18" ht="12.75">
      <c r="A5069" s="22"/>
      <c r="D5069" s="19"/>
      <c r="H5069" s="18"/>
      <c r="J5069" s="18"/>
      <c r="N5069" s="16"/>
      <c r="O5069" s="17"/>
      <c r="P5069" s="17"/>
      <c r="Q5069" s="22"/>
      <c r="R5069" s="23"/>
    </row>
    <row r="5070" spans="1:18" ht="12.75">
      <c r="A5070" s="22"/>
      <c r="D5070" s="19"/>
      <c r="H5070" s="18"/>
      <c r="J5070" s="18"/>
      <c r="N5070" s="16"/>
      <c r="O5070" s="17"/>
      <c r="P5070" s="17"/>
      <c r="Q5070" s="22"/>
      <c r="R5070" s="23"/>
    </row>
    <row r="5071" spans="1:18" ht="12.75">
      <c r="A5071" s="22"/>
      <c r="D5071" s="19"/>
      <c r="H5071" s="18"/>
      <c r="J5071" s="18"/>
      <c r="N5071" s="16"/>
      <c r="O5071" s="17"/>
      <c r="P5071" s="17"/>
      <c r="Q5071" s="22"/>
      <c r="R5071" s="23"/>
    </row>
    <row r="5072" spans="1:18" ht="12.75">
      <c r="A5072" s="22"/>
      <c r="D5072" s="19"/>
      <c r="H5072" s="18"/>
      <c r="J5072" s="18"/>
      <c r="N5072" s="16"/>
      <c r="O5072" s="17"/>
      <c r="P5072" s="17"/>
      <c r="Q5072" s="22"/>
      <c r="R5072" s="23"/>
    </row>
    <row r="5073" spans="1:18" ht="12.75">
      <c r="A5073" s="22"/>
      <c r="D5073" s="19"/>
      <c r="H5073" s="18"/>
      <c r="J5073" s="18"/>
      <c r="N5073" s="16"/>
      <c r="O5073" s="17"/>
      <c r="P5073" s="17"/>
      <c r="Q5073" s="22"/>
      <c r="R5073" s="23"/>
    </row>
    <row r="5074" spans="1:18" ht="12.75">
      <c r="A5074" s="22"/>
      <c r="D5074" s="19"/>
      <c r="H5074" s="18"/>
      <c r="J5074" s="18"/>
      <c r="N5074" s="16"/>
      <c r="O5074" s="17"/>
      <c r="P5074" s="17"/>
      <c r="Q5074" s="22"/>
      <c r="R5074" s="23"/>
    </row>
    <row r="5075" spans="1:18" ht="12.75">
      <c r="A5075" s="22"/>
      <c r="D5075" s="19"/>
      <c r="H5075" s="18"/>
      <c r="J5075" s="18"/>
      <c r="N5075" s="16"/>
      <c r="O5075" s="17"/>
      <c r="P5075" s="17"/>
      <c r="Q5075" s="22"/>
      <c r="R5075" s="23"/>
    </row>
    <row r="5076" spans="1:18" ht="12.75">
      <c r="A5076" s="22"/>
      <c r="D5076" s="19"/>
      <c r="H5076" s="18"/>
      <c r="J5076" s="18"/>
      <c r="N5076" s="16"/>
      <c r="O5076" s="17"/>
      <c r="P5076" s="17"/>
      <c r="Q5076" s="22"/>
      <c r="R5076" s="23"/>
    </row>
    <row r="5077" spans="1:18" ht="12.75">
      <c r="A5077" s="22"/>
      <c r="D5077" s="19"/>
      <c r="H5077" s="18"/>
      <c r="J5077" s="18"/>
      <c r="N5077" s="16"/>
      <c r="O5077" s="17"/>
      <c r="P5077" s="17"/>
      <c r="Q5077" s="22"/>
      <c r="R5077" s="23"/>
    </row>
    <row r="5078" spans="1:18" ht="12.75">
      <c r="A5078" s="22"/>
      <c r="D5078" s="19"/>
      <c r="H5078" s="18"/>
      <c r="J5078" s="18"/>
      <c r="N5078" s="16"/>
      <c r="O5078" s="17"/>
      <c r="P5078" s="17"/>
      <c r="Q5078" s="22"/>
      <c r="R5078" s="23"/>
    </row>
    <row r="5079" spans="1:18" ht="12.75">
      <c r="A5079" s="22"/>
      <c r="D5079" s="19"/>
      <c r="H5079" s="18"/>
      <c r="J5079" s="18"/>
      <c r="N5079" s="16"/>
      <c r="O5079" s="17"/>
      <c r="P5079" s="17"/>
      <c r="Q5079" s="22"/>
      <c r="R5079" s="23"/>
    </row>
    <row r="5080" spans="1:18" ht="12.75">
      <c r="A5080" s="22"/>
      <c r="D5080" s="19"/>
      <c r="H5080" s="18"/>
      <c r="J5080" s="18"/>
      <c r="N5080" s="16"/>
      <c r="O5080" s="17"/>
      <c r="P5080" s="17"/>
      <c r="Q5080" s="22"/>
      <c r="R5080" s="23"/>
    </row>
    <row r="5081" spans="1:18" ht="12.75">
      <c r="A5081" s="22"/>
      <c r="D5081" s="19"/>
      <c r="H5081" s="18"/>
      <c r="J5081" s="18"/>
      <c r="N5081" s="16"/>
      <c r="O5081" s="17"/>
      <c r="P5081" s="17"/>
      <c r="Q5081" s="22"/>
      <c r="R5081" s="23"/>
    </row>
    <row r="5082" spans="1:18" ht="12.75">
      <c r="A5082" s="22"/>
      <c r="D5082" s="19"/>
      <c r="H5082" s="18"/>
      <c r="J5082" s="18"/>
      <c r="N5082" s="16"/>
      <c r="O5082" s="17"/>
      <c r="P5082" s="17"/>
      <c r="Q5082" s="22"/>
      <c r="R5082" s="23"/>
    </row>
    <row r="5083" spans="1:18" ht="12.75">
      <c r="A5083" s="22"/>
      <c r="D5083" s="19"/>
      <c r="H5083" s="18"/>
      <c r="J5083" s="18"/>
      <c r="N5083" s="16"/>
      <c r="O5083" s="17"/>
      <c r="P5083" s="17"/>
      <c r="Q5083" s="22"/>
      <c r="R5083" s="23"/>
    </row>
    <row r="5084" spans="1:18" ht="12.75">
      <c r="A5084" s="22"/>
      <c r="D5084" s="19"/>
      <c r="H5084" s="18"/>
      <c r="J5084" s="18"/>
      <c r="N5084" s="16"/>
      <c r="O5084" s="17"/>
      <c r="P5084" s="17"/>
      <c r="Q5084" s="22"/>
      <c r="R5084" s="23"/>
    </row>
    <row r="5085" spans="1:18" ht="12.75">
      <c r="A5085" s="22"/>
      <c r="D5085" s="19"/>
      <c r="H5085" s="18"/>
      <c r="J5085" s="18"/>
      <c r="N5085" s="16"/>
      <c r="O5085" s="17"/>
      <c r="P5085" s="17"/>
      <c r="Q5085" s="22"/>
      <c r="R5085" s="23"/>
    </row>
    <row r="5086" spans="1:18" ht="12.75">
      <c r="A5086" s="22"/>
      <c r="D5086" s="19"/>
      <c r="H5086" s="18"/>
      <c r="J5086" s="18"/>
      <c r="N5086" s="16"/>
      <c r="O5086" s="17"/>
      <c r="P5086" s="17"/>
      <c r="Q5086" s="22"/>
      <c r="R5086" s="23"/>
    </row>
    <row r="5087" spans="1:18" ht="12.75">
      <c r="A5087" s="22"/>
      <c r="D5087" s="19"/>
      <c r="H5087" s="18"/>
      <c r="J5087" s="18"/>
      <c r="N5087" s="16"/>
      <c r="O5087" s="17"/>
      <c r="P5087" s="17"/>
      <c r="Q5087" s="22"/>
      <c r="R5087" s="23"/>
    </row>
    <row r="5088" spans="1:18" ht="12.75">
      <c r="A5088" s="22"/>
      <c r="D5088" s="19"/>
      <c r="H5088" s="18"/>
      <c r="J5088" s="18"/>
      <c r="N5088" s="16"/>
      <c r="O5088" s="17"/>
      <c r="P5088" s="17"/>
      <c r="Q5088" s="22"/>
      <c r="R5088" s="23"/>
    </row>
    <row r="5089" spans="1:18" ht="12.75">
      <c r="A5089" s="22"/>
      <c r="D5089" s="19"/>
      <c r="H5089" s="18"/>
      <c r="J5089" s="18"/>
      <c r="N5089" s="16"/>
      <c r="O5089" s="17"/>
      <c r="P5089" s="17"/>
      <c r="Q5089" s="22"/>
      <c r="R5089" s="23"/>
    </row>
    <row r="5090" spans="1:18" ht="12.75">
      <c r="A5090" s="22"/>
      <c r="D5090" s="19"/>
      <c r="H5090" s="18"/>
      <c r="J5090" s="18"/>
      <c r="N5090" s="16"/>
      <c r="O5090" s="17"/>
      <c r="P5090" s="17"/>
      <c r="Q5090" s="22"/>
      <c r="R5090" s="23"/>
    </row>
    <row r="5091" spans="1:18" ht="12.75">
      <c r="A5091" s="22"/>
      <c r="D5091" s="19"/>
      <c r="H5091" s="18"/>
      <c r="J5091" s="18"/>
      <c r="N5091" s="16"/>
      <c r="O5091" s="17"/>
      <c r="P5091" s="17"/>
      <c r="Q5091" s="22"/>
      <c r="R5091" s="23"/>
    </row>
    <row r="5092" spans="1:18" ht="12.75">
      <c r="A5092" s="22"/>
      <c r="D5092" s="19"/>
      <c r="H5092" s="18"/>
      <c r="J5092" s="18"/>
      <c r="N5092" s="16"/>
      <c r="O5092" s="17"/>
      <c r="P5092" s="17"/>
      <c r="Q5092" s="22"/>
      <c r="R5092" s="23"/>
    </row>
    <row r="5093" spans="1:18" ht="12.75">
      <c r="A5093" s="22"/>
      <c r="D5093" s="19"/>
      <c r="H5093" s="18"/>
      <c r="J5093" s="18"/>
      <c r="N5093" s="16"/>
      <c r="O5093" s="17"/>
      <c r="P5093" s="17"/>
      <c r="Q5093" s="22"/>
      <c r="R5093" s="23"/>
    </row>
    <row r="5094" spans="1:18" ht="12.75">
      <c r="A5094" s="22"/>
      <c r="D5094" s="19"/>
      <c r="H5094" s="18"/>
      <c r="J5094" s="18"/>
      <c r="N5094" s="16"/>
      <c r="O5094" s="17"/>
      <c r="P5094" s="17"/>
      <c r="Q5094" s="22"/>
      <c r="R5094" s="23"/>
    </row>
    <row r="5095" spans="1:18" ht="12.75">
      <c r="A5095" s="22"/>
      <c r="D5095" s="19"/>
      <c r="H5095" s="18"/>
      <c r="J5095" s="18"/>
      <c r="N5095" s="16"/>
      <c r="O5095" s="17"/>
      <c r="P5095" s="17"/>
      <c r="Q5095" s="22"/>
      <c r="R5095" s="23"/>
    </row>
    <row r="5096" spans="1:18" ht="12.75">
      <c r="A5096" s="22"/>
      <c r="D5096" s="19"/>
      <c r="H5096" s="18"/>
      <c r="J5096" s="18"/>
      <c r="N5096" s="16"/>
      <c r="O5096" s="17"/>
      <c r="P5096" s="17"/>
      <c r="Q5096" s="22"/>
      <c r="R5096" s="23"/>
    </row>
    <row r="5097" spans="1:18" ht="12.75">
      <c r="A5097" s="22"/>
      <c r="D5097" s="19"/>
      <c r="H5097" s="18"/>
      <c r="J5097" s="18"/>
      <c r="N5097" s="16"/>
      <c r="O5097" s="17"/>
      <c r="P5097" s="17"/>
      <c r="Q5097" s="22"/>
      <c r="R5097" s="23"/>
    </row>
    <row r="5098" spans="1:18" ht="12.75">
      <c r="A5098" s="22"/>
      <c r="D5098" s="19"/>
      <c r="H5098" s="18"/>
      <c r="J5098" s="18"/>
      <c r="N5098" s="16"/>
      <c r="O5098" s="17"/>
      <c r="P5098" s="17"/>
      <c r="Q5098" s="22"/>
      <c r="R5098" s="23"/>
    </row>
    <row r="5099" spans="1:18" ht="12.75">
      <c r="A5099" s="22"/>
      <c r="D5099" s="19"/>
      <c r="H5099" s="18"/>
      <c r="J5099" s="18"/>
      <c r="N5099" s="16"/>
      <c r="O5099" s="17"/>
      <c r="P5099" s="17"/>
      <c r="Q5099" s="22"/>
      <c r="R5099" s="23"/>
    </row>
    <row r="5100" spans="1:18" ht="12.75">
      <c r="A5100" s="22"/>
      <c r="D5100" s="19"/>
      <c r="H5100" s="18"/>
      <c r="J5100" s="18"/>
      <c r="N5100" s="16"/>
      <c r="O5100" s="17"/>
      <c r="P5100" s="17"/>
      <c r="Q5100" s="22"/>
      <c r="R5100" s="23"/>
    </row>
    <row r="5101" spans="1:18" ht="12.75">
      <c r="A5101" s="22"/>
      <c r="D5101" s="19"/>
      <c r="H5101" s="18"/>
      <c r="J5101" s="18"/>
      <c r="N5101" s="16"/>
      <c r="O5101" s="17"/>
      <c r="P5101" s="17"/>
      <c r="Q5101" s="22"/>
      <c r="R5101" s="23"/>
    </row>
    <row r="5102" spans="1:18" ht="12.75">
      <c r="A5102" s="22"/>
      <c r="D5102" s="19"/>
      <c r="H5102" s="18"/>
      <c r="J5102" s="18"/>
      <c r="N5102" s="16"/>
      <c r="O5102" s="17"/>
      <c r="P5102" s="17"/>
      <c r="Q5102" s="22"/>
      <c r="R5102" s="23"/>
    </row>
    <row r="5103" spans="1:18" ht="12.75">
      <c r="A5103" s="22"/>
      <c r="D5103" s="19"/>
      <c r="H5103" s="18"/>
      <c r="J5103" s="18"/>
      <c r="N5103" s="16"/>
      <c r="O5103" s="17"/>
      <c r="P5103" s="17"/>
      <c r="Q5103" s="22"/>
      <c r="R5103" s="23"/>
    </row>
    <row r="5104" spans="1:18" ht="12.75">
      <c r="A5104" s="22"/>
      <c r="D5104" s="19"/>
      <c r="H5104" s="18"/>
      <c r="J5104" s="18"/>
      <c r="N5104" s="16"/>
      <c r="O5104" s="17"/>
      <c r="P5104" s="17"/>
      <c r="Q5104" s="22"/>
      <c r="R5104" s="23"/>
    </row>
    <row r="5105" spans="1:18" ht="12.75">
      <c r="A5105" s="22"/>
      <c r="D5105" s="19"/>
      <c r="H5105" s="18"/>
      <c r="J5105" s="18"/>
      <c r="N5105" s="16"/>
      <c r="O5105" s="17"/>
      <c r="P5105" s="17"/>
      <c r="Q5105" s="22"/>
      <c r="R5105" s="23"/>
    </row>
    <row r="5106" spans="1:18" ht="12.75">
      <c r="A5106" s="22"/>
      <c r="D5106" s="19"/>
      <c r="H5106" s="18"/>
      <c r="J5106" s="18"/>
      <c r="N5106" s="16"/>
      <c r="O5106" s="17"/>
      <c r="P5106" s="17"/>
      <c r="Q5106" s="22"/>
      <c r="R5106" s="23"/>
    </row>
    <row r="5107" spans="1:18" ht="12.75">
      <c r="A5107" s="22"/>
      <c r="D5107" s="19"/>
      <c r="H5107" s="18"/>
      <c r="J5107" s="18"/>
      <c r="N5107" s="16"/>
      <c r="O5107" s="17"/>
      <c r="P5107" s="17"/>
      <c r="Q5107" s="22"/>
      <c r="R5107" s="23"/>
    </row>
    <row r="5108" spans="1:18" ht="12.75">
      <c r="A5108" s="22"/>
      <c r="D5108" s="19"/>
      <c r="H5108" s="18"/>
      <c r="J5108" s="18"/>
      <c r="N5108" s="16"/>
      <c r="O5108" s="17"/>
      <c r="P5108" s="17"/>
      <c r="Q5108" s="22"/>
      <c r="R5108" s="23"/>
    </row>
    <row r="5109" spans="1:18" ht="12.75">
      <c r="A5109" s="22"/>
      <c r="D5109" s="19"/>
      <c r="H5109" s="18"/>
      <c r="J5109" s="18"/>
      <c r="N5109" s="16"/>
      <c r="O5109" s="17"/>
      <c r="P5109" s="17"/>
      <c r="Q5109" s="22"/>
      <c r="R5109" s="23"/>
    </row>
    <row r="5110" spans="1:18" ht="12.75">
      <c r="A5110" s="22"/>
      <c r="D5110" s="19"/>
      <c r="H5110" s="18"/>
      <c r="J5110" s="18"/>
      <c r="N5110" s="16"/>
      <c r="O5110" s="17"/>
      <c r="P5110" s="17"/>
      <c r="Q5110" s="22"/>
      <c r="R5110" s="23"/>
    </row>
    <row r="5111" spans="1:18" ht="12.75">
      <c r="A5111" s="22"/>
      <c r="D5111" s="19"/>
      <c r="H5111" s="18"/>
      <c r="J5111" s="18"/>
      <c r="N5111" s="16"/>
      <c r="O5111" s="17"/>
      <c r="P5111" s="17"/>
      <c r="Q5111" s="22"/>
      <c r="R5111" s="23"/>
    </row>
    <row r="5112" spans="1:18" ht="12.75">
      <c r="A5112" s="22"/>
      <c r="D5112" s="19"/>
      <c r="H5112" s="18"/>
      <c r="J5112" s="18"/>
      <c r="N5112" s="16"/>
      <c r="O5112" s="17"/>
      <c r="P5112" s="17"/>
      <c r="Q5112" s="22"/>
      <c r="R5112" s="23"/>
    </row>
    <row r="5113" spans="1:18" ht="12.75">
      <c r="A5113" s="22"/>
      <c r="D5113" s="19"/>
      <c r="H5113" s="18"/>
      <c r="J5113" s="18"/>
      <c r="N5113" s="16"/>
      <c r="O5113" s="17"/>
      <c r="P5113" s="17"/>
      <c r="Q5113" s="22"/>
      <c r="R5113" s="23"/>
    </row>
    <row r="5114" spans="1:18" ht="12.75">
      <c r="A5114" s="22"/>
      <c r="D5114" s="19"/>
      <c r="H5114" s="18"/>
      <c r="J5114" s="18"/>
      <c r="N5114" s="16"/>
      <c r="O5114" s="17"/>
      <c r="P5114" s="17"/>
      <c r="Q5114" s="22"/>
      <c r="R5114" s="23"/>
    </row>
    <row r="5115" spans="1:18" ht="12.75">
      <c r="A5115" s="22"/>
      <c r="D5115" s="19"/>
      <c r="H5115" s="18"/>
      <c r="J5115" s="18"/>
      <c r="N5115" s="16"/>
      <c r="O5115" s="17"/>
      <c r="P5115" s="17"/>
      <c r="Q5115" s="22"/>
      <c r="R5115" s="23"/>
    </row>
    <row r="5116" spans="1:18" ht="12.75">
      <c r="A5116" s="22"/>
      <c r="D5116" s="19"/>
      <c r="H5116" s="18"/>
      <c r="J5116" s="18"/>
      <c r="N5116" s="16"/>
      <c r="O5116" s="17"/>
      <c r="P5116" s="17"/>
      <c r="Q5116" s="22"/>
      <c r="R5116" s="23"/>
    </row>
    <row r="5117" spans="1:18" ht="12.75">
      <c r="A5117" s="22"/>
      <c r="D5117" s="19"/>
      <c r="H5117" s="18"/>
      <c r="J5117" s="18"/>
      <c r="N5117" s="16"/>
      <c r="O5117" s="17"/>
      <c r="P5117" s="17"/>
      <c r="Q5117" s="22"/>
      <c r="R5117" s="23"/>
    </row>
    <row r="5118" spans="1:18" ht="12.75">
      <c r="A5118" s="22"/>
      <c r="D5118" s="19"/>
      <c r="H5118" s="18"/>
      <c r="J5118" s="18"/>
      <c r="N5118" s="16"/>
      <c r="O5118" s="17"/>
      <c r="P5118" s="17"/>
      <c r="Q5118" s="22"/>
      <c r="R5118" s="23"/>
    </row>
    <row r="5119" spans="1:18" ht="12.75">
      <c r="A5119" s="22"/>
      <c r="D5119" s="19"/>
      <c r="H5119" s="18"/>
      <c r="J5119" s="18"/>
      <c r="N5119" s="16"/>
      <c r="O5119" s="17"/>
      <c r="P5119" s="17"/>
      <c r="Q5119" s="22"/>
      <c r="R5119" s="23"/>
    </row>
    <row r="5120" spans="1:18" ht="12.75">
      <c r="A5120" s="22"/>
      <c r="D5120" s="19"/>
      <c r="H5120" s="18"/>
      <c r="J5120" s="18"/>
      <c r="N5120" s="16"/>
      <c r="O5120" s="17"/>
      <c r="P5120" s="17"/>
      <c r="Q5120" s="22"/>
      <c r="R5120" s="23"/>
    </row>
    <row r="5121" spans="1:18" ht="12.75">
      <c r="A5121" s="22"/>
      <c r="D5121" s="19"/>
      <c r="H5121" s="18"/>
      <c r="J5121" s="18"/>
      <c r="N5121" s="16"/>
      <c r="O5121" s="17"/>
      <c r="P5121" s="17"/>
      <c r="Q5121" s="22"/>
      <c r="R5121" s="23"/>
    </row>
    <row r="5122" spans="1:18" ht="12.75">
      <c r="A5122" s="22"/>
      <c r="D5122" s="19"/>
      <c r="H5122" s="18"/>
      <c r="J5122" s="18"/>
      <c r="N5122" s="16"/>
      <c r="O5122" s="17"/>
      <c r="P5122" s="17"/>
      <c r="Q5122" s="22"/>
      <c r="R5122" s="23"/>
    </row>
  </sheetData>
  <autoFilter ref="A1:Z543" xr:uid="{00000000-0009-0000-0000-000001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ErrorMessage="1" xr:uid="{00000000-0002-0000-0100-000000000000}">
          <x14:formula1>
            <xm:f>'Controle GEral'!$H:$H</xm:f>
          </x14:formula1>
          <xm:sqref>R2:R183 R188:R280 R282:R543 R567:R5122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"/>
  <sheetViews>
    <sheetView workbookViewId="0"/>
  </sheetViews>
  <sheetFormatPr defaultColWidth="12.5703125" defaultRowHeight="15.75" customHeight="1"/>
  <sheetData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5975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1" max="1" width="20.42578125" style="25" customWidth="1"/>
    <col min="2" max="2" width="12.140625" style="25" customWidth="1"/>
    <col min="3" max="4" width="15.42578125" style="25" customWidth="1"/>
    <col min="5" max="5" width="13.140625" style="25" customWidth="1"/>
    <col min="6" max="6" width="10.140625" style="25" customWidth="1"/>
    <col min="7" max="7" width="20.140625" style="25" customWidth="1"/>
    <col min="8" max="8" width="7.7109375" style="25" customWidth="1"/>
    <col min="9" max="9" width="25.140625" style="25" customWidth="1"/>
    <col min="10" max="10" width="10.140625" style="25" customWidth="1"/>
    <col min="11" max="11" width="24.7109375" style="25" customWidth="1"/>
    <col min="12" max="12" width="24.5703125" style="25" customWidth="1"/>
    <col min="13" max="13" width="16" style="25" customWidth="1"/>
    <col min="14" max="14" width="16.42578125" style="25" customWidth="1"/>
    <col min="15" max="15" width="20.7109375" style="25" customWidth="1"/>
    <col min="18" max="18" width="12.85546875" style="25" customWidth="1"/>
    <col min="19" max="19" width="17.28515625" style="25" customWidth="1"/>
  </cols>
  <sheetData>
    <row r="1" spans="1:26" ht="15.75" customHeight="1">
      <c r="A1" s="3" t="s">
        <v>62</v>
      </c>
      <c r="B1" s="5" t="s">
        <v>1</v>
      </c>
      <c r="C1" s="3" t="s">
        <v>2</v>
      </c>
      <c r="D1" s="8" t="s">
        <v>63</v>
      </c>
      <c r="E1" s="3" t="s">
        <v>64</v>
      </c>
      <c r="F1" s="5" t="s">
        <v>4</v>
      </c>
      <c r="G1" s="3" t="s">
        <v>65</v>
      </c>
      <c r="H1" s="9" t="s">
        <v>66</v>
      </c>
      <c r="I1" s="3" t="s">
        <v>7</v>
      </c>
      <c r="J1" s="10" t="s">
        <v>8</v>
      </c>
      <c r="K1" s="3" t="s">
        <v>9</v>
      </c>
      <c r="L1" s="5" t="s">
        <v>10</v>
      </c>
      <c r="M1" s="11" t="s">
        <v>67</v>
      </c>
      <c r="N1" s="12" t="s">
        <v>68</v>
      </c>
      <c r="O1" s="12" t="s">
        <v>69</v>
      </c>
      <c r="P1" s="14" t="s">
        <v>70</v>
      </c>
      <c r="Q1" s="14" t="s">
        <v>71</v>
      </c>
      <c r="R1" s="14" t="s">
        <v>72</v>
      </c>
      <c r="S1" s="14" t="s">
        <v>73</v>
      </c>
      <c r="U1" s="14"/>
      <c r="V1" s="14"/>
      <c r="W1" s="14"/>
      <c r="X1" s="14"/>
      <c r="Y1" s="14"/>
      <c r="Z1" s="14"/>
    </row>
    <row r="2" spans="1:26">
      <c r="A2" s="22">
        <v>46051</v>
      </c>
      <c r="B2" s="23" t="s">
        <v>14</v>
      </c>
      <c r="C2" s="23" t="s">
        <v>563</v>
      </c>
      <c r="D2" s="19"/>
      <c r="E2" s="23" t="s">
        <v>24</v>
      </c>
      <c r="F2" s="23">
        <v>11951213301</v>
      </c>
      <c r="G2" s="23" t="s">
        <v>16</v>
      </c>
      <c r="H2" s="18">
        <f>IF(G2="","",VALUE(SUBSTITUTE(VLOOKUP(G2,'Controle GEral'!F:G,2,FALSE),"R$ ", "")))</f>
        <v>45</v>
      </c>
      <c r="I2" s="23"/>
      <c r="J2" s="18" t="str">
        <f>IF(I2="","",VALUE(SUBSTITUTE(VLOOKUP(I2,'Controle GEral'!H:I,2,FALSE),"R$ ", "")))</f>
        <v/>
      </c>
      <c r="K2" s="23" t="s">
        <v>18</v>
      </c>
      <c r="L2" s="23" t="s">
        <v>28</v>
      </c>
      <c r="M2" s="23" t="s">
        <v>564</v>
      </c>
      <c r="N2" s="21">
        <v>46054</v>
      </c>
      <c r="O2" s="17">
        <v>240</v>
      </c>
      <c r="P2" s="18" t="e">
        <f t="shared" ref="P2:P65" si="0">H2+J2+S2</f>
        <v>#VALUE!</v>
      </c>
      <c r="Q2" s="22" t="e">
        <f t="shared" ref="Q2:Q65" si="1">DATEVALUE(A2)</f>
        <v>#VALUE!</v>
      </c>
      <c r="R2" s="23"/>
    </row>
    <row r="3" spans="1:26">
      <c r="A3" s="22">
        <v>46051</v>
      </c>
      <c r="B3" s="23" t="s">
        <v>14</v>
      </c>
      <c r="C3" s="23" t="s">
        <v>565</v>
      </c>
      <c r="D3" s="19">
        <v>33316</v>
      </c>
      <c r="E3" s="23" t="s">
        <v>24</v>
      </c>
      <c r="F3" s="23">
        <v>11957321678</v>
      </c>
      <c r="G3" s="23" t="s">
        <v>25</v>
      </c>
      <c r="H3" s="18">
        <f>IF(G3="","",VALUE(SUBSTITUTE(VLOOKUP(G3,'Controle GEral'!F:G,2,FALSE),"R$ ", "")))</f>
        <v>80</v>
      </c>
      <c r="I3" s="23"/>
      <c r="J3" s="18" t="str">
        <f>IF(I3="","",VALUE(SUBSTITUTE(VLOOKUP(I3,'Controle GEral'!H:I,2,FALSE),"R$ ", "")))</f>
        <v/>
      </c>
      <c r="K3" s="23" t="s">
        <v>18</v>
      </c>
      <c r="L3" s="23" t="s">
        <v>34</v>
      </c>
      <c r="M3" s="17" t="s">
        <v>566</v>
      </c>
      <c r="N3" s="20" t="s">
        <v>567</v>
      </c>
      <c r="O3" s="17">
        <v>140</v>
      </c>
      <c r="P3" s="18" t="e">
        <f t="shared" si="0"/>
        <v>#VALUE!</v>
      </c>
      <c r="Q3" s="22" t="e">
        <f t="shared" si="1"/>
        <v>#VALUE!</v>
      </c>
      <c r="R3" s="23"/>
    </row>
    <row r="4" spans="1:26">
      <c r="A4" s="22">
        <v>46051</v>
      </c>
      <c r="B4" s="23" t="s">
        <v>14</v>
      </c>
      <c r="C4" s="23" t="s">
        <v>568</v>
      </c>
      <c r="D4" s="19"/>
      <c r="E4" s="23" t="s">
        <v>24</v>
      </c>
      <c r="F4" s="23">
        <v>11913130479</v>
      </c>
      <c r="G4" s="23" t="s">
        <v>25</v>
      </c>
      <c r="H4" s="18">
        <f>IF(G4="","",VALUE(SUBSTITUTE(VLOOKUP(G4,'Controle GEral'!F:G,2,FALSE),"R$ ", "")))</f>
        <v>80</v>
      </c>
      <c r="I4" s="23"/>
      <c r="J4" s="18" t="str">
        <f>IF(I4="","",VALUE(SUBSTITUTE(VLOOKUP(I4,'Controle GEral'!H:I,2,FALSE),"R$ ", "")))</f>
        <v/>
      </c>
      <c r="K4" s="23" t="s">
        <v>18</v>
      </c>
      <c r="L4" s="23" t="s">
        <v>34</v>
      </c>
      <c r="M4" s="23" t="s">
        <v>569</v>
      </c>
      <c r="N4" s="20" t="s">
        <v>567</v>
      </c>
      <c r="O4" s="17">
        <v>240</v>
      </c>
      <c r="P4" s="18" t="e">
        <f t="shared" si="0"/>
        <v>#VALUE!</v>
      </c>
      <c r="Q4" s="22" t="e">
        <f t="shared" si="1"/>
        <v>#VALUE!</v>
      </c>
      <c r="R4" s="23"/>
    </row>
    <row r="5" spans="1:26">
      <c r="A5" s="22">
        <v>46051</v>
      </c>
      <c r="B5" s="23" t="s">
        <v>23</v>
      </c>
      <c r="C5" s="23" t="s">
        <v>570</v>
      </c>
      <c r="D5" s="19"/>
      <c r="E5" s="23" t="s">
        <v>15</v>
      </c>
      <c r="G5" s="23" t="s">
        <v>16</v>
      </c>
      <c r="H5" s="18">
        <f>IF(G5="","",VALUE(SUBSTITUTE(VLOOKUP(G5,'Controle GEral'!F:G,2,FALSE),"R$ ", "")))</f>
        <v>45</v>
      </c>
      <c r="I5" s="23"/>
      <c r="J5" s="18" t="str">
        <f>IF(I5="","",VALUE(SUBSTITUTE(VLOOKUP(I5,'Controle GEral'!H:I,2,FALSE),"R$ ", "")))</f>
        <v/>
      </c>
      <c r="K5" s="23" t="s">
        <v>18</v>
      </c>
      <c r="L5" s="23" t="s">
        <v>34</v>
      </c>
      <c r="M5" s="23" t="s">
        <v>570</v>
      </c>
      <c r="N5" s="20" t="s">
        <v>567</v>
      </c>
      <c r="O5" s="17">
        <v>190</v>
      </c>
      <c r="P5" s="18" t="e">
        <f t="shared" si="0"/>
        <v>#VALUE!</v>
      </c>
      <c r="Q5" s="22" t="e">
        <f t="shared" si="1"/>
        <v>#VALUE!</v>
      </c>
      <c r="R5" s="23"/>
    </row>
    <row r="6" spans="1:26">
      <c r="A6" s="22">
        <v>46051</v>
      </c>
      <c r="B6" s="23" t="s">
        <v>23</v>
      </c>
      <c r="C6" s="23" t="s">
        <v>571</v>
      </c>
      <c r="D6" s="19"/>
      <c r="E6" s="23" t="s">
        <v>24</v>
      </c>
      <c r="G6" s="23" t="s">
        <v>16</v>
      </c>
      <c r="H6" s="18">
        <f>IF(G6="","",VALUE(SUBSTITUTE(VLOOKUP(G6,'Controle GEral'!F:G,2,FALSE),"R$ ", "")))</f>
        <v>45</v>
      </c>
      <c r="I6" s="23"/>
      <c r="J6" s="18" t="str">
        <f>IF(I6="","",VALUE(SUBSTITUTE(VLOOKUP(I6,'Controle GEral'!H:I,2,FALSE),"R$ ", "")))</f>
        <v/>
      </c>
      <c r="K6" s="23" t="s">
        <v>18</v>
      </c>
      <c r="L6" s="23" t="s">
        <v>34</v>
      </c>
      <c r="M6" s="23" t="s">
        <v>572</v>
      </c>
      <c r="N6" s="20" t="s">
        <v>567</v>
      </c>
      <c r="O6" s="17">
        <v>140</v>
      </c>
      <c r="P6" s="18" t="e">
        <f t="shared" si="0"/>
        <v>#VALUE!</v>
      </c>
      <c r="Q6" s="22" t="e">
        <f t="shared" si="1"/>
        <v>#VALUE!</v>
      </c>
      <c r="R6" s="23"/>
    </row>
    <row r="7" spans="1:26">
      <c r="A7" s="22">
        <v>46051</v>
      </c>
      <c r="B7" s="23" t="s">
        <v>23</v>
      </c>
      <c r="C7" s="23" t="s">
        <v>573</v>
      </c>
      <c r="D7" s="19"/>
      <c r="E7" s="23" t="s">
        <v>24</v>
      </c>
      <c r="G7" s="23" t="s">
        <v>16</v>
      </c>
      <c r="H7" s="18">
        <f>IF(G7="","",VALUE(SUBSTITUTE(VLOOKUP(G7,'Controle GEral'!F:G,2,FALSE),"R$ ", "")))</f>
        <v>45</v>
      </c>
      <c r="I7" s="23"/>
      <c r="J7" s="18" t="str">
        <f>IF(I7="","",VALUE(SUBSTITUTE(VLOOKUP(I7,'Controle GEral'!H:I,2,FALSE),"R$ ", "")))</f>
        <v/>
      </c>
      <c r="K7" s="23" t="s">
        <v>18</v>
      </c>
      <c r="L7" s="23" t="s">
        <v>34</v>
      </c>
      <c r="M7" s="23" t="s">
        <v>574</v>
      </c>
      <c r="N7" s="20" t="s">
        <v>567</v>
      </c>
      <c r="O7" s="17">
        <v>160</v>
      </c>
      <c r="P7" s="18" t="e">
        <f t="shared" si="0"/>
        <v>#VALUE!</v>
      </c>
      <c r="Q7" s="22" t="e">
        <f t="shared" si="1"/>
        <v>#VALUE!</v>
      </c>
      <c r="R7" s="23"/>
    </row>
    <row r="8" spans="1:26">
      <c r="A8" s="22">
        <v>46051</v>
      </c>
      <c r="B8" s="23" t="s">
        <v>23</v>
      </c>
      <c r="C8" s="23" t="s">
        <v>575</v>
      </c>
      <c r="D8" s="19"/>
      <c r="E8" s="23" t="s">
        <v>24</v>
      </c>
      <c r="G8" s="23" t="s">
        <v>16</v>
      </c>
      <c r="H8" s="18">
        <f>IF(G8="","",VALUE(SUBSTITUTE(VLOOKUP(G8,'Controle GEral'!F:G,2,FALSE),"R$ ", "")))</f>
        <v>45</v>
      </c>
      <c r="I8" s="23"/>
      <c r="J8" s="18" t="str">
        <f>IF(I8="","",VALUE(SUBSTITUTE(VLOOKUP(I8,'Controle GEral'!H:I,2,FALSE),"R$ ", "")))</f>
        <v/>
      </c>
      <c r="K8" s="23" t="s">
        <v>18</v>
      </c>
      <c r="L8" s="23" t="s">
        <v>34</v>
      </c>
      <c r="M8" s="23" t="s">
        <v>576</v>
      </c>
      <c r="N8" s="20" t="s">
        <v>567</v>
      </c>
      <c r="O8" s="17">
        <v>160</v>
      </c>
      <c r="P8" s="18" t="e">
        <f t="shared" si="0"/>
        <v>#VALUE!</v>
      </c>
      <c r="Q8" s="22" t="e">
        <f t="shared" si="1"/>
        <v>#VALUE!</v>
      </c>
      <c r="R8" s="23"/>
    </row>
    <row r="9" spans="1:26">
      <c r="A9" s="22">
        <v>46051</v>
      </c>
      <c r="B9" s="23" t="s">
        <v>14</v>
      </c>
      <c r="C9" s="23" t="s">
        <v>577</v>
      </c>
      <c r="D9" s="19"/>
      <c r="E9" s="23" t="s">
        <v>24</v>
      </c>
      <c r="G9" s="23" t="s">
        <v>16</v>
      </c>
      <c r="H9" s="18">
        <f>IF(G9="","",VALUE(SUBSTITUTE(VLOOKUP(G9,'Controle GEral'!F:G,2,FALSE),"R$ ", "")))</f>
        <v>45</v>
      </c>
      <c r="I9" s="23"/>
      <c r="J9" s="18" t="str">
        <f>IF(I9="","",VALUE(SUBSTITUTE(VLOOKUP(I9,'Controle GEral'!H:I,2,FALSE),"R$ ", "")))</f>
        <v/>
      </c>
      <c r="K9" s="23" t="s">
        <v>18</v>
      </c>
      <c r="L9" s="23" t="s">
        <v>34</v>
      </c>
      <c r="M9" s="23" t="s">
        <v>578</v>
      </c>
      <c r="N9" s="20" t="s">
        <v>567</v>
      </c>
      <c r="O9" s="17">
        <v>140</v>
      </c>
      <c r="P9" s="18" t="e">
        <f t="shared" si="0"/>
        <v>#VALUE!</v>
      </c>
      <c r="Q9" s="22" t="e">
        <f t="shared" si="1"/>
        <v>#VALUE!</v>
      </c>
      <c r="R9" s="23"/>
    </row>
    <row r="10" spans="1:26">
      <c r="A10" s="22">
        <v>46051</v>
      </c>
      <c r="B10" s="23" t="s">
        <v>14</v>
      </c>
      <c r="C10" s="23" t="s">
        <v>579</v>
      </c>
      <c r="D10" s="19"/>
      <c r="E10" s="23" t="s">
        <v>24</v>
      </c>
      <c r="G10" s="23" t="s">
        <v>16</v>
      </c>
      <c r="H10" s="18">
        <f>IF(G10="","",VALUE(SUBSTITUTE(VLOOKUP(G10,'Controle GEral'!F:G,2,FALSE),"R$ ", "")))</f>
        <v>45</v>
      </c>
      <c r="I10" s="23"/>
      <c r="J10" s="18" t="str">
        <f>IF(I10="","",VALUE(SUBSTITUTE(VLOOKUP(I10,'Controle GEral'!H:I,2,FALSE),"R$ ", "")))</f>
        <v/>
      </c>
      <c r="K10" s="23" t="s">
        <v>18</v>
      </c>
      <c r="L10" s="23" t="s">
        <v>34</v>
      </c>
      <c r="M10" s="23" t="s">
        <v>580</v>
      </c>
      <c r="N10" s="20" t="s">
        <v>567</v>
      </c>
      <c r="O10" s="17">
        <v>240</v>
      </c>
      <c r="P10" s="18" t="e">
        <f t="shared" si="0"/>
        <v>#VALUE!</v>
      </c>
      <c r="Q10" s="22" t="e">
        <f t="shared" si="1"/>
        <v>#VALUE!</v>
      </c>
      <c r="R10" s="23"/>
    </row>
    <row r="11" spans="1:26">
      <c r="A11" s="22">
        <v>46051</v>
      </c>
      <c r="B11" s="23" t="s">
        <v>14</v>
      </c>
      <c r="C11" s="23" t="s">
        <v>581</v>
      </c>
      <c r="D11" s="19"/>
      <c r="E11" s="23" t="s">
        <v>24</v>
      </c>
      <c r="G11" s="23" t="s">
        <v>16</v>
      </c>
      <c r="H11" s="18">
        <f>IF(G11="","",VALUE(SUBSTITUTE(VLOOKUP(G11,'Controle GEral'!F:G,2,FALSE),"R$ ", "")))</f>
        <v>45</v>
      </c>
      <c r="I11" s="23"/>
      <c r="J11" s="18" t="str">
        <f>IF(I11="","",VALUE(SUBSTITUTE(VLOOKUP(I11,'Controle GEral'!H:I,2,FALSE),"R$ ", "")))</f>
        <v/>
      </c>
      <c r="K11" s="23" t="s">
        <v>18</v>
      </c>
      <c r="L11" s="23" t="s">
        <v>34</v>
      </c>
      <c r="M11" s="23" t="s">
        <v>582</v>
      </c>
      <c r="N11" s="20" t="s">
        <v>567</v>
      </c>
      <c r="O11" s="17">
        <v>240</v>
      </c>
      <c r="P11" s="18" t="e">
        <f t="shared" si="0"/>
        <v>#VALUE!</v>
      </c>
      <c r="Q11" s="22" t="e">
        <f t="shared" si="1"/>
        <v>#VALUE!</v>
      </c>
      <c r="R11" s="23"/>
    </row>
    <row r="12" spans="1:26">
      <c r="A12" s="22">
        <v>46051</v>
      </c>
      <c r="B12" s="23" t="s">
        <v>14</v>
      </c>
      <c r="C12" s="23" t="s">
        <v>583</v>
      </c>
      <c r="D12" s="19"/>
      <c r="E12" s="23" t="s">
        <v>24</v>
      </c>
      <c r="G12" s="23" t="s">
        <v>38</v>
      </c>
      <c r="H12" s="18">
        <f>IF(G12="","",VALUE(SUBSTITUTE(VLOOKUP(G12,'Controle GEral'!F:G,2,FALSE),"R$ ", "")))</f>
        <v>70</v>
      </c>
      <c r="I12" s="23"/>
      <c r="J12" s="18" t="str">
        <f>IF(I12="","",VALUE(SUBSTITUTE(VLOOKUP(I12,'Controle GEral'!H:I,2,FALSE),"R$ ", "")))</f>
        <v/>
      </c>
      <c r="K12" s="23" t="s">
        <v>18</v>
      </c>
      <c r="L12" s="23" t="s">
        <v>34</v>
      </c>
      <c r="M12" s="23" t="s">
        <v>564</v>
      </c>
      <c r="N12" s="20" t="s">
        <v>584</v>
      </c>
      <c r="O12" s="17">
        <v>240</v>
      </c>
      <c r="P12" s="18" t="e">
        <f t="shared" si="0"/>
        <v>#VALUE!</v>
      </c>
      <c r="Q12" s="22" t="e">
        <f t="shared" si="1"/>
        <v>#VALUE!</v>
      </c>
      <c r="R12" s="23"/>
    </row>
    <row r="13" spans="1:26">
      <c r="A13" s="22">
        <v>46051</v>
      </c>
      <c r="B13" s="23" t="s">
        <v>14</v>
      </c>
      <c r="C13" s="23" t="s">
        <v>585</v>
      </c>
      <c r="D13" s="19"/>
      <c r="E13" s="23" t="s">
        <v>24</v>
      </c>
      <c r="G13" s="23" t="s">
        <v>16</v>
      </c>
      <c r="H13" s="18">
        <f>IF(G13="","",VALUE(SUBSTITUTE(VLOOKUP(G13,'Controle GEral'!F:G,2,FALSE),"R$ ", "")))</f>
        <v>45</v>
      </c>
      <c r="I13" s="23"/>
      <c r="J13" s="18" t="str">
        <f>IF(I13="","",VALUE(SUBSTITUTE(VLOOKUP(I13,'Controle GEral'!H:I,2,FALSE),"R$ ", "")))</f>
        <v/>
      </c>
      <c r="K13" s="23" t="s">
        <v>18</v>
      </c>
      <c r="L13" s="23" t="s">
        <v>34</v>
      </c>
      <c r="M13" s="23" t="s">
        <v>586</v>
      </c>
      <c r="N13" s="20" t="s">
        <v>587</v>
      </c>
      <c r="O13" s="17">
        <v>185</v>
      </c>
      <c r="P13" s="18" t="e">
        <f t="shared" si="0"/>
        <v>#VALUE!</v>
      </c>
      <c r="Q13" s="22" t="e">
        <f t="shared" si="1"/>
        <v>#VALUE!</v>
      </c>
      <c r="R13" s="23"/>
    </row>
    <row r="14" spans="1:26">
      <c r="A14" s="22">
        <v>46051</v>
      </c>
      <c r="B14" s="23" t="s">
        <v>23</v>
      </c>
      <c r="C14" s="23" t="s">
        <v>588</v>
      </c>
      <c r="D14" s="19"/>
      <c r="E14" s="23" t="s">
        <v>24</v>
      </c>
      <c r="G14" s="23" t="s">
        <v>16</v>
      </c>
      <c r="H14" s="18">
        <f>IF(G14="","",VALUE(SUBSTITUTE(VLOOKUP(G14,'Controle GEral'!F:G,2,FALSE),"R$ ", "")))</f>
        <v>45</v>
      </c>
      <c r="I14" s="23"/>
      <c r="J14" s="18" t="str">
        <f>IF(I14="","",VALUE(SUBSTITUTE(VLOOKUP(I14,'Controle GEral'!H:I,2,FALSE),"R$ ", "")))</f>
        <v/>
      </c>
      <c r="K14" s="23" t="s">
        <v>18</v>
      </c>
      <c r="L14" s="23" t="s">
        <v>28</v>
      </c>
      <c r="M14" s="23" t="s">
        <v>566</v>
      </c>
      <c r="N14" s="20" t="s">
        <v>584</v>
      </c>
      <c r="O14" s="17">
        <v>140</v>
      </c>
      <c r="P14" s="18" t="e">
        <f t="shared" si="0"/>
        <v>#VALUE!</v>
      </c>
      <c r="Q14" s="22" t="e">
        <f t="shared" si="1"/>
        <v>#VALUE!</v>
      </c>
      <c r="R14" s="23"/>
    </row>
    <row r="15" spans="1:26">
      <c r="A15" s="22">
        <v>46051</v>
      </c>
      <c r="B15" s="23" t="s">
        <v>23</v>
      </c>
      <c r="C15" s="23" t="s">
        <v>589</v>
      </c>
      <c r="D15" s="19"/>
      <c r="E15" s="23" t="s">
        <v>15</v>
      </c>
      <c r="G15" s="23" t="s">
        <v>16</v>
      </c>
      <c r="H15" s="18">
        <f>IF(G15="","",VALUE(SUBSTITUTE(VLOOKUP(G15,'Controle GEral'!F:G,2,FALSE),"R$ ", "")))</f>
        <v>45</v>
      </c>
      <c r="I15" s="23"/>
      <c r="J15" s="18" t="str">
        <f>IF(I15="","",VALUE(SUBSTITUTE(VLOOKUP(I15,'Controle GEral'!H:I,2,FALSE),"R$ ", "")))</f>
        <v/>
      </c>
      <c r="K15" s="23" t="s">
        <v>18</v>
      </c>
      <c r="L15" s="23" t="s">
        <v>39</v>
      </c>
      <c r="M15" s="23" t="s">
        <v>569</v>
      </c>
      <c r="N15" s="20" t="s">
        <v>584</v>
      </c>
      <c r="O15" s="17">
        <v>205</v>
      </c>
      <c r="P15" s="18" t="e">
        <f t="shared" si="0"/>
        <v>#VALUE!</v>
      </c>
      <c r="Q15" s="22" t="e">
        <f t="shared" si="1"/>
        <v>#VALUE!</v>
      </c>
      <c r="R15" s="23"/>
    </row>
    <row r="16" spans="1:26">
      <c r="A16" s="22">
        <v>46051</v>
      </c>
      <c r="B16" s="23" t="s">
        <v>23</v>
      </c>
      <c r="C16" s="23" t="s">
        <v>590</v>
      </c>
      <c r="D16" s="19"/>
      <c r="E16" s="23" t="s">
        <v>24</v>
      </c>
      <c r="G16" s="23" t="s">
        <v>30</v>
      </c>
      <c r="H16" s="18" t="e">
        <f>IF(G16="","",VALUE(SUBSTITUTE(VLOOKUP(G16,'Controle GEral'!F:G,2,FALSE),"R$ ", "")))</f>
        <v>#N/A</v>
      </c>
      <c r="I16" s="23"/>
      <c r="J16" s="18" t="str">
        <f>IF(I16="","",VALUE(SUBSTITUTE(VLOOKUP(I16,'Controle GEral'!H:I,2,FALSE),"R$ ", "")))</f>
        <v/>
      </c>
      <c r="K16" s="23" t="s">
        <v>18</v>
      </c>
      <c r="L16" s="23" t="s">
        <v>34</v>
      </c>
      <c r="M16" s="23" t="s">
        <v>574</v>
      </c>
      <c r="N16" s="20" t="s">
        <v>584</v>
      </c>
      <c r="O16" s="17">
        <v>215</v>
      </c>
      <c r="P16" s="23" t="e">
        <f t="shared" si="0"/>
        <v>#N/A</v>
      </c>
      <c r="Q16" s="22" t="e">
        <f t="shared" si="1"/>
        <v>#VALUE!</v>
      </c>
      <c r="R16" s="23"/>
    </row>
    <row r="17" spans="1:18">
      <c r="A17" s="22">
        <v>46052</v>
      </c>
      <c r="B17" s="23" t="s">
        <v>23</v>
      </c>
      <c r="C17" s="23" t="s">
        <v>591</v>
      </c>
      <c r="D17" s="19"/>
      <c r="E17" s="23" t="s">
        <v>24</v>
      </c>
      <c r="G17" s="23" t="s">
        <v>46</v>
      </c>
      <c r="H17" s="18">
        <f>IF(G17="","",VALUE(SUBSTITUTE(VLOOKUP(G17,'Controle GEral'!F:G,2,FALSE),"R$ ", "")))</f>
        <v>30</v>
      </c>
      <c r="I17" s="23"/>
      <c r="J17" s="18" t="str">
        <f>IF(I17="","",VALUE(SUBSTITUTE(VLOOKUP(I17,'Controle GEral'!H:I,2,FALSE),"R$ ", "")))</f>
        <v/>
      </c>
      <c r="K17" s="23" t="s">
        <v>18</v>
      </c>
      <c r="L17" s="23" t="s">
        <v>39</v>
      </c>
      <c r="M17" s="23" t="s">
        <v>592</v>
      </c>
      <c r="N17" s="20" t="s">
        <v>584</v>
      </c>
      <c r="O17" s="17">
        <v>240</v>
      </c>
      <c r="P17" s="18" t="e">
        <f t="shared" si="0"/>
        <v>#VALUE!</v>
      </c>
      <c r="Q17" s="22" t="e">
        <f t="shared" si="1"/>
        <v>#VALUE!</v>
      </c>
      <c r="R17" s="23"/>
    </row>
    <row r="18" spans="1:18">
      <c r="A18" s="22">
        <v>46052</v>
      </c>
      <c r="B18" s="23" t="s">
        <v>23</v>
      </c>
      <c r="C18" s="23" t="s">
        <v>593</v>
      </c>
      <c r="D18" s="19"/>
      <c r="E18" s="23" t="s">
        <v>15</v>
      </c>
      <c r="G18" s="23" t="s">
        <v>16</v>
      </c>
      <c r="H18" s="18">
        <f>IF(G18="","",VALUE(SUBSTITUTE(VLOOKUP(G18,'Controle GEral'!F:G,2,FALSE),"R$ ", "")))</f>
        <v>45</v>
      </c>
      <c r="I18" s="22"/>
      <c r="J18" s="18" t="str">
        <f>IF(I18="","",VALUE(SUBSTITUTE(VLOOKUP(I18,'Controle GEral'!H:I,2,FALSE),"R$ ", "")))</f>
        <v/>
      </c>
      <c r="K18" s="23" t="s">
        <v>18</v>
      </c>
      <c r="L18" s="23" t="s">
        <v>34</v>
      </c>
      <c r="M18" s="23" t="s">
        <v>594</v>
      </c>
      <c r="N18" s="20" t="s">
        <v>584</v>
      </c>
      <c r="O18" s="17">
        <v>240</v>
      </c>
      <c r="P18" s="18" t="e">
        <f t="shared" si="0"/>
        <v>#VALUE!</v>
      </c>
      <c r="Q18" s="22" t="e">
        <f t="shared" si="1"/>
        <v>#VALUE!</v>
      </c>
      <c r="R18" s="23"/>
    </row>
    <row r="19" spans="1:18">
      <c r="A19" s="22">
        <v>46052</v>
      </c>
      <c r="B19" s="23" t="s">
        <v>23</v>
      </c>
      <c r="C19" s="23" t="s">
        <v>595</v>
      </c>
      <c r="D19" s="19"/>
      <c r="E19" s="23" t="s">
        <v>24</v>
      </c>
      <c r="G19" s="23" t="s">
        <v>16</v>
      </c>
      <c r="H19" s="18">
        <f>IF(G19="","",VALUE(SUBSTITUTE(VLOOKUP(G19,'Controle GEral'!F:G,2,FALSE),"R$ ", "")))</f>
        <v>45</v>
      </c>
      <c r="I19" s="23"/>
      <c r="J19" s="18" t="str">
        <f>IF(I19="","",VALUE(SUBSTITUTE(VLOOKUP(I19,'Controle GEral'!H:I,2,FALSE),"R$ ", "")))</f>
        <v/>
      </c>
      <c r="K19" s="23" t="s">
        <v>18</v>
      </c>
      <c r="L19" s="23" t="s">
        <v>34</v>
      </c>
      <c r="M19" s="23" t="s">
        <v>578</v>
      </c>
      <c r="N19" s="20" t="s">
        <v>584</v>
      </c>
      <c r="O19" s="17">
        <v>140</v>
      </c>
      <c r="P19" s="18" t="e">
        <f t="shared" si="0"/>
        <v>#VALUE!</v>
      </c>
      <c r="Q19" s="22" t="e">
        <f t="shared" si="1"/>
        <v>#VALUE!</v>
      </c>
      <c r="R19" s="23"/>
    </row>
    <row r="20" spans="1:18">
      <c r="A20" s="22">
        <v>46052</v>
      </c>
      <c r="B20" s="23" t="s">
        <v>14</v>
      </c>
      <c r="C20" s="23" t="s">
        <v>596</v>
      </c>
      <c r="D20" s="19"/>
      <c r="E20" s="23" t="s">
        <v>24</v>
      </c>
      <c r="G20" s="23" t="s">
        <v>32</v>
      </c>
      <c r="H20" s="18">
        <f>IF(G20="","",VALUE(SUBSTITUTE(VLOOKUP(G20,'Controle GEral'!F:G,2,FALSE),"R$ ", "")))</f>
        <v>35</v>
      </c>
      <c r="I20" s="23"/>
      <c r="J20" s="18" t="str">
        <f>IF(I20="","",VALUE(SUBSTITUTE(VLOOKUP(I20,'Controle GEral'!H:I,2,FALSE),"R$ ", "")))</f>
        <v/>
      </c>
      <c r="K20" s="23" t="s">
        <v>18</v>
      </c>
      <c r="L20" s="23" t="s">
        <v>34</v>
      </c>
      <c r="M20" s="23" t="s">
        <v>597</v>
      </c>
      <c r="N20" s="20" t="s">
        <v>584</v>
      </c>
      <c r="O20" s="17">
        <v>140</v>
      </c>
      <c r="P20" s="18" t="e">
        <f t="shared" si="0"/>
        <v>#VALUE!</v>
      </c>
      <c r="Q20" s="22" t="e">
        <f t="shared" si="1"/>
        <v>#VALUE!</v>
      </c>
      <c r="R20" s="23"/>
    </row>
    <row r="21" spans="1:18">
      <c r="A21" s="22">
        <v>46052</v>
      </c>
      <c r="B21" s="23" t="s">
        <v>14</v>
      </c>
      <c r="C21" s="23" t="s">
        <v>598</v>
      </c>
      <c r="D21" s="19"/>
      <c r="E21" s="23" t="s">
        <v>24</v>
      </c>
      <c r="G21" s="23" t="s">
        <v>27</v>
      </c>
      <c r="H21" s="18">
        <f>IF(G21="","",VALUE(SUBSTITUTE(VLOOKUP(G21,'Controle GEral'!F:G,2,FALSE),"R$ ", "")))</f>
        <v>0</v>
      </c>
      <c r="I21" s="23"/>
      <c r="J21" s="18" t="str">
        <f>IF(I21="","",VALUE(SUBSTITUTE(VLOOKUP(I21,'Controle GEral'!H:I,2,FALSE),"R$ ", "")))</f>
        <v/>
      </c>
      <c r="K21" s="23" t="s">
        <v>27</v>
      </c>
      <c r="L21" s="23" t="s">
        <v>27</v>
      </c>
      <c r="N21" s="21"/>
      <c r="O21" s="17"/>
      <c r="P21" s="18" t="e">
        <f t="shared" si="0"/>
        <v>#VALUE!</v>
      </c>
      <c r="Q21" s="22" t="e">
        <f t="shared" si="1"/>
        <v>#VALUE!</v>
      </c>
      <c r="R21" s="23"/>
    </row>
    <row r="22" spans="1:18">
      <c r="A22" s="22">
        <v>46052</v>
      </c>
      <c r="B22" s="23" t="s">
        <v>14</v>
      </c>
      <c r="C22" s="23" t="s">
        <v>599</v>
      </c>
      <c r="D22" s="19"/>
      <c r="E22" s="23" t="s">
        <v>24</v>
      </c>
      <c r="G22" s="23" t="s">
        <v>32</v>
      </c>
      <c r="H22" s="18">
        <f>IF(G22="","",VALUE(SUBSTITUTE(VLOOKUP(G22,'Controle GEral'!F:G,2,FALSE),"R$ ", "")))</f>
        <v>35</v>
      </c>
      <c r="I22" s="23"/>
      <c r="J22" s="18" t="str">
        <f>IF(I22="","",VALUE(SUBSTITUTE(VLOOKUP(I22,'Controle GEral'!H:I,2,FALSE),"R$ ", "")))</f>
        <v/>
      </c>
      <c r="K22" s="23" t="s">
        <v>18</v>
      </c>
      <c r="L22" s="23" t="s">
        <v>19</v>
      </c>
      <c r="N22" s="21"/>
      <c r="O22" s="17"/>
      <c r="P22" s="18" t="e">
        <f t="shared" si="0"/>
        <v>#VALUE!</v>
      </c>
      <c r="Q22" s="22" t="e">
        <f t="shared" si="1"/>
        <v>#VALUE!</v>
      </c>
      <c r="R22" s="23"/>
    </row>
    <row r="23" spans="1:18">
      <c r="A23" s="22">
        <v>46052</v>
      </c>
      <c r="B23" s="23" t="s">
        <v>14</v>
      </c>
      <c r="C23" s="23" t="s">
        <v>600</v>
      </c>
      <c r="D23" s="19"/>
      <c r="E23" s="23" t="s">
        <v>24</v>
      </c>
      <c r="G23" s="23" t="s">
        <v>25</v>
      </c>
      <c r="H23" s="18">
        <f>IF(G23="","",VALUE(SUBSTITUTE(VLOOKUP(G23,'Controle GEral'!F:G,2,FALSE),"R$ ", "")))</f>
        <v>80</v>
      </c>
      <c r="I23" s="23"/>
      <c r="J23" s="18" t="str">
        <f>IF(I23="","",VALUE(SUBSTITUTE(VLOOKUP(I23,'Controle GEral'!H:I,2,FALSE),"R$ ", "")))</f>
        <v/>
      </c>
      <c r="K23" s="23" t="s">
        <v>18</v>
      </c>
      <c r="L23" s="23" t="s">
        <v>28</v>
      </c>
      <c r="N23" s="21"/>
      <c r="O23" s="17"/>
      <c r="P23" s="18" t="e">
        <f t="shared" si="0"/>
        <v>#VALUE!</v>
      </c>
      <c r="Q23" s="22" t="e">
        <f t="shared" si="1"/>
        <v>#VALUE!</v>
      </c>
      <c r="R23" s="23"/>
    </row>
    <row r="24" spans="1:18">
      <c r="A24" s="22">
        <v>46052</v>
      </c>
      <c r="B24" s="23" t="s">
        <v>14</v>
      </c>
      <c r="C24" s="23" t="s">
        <v>601</v>
      </c>
      <c r="D24" s="19"/>
      <c r="E24" s="23" t="s">
        <v>24</v>
      </c>
      <c r="G24" s="23" t="s">
        <v>38</v>
      </c>
      <c r="H24" s="18">
        <f>IF(G24="","",VALUE(SUBSTITUTE(VLOOKUP(G24,'Controle GEral'!F:G,2,FALSE),"R$ ", "")))</f>
        <v>70</v>
      </c>
      <c r="I24" s="23"/>
      <c r="J24" s="18" t="str">
        <f>IF(I24="","",VALUE(SUBSTITUTE(VLOOKUP(I24,'Controle GEral'!H:I,2,FALSE),"R$ ", "")))</f>
        <v/>
      </c>
      <c r="K24" s="23" t="s">
        <v>18</v>
      </c>
      <c r="L24" s="23" t="s">
        <v>34</v>
      </c>
      <c r="N24" s="21"/>
      <c r="O24" s="17"/>
      <c r="P24" s="18" t="e">
        <f t="shared" si="0"/>
        <v>#VALUE!</v>
      </c>
      <c r="Q24" s="22" t="e">
        <f t="shared" si="1"/>
        <v>#VALUE!</v>
      </c>
      <c r="R24" s="23"/>
    </row>
    <row r="25" spans="1:18">
      <c r="A25" s="22">
        <v>46052</v>
      </c>
      <c r="B25" s="23" t="s">
        <v>14</v>
      </c>
      <c r="C25" s="23" t="s">
        <v>602</v>
      </c>
      <c r="D25" s="19"/>
      <c r="E25" s="23" t="s">
        <v>24</v>
      </c>
      <c r="G25" s="23" t="s">
        <v>16</v>
      </c>
      <c r="H25" s="18">
        <f>IF(G25="","",VALUE(SUBSTITUTE(VLOOKUP(G25,'Controle GEral'!F:G,2,FALSE),"R$ ", "")))</f>
        <v>45</v>
      </c>
      <c r="I25" s="23"/>
      <c r="J25" s="18" t="str">
        <f>IF(I25="","",VALUE(SUBSTITUTE(VLOOKUP(I25,'Controle GEral'!H:I,2,FALSE),"R$ ", "")))</f>
        <v/>
      </c>
      <c r="K25" s="23" t="s">
        <v>18</v>
      </c>
      <c r="L25" s="23" t="s">
        <v>34</v>
      </c>
      <c r="N25" s="21"/>
      <c r="O25" s="17"/>
      <c r="P25" s="18" t="e">
        <f t="shared" si="0"/>
        <v>#VALUE!</v>
      </c>
      <c r="Q25" s="22" t="e">
        <f t="shared" si="1"/>
        <v>#VALUE!</v>
      </c>
      <c r="R25" s="23"/>
    </row>
    <row r="26" spans="1:18">
      <c r="A26" s="22">
        <v>46052</v>
      </c>
      <c r="B26" s="23" t="s">
        <v>14</v>
      </c>
      <c r="C26" s="23" t="s">
        <v>603</v>
      </c>
      <c r="D26" s="19"/>
      <c r="E26" s="23" t="s">
        <v>24</v>
      </c>
      <c r="G26" s="23" t="s">
        <v>16</v>
      </c>
      <c r="H26" s="18">
        <f>IF(G26="","",VALUE(SUBSTITUTE(VLOOKUP(G26,'Controle GEral'!F:G,2,FALSE),"R$ ", "")))</f>
        <v>45</v>
      </c>
      <c r="I26" s="23"/>
      <c r="J26" s="18" t="str">
        <f>IF(I26="","",VALUE(SUBSTITUTE(VLOOKUP(I26,'Controle GEral'!H:I,2,FALSE),"R$ ", "")))</f>
        <v/>
      </c>
      <c r="K26" s="23" t="s">
        <v>18</v>
      </c>
      <c r="L26" s="23" t="s">
        <v>34</v>
      </c>
      <c r="N26" s="21"/>
      <c r="O26" s="17"/>
      <c r="P26" s="18" t="e">
        <f t="shared" si="0"/>
        <v>#VALUE!</v>
      </c>
      <c r="Q26" s="22" t="e">
        <f t="shared" si="1"/>
        <v>#VALUE!</v>
      </c>
      <c r="R26" s="23"/>
    </row>
    <row r="27" spans="1:18" ht="12.75">
      <c r="A27" s="22">
        <v>46052</v>
      </c>
      <c r="B27" s="23" t="s">
        <v>14</v>
      </c>
      <c r="C27" s="23" t="s">
        <v>604</v>
      </c>
      <c r="D27" s="19"/>
      <c r="E27" s="23" t="s">
        <v>24</v>
      </c>
      <c r="G27" s="23" t="s">
        <v>38</v>
      </c>
      <c r="H27" s="18">
        <f>IF(G27="","",VALUE(SUBSTITUTE(VLOOKUP(G27,'Controle GEral'!F:G,2,FALSE),"R$ ", "")))</f>
        <v>70</v>
      </c>
      <c r="I27" s="23"/>
      <c r="J27" s="18" t="str">
        <f>IF(I27="","",VALUE(SUBSTITUTE(VLOOKUP(I27,'Controle GEral'!H:I,2,FALSE),"R$ ", "")))</f>
        <v/>
      </c>
      <c r="K27" s="23" t="s">
        <v>18</v>
      </c>
      <c r="L27" s="23" t="s">
        <v>34</v>
      </c>
      <c r="M27" s="17"/>
      <c r="N27" s="21"/>
      <c r="O27" s="17"/>
      <c r="P27" s="18" t="e">
        <f t="shared" si="0"/>
        <v>#VALUE!</v>
      </c>
      <c r="Q27" s="22" t="e">
        <f t="shared" si="1"/>
        <v>#VALUE!</v>
      </c>
      <c r="R27" s="23"/>
    </row>
    <row r="28" spans="1:18" ht="12.75">
      <c r="A28" s="22">
        <v>46052</v>
      </c>
      <c r="B28" s="23" t="s">
        <v>14</v>
      </c>
      <c r="C28" s="23" t="s">
        <v>605</v>
      </c>
      <c r="D28" s="19"/>
      <c r="E28" s="23" t="s">
        <v>24</v>
      </c>
      <c r="G28" s="23" t="s">
        <v>16</v>
      </c>
      <c r="H28" s="18">
        <f>IF(G28="","",VALUE(SUBSTITUTE(VLOOKUP(G28,'Controle GEral'!F:G,2,FALSE),"R$ ", "")))</f>
        <v>45</v>
      </c>
      <c r="I28" s="23"/>
      <c r="J28" s="18" t="str">
        <f>IF(I28="","",VALUE(SUBSTITUTE(VLOOKUP(I28,'Controle GEral'!H:I,2,FALSE),"R$ ", "")))</f>
        <v/>
      </c>
      <c r="K28" s="23" t="s">
        <v>18</v>
      </c>
      <c r="L28" s="23" t="s">
        <v>34</v>
      </c>
      <c r="M28" s="17"/>
      <c r="N28" s="21"/>
      <c r="O28" s="17"/>
      <c r="P28" s="18" t="e">
        <f t="shared" si="0"/>
        <v>#VALUE!</v>
      </c>
      <c r="Q28" s="22" t="e">
        <f t="shared" si="1"/>
        <v>#VALUE!</v>
      </c>
      <c r="R28" s="23"/>
    </row>
    <row r="29" spans="1:18" ht="12.75">
      <c r="A29" s="22">
        <v>46052</v>
      </c>
      <c r="B29" s="23" t="s">
        <v>14</v>
      </c>
      <c r="C29" s="23" t="s">
        <v>606</v>
      </c>
      <c r="D29" s="19"/>
      <c r="E29" s="23" t="s">
        <v>24</v>
      </c>
      <c r="G29" s="23" t="s">
        <v>38</v>
      </c>
      <c r="H29" s="18">
        <f>IF(G29="","",VALUE(SUBSTITUTE(VLOOKUP(G29,'Controle GEral'!F:G,2,FALSE),"R$ ", "")))</f>
        <v>70</v>
      </c>
      <c r="I29" s="23"/>
      <c r="J29" s="18" t="str">
        <f>IF(I29="","",VALUE(SUBSTITUTE(VLOOKUP(I29,'Controle GEral'!H:I,2,FALSE),"R$ ", "")))</f>
        <v/>
      </c>
      <c r="K29" s="23" t="s">
        <v>18</v>
      </c>
      <c r="L29" s="23" t="s">
        <v>34</v>
      </c>
      <c r="M29" s="17"/>
      <c r="N29" s="21"/>
      <c r="O29" s="17"/>
      <c r="P29" s="18" t="e">
        <f t="shared" si="0"/>
        <v>#VALUE!</v>
      </c>
      <c r="Q29" s="22" t="e">
        <f t="shared" si="1"/>
        <v>#VALUE!</v>
      </c>
      <c r="R29" s="23"/>
    </row>
    <row r="30" spans="1:18" ht="12.75">
      <c r="A30" s="22">
        <v>46053</v>
      </c>
      <c r="B30" s="23" t="s">
        <v>14</v>
      </c>
      <c r="C30" s="23" t="s">
        <v>607</v>
      </c>
      <c r="D30" s="19"/>
      <c r="E30" s="23" t="s">
        <v>24</v>
      </c>
      <c r="G30" s="23" t="s">
        <v>12</v>
      </c>
      <c r="H30" s="18" t="e">
        <f>IF(G30="","",VALUE(SUBSTITUTE(VLOOKUP(G30,'Controle GEral'!F:G,2,FALSE),"R$ ", "")))</f>
        <v>#N/A</v>
      </c>
      <c r="I30" s="23"/>
      <c r="J30" s="18" t="str">
        <f>IF(I30="","",VALUE(SUBSTITUTE(VLOOKUP(I30,'Controle GEral'!H:I,2,FALSE),"R$ ", "")))</f>
        <v/>
      </c>
      <c r="K30" s="23" t="s">
        <v>18</v>
      </c>
      <c r="L30" s="23" t="s">
        <v>34</v>
      </c>
      <c r="M30" s="17"/>
      <c r="N30" s="21"/>
      <c r="O30" s="17"/>
      <c r="P30" s="23" t="e">
        <f t="shared" si="0"/>
        <v>#N/A</v>
      </c>
      <c r="Q30" s="22" t="e">
        <f t="shared" si="1"/>
        <v>#VALUE!</v>
      </c>
      <c r="R30" s="23"/>
    </row>
    <row r="31" spans="1:18" ht="12.75">
      <c r="A31" s="22">
        <v>46053</v>
      </c>
      <c r="B31" s="23" t="s">
        <v>14</v>
      </c>
      <c r="C31" s="23" t="s">
        <v>608</v>
      </c>
      <c r="D31" s="19"/>
      <c r="E31" s="23" t="s">
        <v>24</v>
      </c>
      <c r="G31" s="23" t="s">
        <v>16</v>
      </c>
      <c r="H31" s="18">
        <f>IF(G31="","",VALUE(SUBSTITUTE(VLOOKUP(G31,'Controle GEral'!F:G,2,FALSE),"R$ ", "")))</f>
        <v>45</v>
      </c>
      <c r="I31" s="23"/>
      <c r="J31" s="18" t="str">
        <f>IF(I31="","",VALUE(SUBSTITUTE(VLOOKUP(I31,'Controle GEral'!H:I,2,FALSE),"R$ ", "")))</f>
        <v/>
      </c>
      <c r="K31" s="23" t="s">
        <v>18</v>
      </c>
      <c r="L31" s="23" t="s">
        <v>34</v>
      </c>
      <c r="M31" s="17"/>
      <c r="N31" s="21"/>
      <c r="O31" s="17"/>
      <c r="P31" s="18" t="e">
        <f t="shared" si="0"/>
        <v>#VALUE!</v>
      </c>
      <c r="Q31" s="22" t="e">
        <f t="shared" si="1"/>
        <v>#VALUE!</v>
      </c>
      <c r="R31" s="23"/>
    </row>
    <row r="32" spans="1:18" ht="12.75">
      <c r="A32" s="22">
        <v>46053</v>
      </c>
      <c r="B32" s="23" t="s">
        <v>14</v>
      </c>
      <c r="C32" s="23" t="s">
        <v>609</v>
      </c>
      <c r="D32" s="19"/>
      <c r="E32" s="23" t="s">
        <v>24</v>
      </c>
      <c r="G32" s="23" t="s">
        <v>25</v>
      </c>
      <c r="H32" s="18">
        <f>IF(G32="","",VALUE(SUBSTITUTE(VLOOKUP(G32,'Controle GEral'!F:G,2,FALSE),"R$ ", "")))</f>
        <v>80</v>
      </c>
      <c r="I32" s="23" t="s">
        <v>41</v>
      </c>
      <c r="J32" s="18">
        <f>IF(I32="","",VALUE(SUBSTITUTE(VLOOKUP(I32,'Controle GEral'!H:I,2,FALSE),"R$ ", "")))</f>
        <v>25</v>
      </c>
      <c r="K32" s="23" t="s">
        <v>18</v>
      </c>
      <c r="L32" s="23" t="s">
        <v>34</v>
      </c>
      <c r="M32" s="17"/>
      <c r="N32" s="21"/>
      <c r="O32" s="17"/>
      <c r="P32" s="18">
        <f t="shared" si="0"/>
        <v>105</v>
      </c>
      <c r="Q32" s="22" t="e">
        <f t="shared" si="1"/>
        <v>#VALUE!</v>
      </c>
      <c r="R32" s="23"/>
    </row>
    <row r="33" spans="1:18" ht="12.75">
      <c r="A33" s="22">
        <v>46053</v>
      </c>
      <c r="B33" s="23" t="s">
        <v>14</v>
      </c>
      <c r="C33" s="23" t="s">
        <v>610</v>
      </c>
      <c r="D33" s="19"/>
      <c r="E33" s="23" t="s">
        <v>24</v>
      </c>
      <c r="G33" s="23" t="s">
        <v>16</v>
      </c>
      <c r="H33" s="18">
        <f>IF(G33="","",VALUE(SUBSTITUTE(VLOOKUP(G33,'Controle GEral'!F:G,2,FALSE),"R$ ", "")))</f>
        <v>45</v>
      </c>
      <c r="I33" s="23" t="s">
        <v>21</v>
      </c>
      <c r="J33" s="18">
        <f>IF(I33="","",VALUE(SUBSTITUTE(VLOOKUP(I33,'Controle GEral'!H:I,2,FALSE),"R$ ", "")))</f>
        <v>10</v>
      </c>
      <c r="K33" s="23" t="s">
        <v>18</v>
      </c>
      <c r="L33" s="23" t="s">
        <v>34</v>
      </c>
      <c r="M33" s="17"/>
      <c r="N33" s="21"/>
      <c r="O33" s="17"/>
      <c r="P33" s="18">
        <f t="shared" si="0"/>
        <v>55</v>
      </c>
      <c r="Q33" s="22" t="e">
        <f t="shared" si="1"/>
        <v>#VALUE!</v>
      </c>
      <c r="R33" s="23"/>
    </row>
    <row r="34" spans="1:18" ht="12.75">
      <c r="A34" s="22">
        <v>46053</v>
      </c>
      <c r="B34" s="23" t="s">
        <v>14</v>
      </c>
      <c r="C34" s="23" t="s">
        <v>611</v>
      </c>
      <c r="D34" s="19"/>
      <c r="E34" s="23" t="s">
        <v>24</v>
      </c>
      <c r="G34" s="23" t="s">
        <v>16</v>
      </c>
      <c r="H34" s="18">
        <f>IF(G34="","",VALUE(SUBSTITUTE(VLOOKUP(G34,'Controle GEral'!F:G,2,FALSE),"R$ ", "")))</f>
        <v>45</v>
      </c>
      <c r="I34" s="23"/>
      <c r="J34" s="18" t="str">
        <f>IF(I34="","",VALUE(SUBSTITUTE(VLOOKUP(I34,'Controle GEral'!H:I,2,FALSE),"R$ ", "")))</f>
        <v/>
      </c>
      <c r="K34" s="23" t="s">
        <v>18</v>
      </c>
      <c r="L34" s="23" t="s">
        <v>19</v>
      </c>
      <c r="M34" s="17"/>
      <c r="N34" s="21"/>
      <c r="O34" s="17"/>
      <c r="P34" s="18" t="e">
        <f t="shared" si="0"/>
        <v>#VALUE!</v>
      </c>
      <c r="Q34" s="22" t="e">
        <f t="shared" si="1"/>
        <v>#VALUE!</v>
      </c>
      <c r="R34" s="23"/>
    </row>
    <row r="35" spans="1:18" ht="12.75">
      <c r="A35" s="22">
        <v>46053</v>
      </c>
      <c r="B35" s="23" t="s">
        <v>14</v>
      </c>
      <c r="C35" s="23" t="s">
        <v>612</v>
      </c>
      <c r="D35" s="19"/>
      <c r="E35" s="23" t="s">
        <v>24</v>
      </c>
      <c r="G35" s="23" t="s">
        <v>38</v>
      </c>
      <c r="H35" s="18">
        <f>IF(G35="","",VALUE(SUBSTITUTE(VLOOKUP(G35,'Controle GEral'!F:G,2,FALSE),"R$ ", "")))</f>
        <v>70</v>
      </c>
      <c r="I35" s="23"/>
      <c r="J35" s="18" t="str">
        <f>IF(I35="","",VALUE(SUBSTITUTE(VLOOKUP(I35,'Controle GEral'!H:I,2,FALSE),"R$ ", "")))</f>
        <v/>
      </c>
      <c r="K35" s="23" t="s">
        <v>18</v>
      </c>
      <c r="L35" s="23" t="s">
        <v>34</v>
      </c>
      <c r="M35" s="17"/>
      <c r="N35" s="21"/>
      <c r="O35" s="17"/>
      <c r="P35" s="18" t="e">
        <f t="shared" si="0"/>
        <v>#VALUE!</v>
      </c>
      <c r="Q35" s="22" t="e">
        <f t="shared" si="1"/>
        <v>#VALUE!</v>
      </c>
      <c r="R35" s="23"/>
    </row>
    <row r="36" spans="1:18" ht="12.75">
      <c r="A36" s="22">
        <v>46053</v>
      </c>
      <c r="B36" s="23" t="s">
        <v>14</v>
      </c>
      <c r="C36" s="23" t="s">
        <v>613</v>
      </c>
      <c r="D36" s="19"/>
      <c r="E36" s="23" t="s">
        <v>24</v>
      </c>
      <c r="G36" s="23" t="s">
        <v>16</v>
      </c>
      <c r="H36" s="18">
        <f>IF(G36="","",VALUE(SUBSTITUTE(VLOOKUP(G36,'Controle GEral'!F:G,2,FALSE),"R$ ", "")))</f>
        <v>45</v>
      </c>
      <c r="I36" s="23"/>
      <c r="J36" s="18" t="str">
        <f>IF(I36="","",VALUE(SUBSTITUTE(VLOOKUP(I36,'Controle GEral'!H:I,2,FALSE),"R$ ", "")))</f>
        <v/>
      </c>
      <c r="K36" s="23" t="s">
        <v>18</v>
      </c>
      <c r="L36" s="23" t="s">
        <v>39</v>
      </c>
      <c r="M36" s="17"/>
      <c r="N36" s="21"/>
      <c r="O36" s="17"/>
      <c r="P36" s="18" t="e">
        <f t="shared" si="0"/>
        <v>#VALUE!</v>
      </c>
      <c r="Q36" s="22" t="e">
        <f t="shared" si="1"/>
        <v>#VALUE!</v>
      </c>
      <c r="R36" s="23"/>
    </row>
    <row r="37" spans="1:18" ht="12.75">
      <c r="A37" s="22">
        <v>46053</v>
      </c>
      <c r="B37" s="23" t="s">
        <v>14</v>
      </c>
      <c r="C37" s="23" t="s">
        <v>614</v>
      </c>
      <c r="D37" s="19"/>
      <c r="E37" s="23" t="s">
        <v>24</v>
      </c>
      <c r="G37" s="23" t="s">
        <v>16</v>
      </c>
      <c r="H37" s="18">
        <f>IF(G37="","",VALUE(SUBSTITUTE(VLOOKUP(G37,'Controle GEral'!F:G,2,FALSE),"R$ ", "")))</f>
        <v>45</v>
      </c>
      <c r="I37" s="23" t="s">
        <v>21</v>
      </c>
      <c r="J37" s="18">
        <f>IF(I37="","",VALUE(SUBSTITUTE(VLOOKUP(I37,'Controle GEral'!H:I,2,FALSE),"R$ ", "")))</f>
        <v>10</v>
      </c>
      <c r="K37" s="23" t="s">
        <v>18</v>
      </c>
      <c r="L37" s="23" t="s">
        <v>39</v>
      </c>
      <c r="M37" s="17"/>
      <c r="N37" s="21"/>
      <c r="O37" s="17"/>
      <c r="P37" s="18">
        <f t="shared" si="0"/>
        <v>55</v>
      </c>
      <c r="Q37" s="22" t="e">
        <f t="shared" si="1"/>
        <v>#VALUE!</v>
      </c>
      <c r="R37" s="23"/>
    </row>
    <row r="38" spans="1:18" ht="12.75">
      <c r="A38" s="22">
        <v>46053</v>
      </c>
      <c r="B38" s="23" t="s">
        <v>14</v>
      </c>
      <c r="C38" s="23" t="s">
        <v>615</v>
      </c>
      <c r="D38" s="19"/>
      <c r="E38" s="23" t="s">
        <v>24</v>
      </c>
      <c r="G38" s="23" t="s">
        <v>12</v>
      </c>
      <c r="H38" s="18" t="e">
        <f>IF(G38="","",VALUE(SUBSTITUTE(VLOOKUP(G38,'Controle GEral'!F:G,2,FALSE),"R$ ", "")))</f>
        <v>#N/A</v>
      </c>
      <c r="I38" s="23"/>
      <c r="J38" s="18" t="str">
        <f>IF(I38="","",VALUE(SUBSTITUTE(VLOOKUP(I38,'Controle GEral'!H:I,2,FALSE),"R$ ", "")))</f>
        <v/>
      </c>
      <c r="K38" s="23" t="s">
        <v>18</v>
      </c>
      <c r="L38" s="23" t="s">
        <v>34</v>
      </c>
      <c r="M38" s="17"/>
      <c r="N38" s="21"/>
      <c r="O38" s="17"/>
      <c r="P38" s="23" t="e">
        <f t="shared" si="0"/>
        <v>#N/A</v>
      </c>
      <c r="Q38" s="22" t="e">
        <f t="shared" si="1"/>
        <v>#VALUE!</v>
      </c>
      <c r="R38" s="23"/>
    </row>
    <row r="39" spans="1:18" ht="12.75">
      <c r="A39" s="22">
        <v>46053</v>
      </c>
      <c r="B39" s="23" t="s">
        <v>23</v>
      </c>
      <c r="C39" s="23" t="s">
        <v>616</v>
      </c>
      <c r="D39" s="19"/>
      <c r="E39" s="23" t="s">
        <v>24</v>
      </c>
      <c r="G39" s="23" t="s">
        <v>25</v>
      </c>
      <c r="H39" s="18">
        <f>IF(G39="","",VALUE(SUBSTITUTE(VLOOKUP(G39,'Controle GEral'!F:G,2,FALSE),"R$ ", "")))</f>
        <v>80</v>
      </c>
      <c r="I39" s="23"/>
      <c r="J39" s="18" t="str">
        <f>IF(I39="","",VALUE(SUBSTITUTE(VLOOKUP(I39,'Controle GEral'!H:I,2,FALSE),"R$ ", "")))</f>
        <v/>
      </c>
      <c r="K39" s="23" t="s">
        <v>18</v>
      </c>
      <c r="L39" s="23" t="s">
        <v>34</v>
      </c>
      <c r="M39" s="17"/>
      <c r="N39" s="21"/>
      <c r="O39" s="17"/>
      <c r="P39" s="18" t="e">
        <f t="shared" si="0"/>
        <v>#VALUE!</v>
      </c>
      <c r="Q39" s="22" t="e">
        <f t="shared" si="1"/>
        <v>#VALUE!</v>
      </c>
      <c r="R39" s="23"/>
    </row>
    <row r="40" spans="1:18" ht="12.75">
      <c r="A40" s="22">
        <v>46053</v>
      </c>
      <c r="B40" s="23" t="s">
        <v>23</v>
      </c>
      <c r="C40" s="23" t="s">
        <v>617</v>
      </c>
      <c r="D40" s="19"/>
      <c r="E40" s="23" t="s">
        <v>15</v>
      </c>
      <c r="G40" s="23" t="s">
        <v>16</v>
      </c>
      <c r="H40" s="18">
        <f>IF(G40="","",VALUE(SUBSTITUTE(VLOOKUP(G40,'Controle GEral'!F:G,2,FALSE),"R$ ", "")))</f>
        <v>45</v>
      </c>
      <c r="I40" s="23"/>
      <c r="J40" s="18" t="str">
        <f>IF(I40="","",VALUE(SUBSTITUTE(VLOOKUP(I40,'Controle GEral'!H:I,2,FALSE),"R$ ", "")))</f>
        <v/>
      </c>
      <c r="K40" s="23" t="s">
        <v>18</v>
      </c>
      <c r="L40" s="23" t="s">
        <v>34</v>
      </c>
      <c r="M40" s="17"/>
      <c r="N40" s="21"/>
      <c r="O40" s="17"/>
      <c r="P40" s="18" t="e">
        <f t="shared" si="0"/>
        <v>#VALUE!</v>
      </c>
      <c r="Q40" s="22" t="e">
        <f t="shared" si="1"/>
        <v>#VALUE!</v>
      </c>
      <c r="R40" s="23"/>
    </row>
    <row r="41" spans="1:18" ht="12.75">
      <c r="A41" s="22">
        <v>46053</v>
      </c>
      <c r="B41" s="23" t="s">
        <v>23</v>
      </c>
      <c r="C41" s="23" t="s">
        <v>618</v>
      </c>
      <c r="D41" s="19"/>
      <c r="E41" s="23" t="s">
        <v>24</v>
      </c>
      <c r="G41" s="23" t="s">
        <v>16</v>
      </c>
      <c r="H41" s="18">
        <f>IF(G41="","",VALUE(SUBSTITUTE(VLOOKUP(G41,'Controle GEral'!F:G,2,FALSE),"R$ ", "")))</f>
        <v>45</v>
      </c>
      <c r="I41" s="23" t="s">
        <v>21</v>
      </c>
      <c r="J41" s="18">
        <f>IF(I41="","",VALUE(SUBSTITUTE(VLOOKUP(I41,'Controle GEral'!H:I,2,FALSE),"R$ ", "")))</f>
        <v>10</v>
      </c>
      <c r="K41" s="23" t="s">
        <v>18</v>
      </c>
      <c r="L41" s="23" t="s">
        <v>34</v>
      </c>
      <c r="M41" s="17"/>
      <c r="N41" s="21"/>
      <c r="O41" s="17"/>
      <c r="P41" s="18">
        <f t="shared" si="0"/>
        <v>55</v>
      </c>
      <c r="Q41" s="22" t="e">
        <f t="shared" si="1"/>
        <v>#VALUE!</v>
      </c>
      <c r="R41" s="23"/>
    </row>
    <row r="42" spans="1:18" ht="12.75">
      <c r="A42" s="22">
        <v>46053</v>
      </c>
      <c r="B42" s="23" t="s">
        <v>23</v>
      </c>
      <c r="C42" s="23" t="s">
        <v>619</v>
      </c>
      <c r="D42" s="19"/>
      <c r="E42" s="23" t="s">
        <v>24</v>
      </c>
      <c r="G42" s="23" t="s">
        <v>16</v>
      </c>
      <c r="H42" s="18">
        <f>IF(G42="","",VALUE(SUBSTITUTE(VLOOKUP(G42,'Controle GEral'!F:G,2,FALSE),"R$ ", "")))</f>
        <v>45</v>
      </c>
      <c r="I42" s="23"/>
      <c r="J42" s="18" t="str">
        <f>IF(I42="","",VALUE(SUBSTITUTE(VLOOKUP(I42,'Controle GEral'!H:I,2,FALSE),"R$ ", "")))</f>
        <v/>
      </c>
      <c r="K42" s="23" t="s">
        <v>18</v>
      </c>
      <c r="L42" s="23" t="s">
        <v>34</v>
      </c>
      <c r="M42" s="17"/>
      <c r="N42" s="21"/>
      <c r="O42" s="17"/>
      <c r="P42" s="18" t="e">
        <f t="shared" si="0"/>
        <v>#VALUE!</v>
      </c>
      <c r="Q42" s="22" t="e">
        <f t="shared" si="1"/>
        <v>#VALUE!</v>
      </c>
      <c r="R42" s="23"/>
    </row>
    <row r="43" spans="1:18" ht="12.75">
      <c r="A43" s="22">
        <v>46053</v>
      </c>
      <c r="B43" s="23" t="s">
        <v>23</v>
      </c>
      <c r="C43" s="23" t="s">
        <v>620</v>
      </c>
      <c r="D43" s="19"/>
      <c r="E43" s="23" t="s">
        <v>24</v>
      </c>
      <c r="G43" s="23" t="s">
        <v>16</v>
      </c>
      <c r="H43" s="18">
        <f>IF(G43="","",VALUE(SUBSTITUTE(VLOOKUP(G43,'Controle GEral'!F:G,2,FALSE),"R$ ", "")))</f>
        <v>45</v>
      </c>
      <c r="I43" s="23"/>
      <c r="J43" s="18" t="str">
        <f>IF(I43="","",VALUE(SUBSTITUTE(VLOOKUP(I43,'Controle GEral'!H:I,2,FALSE),"R$ ", "")))</f>
        <v/>
      </c>
      <c r="K43" s="23" t="s">
        <v>18</v>
      </c>
      <c r="L43" s="23" t="s">
        <v>34</v>
      </c>
      <c r="M43" s="17"/>
      <c r="N43" s="16"/>
      <c r="O43" s="17"/>
      <c r="P43" s="18" t="e">
        <f t="shared" si="0"/>
        <v>#VALUE!</v>
      </c>
      <c r="Q43" s="22" t="e">
        <f t="shared" si="1"/>
        <v>#VALUE!</v>
      </c>
      <c r="R43" s="23"/>
    </row>
    <row r="44" spans="1:18" ht="12.75">
      <c r="A44" s="22">
        <v>46053</v>
      </c>
      <c r="B44" s="23" t="s">
        <v>23</v>
      </c>
      <c r="C44" s="23" t="s">
        <v>621</v>
      </c>
      <c r="D44" s="19"/>
      <c r="E44" s="23" t="s">
        <v>24</v>
      </c>
      <c r="G44" s="23" t="s">
        <v>25</v>
      </c>
      <c r="H44" s="18">
        <f>IF(G44="","",VALUE(SUBSTITUTE(VLOOKUP(G44,'Controle GEral'!F:G,2,FALSE),"R$ ", "")))</f>
        <v>80</v>
      </c>
      <c r="I44" s="23" t="s">
        <v>21</v>
      </c>
      <c r="J44" s="18">
        <f>IF(I44="","",VALUE(SUBSTITUTE(VLOOKUP(I44,'Controle GEral'!H:I,2,FALSE),"R$ ", "")))</f>
        <v>10</v>
      </c>
      <c r="K44" s="23" t="s">
        <v>18</v>
      </c>
      <c r="L44" s="23" t="s">
        <v>39</v>
      </c>
      <c r="M44" s="17"/>
      <c r="N44" s="16"/>
      <c r="O44" s="17"/>
      <c r="P44" s="18">
        <f t="shared" si="0"/>
        <v>90</v>
      </c>
      <c r="Q44" s="22" t="e">
        <f t="shared" si="1"/>
        <v>#VALUE!</v>
      </c>
      <c r="R44" s="23"/>
    </row>
    <row r="45" spans="1:18" ht="12.75">
      <c r="A45" s="22">
        <v>46054</v>
      </c>
      <c r="B45" s="23" t="s">
        <v>23</v>
      </c>
      <c r="C45" s="23" t="s">
        <v>570</v>
      </c>
      <c r="D45" s="19"/>
      <c r="E45" s="23" t="s">
        <v>15</v>
      </c>
      <c r="G45" s="23" t="s">
        <v>16</v>
      </c>
      <c r="H45" s="18">
        <f>IF(G45="","",VALUE(SUBSTITUTE(VLOOKUP(G45,'Controle GEral'!F:G,2,FALSE),"R$ ", "")))</f>
        <v>45</v>
      </c>
      <c r="I45" s="23"/>
      <c r="J45" s="18" t="str">
        <f>IF(I45="","",VALUE(SUBSTITUTE(VLOOKUP(I45,'Controle GEral'!H:I,2,FALSE),"R$ ", "")))</f>
        <v/>
      </c>
      <c r="K45" s="23" t="s">
        <v>18</v>
      </c>
      <c r="L45" s="23" t="s">
        <v>34</v>
      </c>
      <c r="M45" s="17"/>
      <c r="N45" s="16"/>
      <c r="O45" s="17"/>
      <c r="P45" s="18" t="e">
        <f t="shared" si="0"/>
        <v>#VALUE!</v>
      </c>
      <c r="Q45" s="22" t="e">
        <f t="shared" si="1"/>
        <v>#VALUE!</v>
      </c>
      <c r="R45" s="23"/>
    </row>
    <row r="46" spans="1:18" ht="12.75">
      <c r="A46" s="22">
        <v>46054</v>
      </c>
      <c r="B46" s="23" t="s">
        <v>23</v>
      </c>
      <c r="C46" s="23" t="s">
        <v>622</v>
      </c>
      <c r="D46" s="19"/>
      <c r="E46" s="23" t="s">
        <v>24</v>
      </c>
      <c r="G46" s="23" t="s">
        <v>16</v>
      </c>
      <c r="H46" s="18">
        <f>IF(G46="","",VALUE(SUBSTITUTE(VLOOKUP(G46,'Controle GEral'!F:G,2,FALSE),"R$ ", "")))</f>
        <v>45</v>
      </c>
      <c r="I46" s="23"/>
      <c r="J46" s="18" t="str">
        <f>IF(I46="","",VALUE(SUBSTITUTE(VLOOKUP(I46,'Controle GEral'!H:I,2,FALSE),"R$ ", "")))</f>
        <v/>
      </c>
      <c r="K46" s="23" t="s">
        <v>18</v>
      </c>
      <c r="L46" s="23" t="s">
        <v>28</v>
      </c>
      <c r="M46" s="17"/>
      <c r="N46" s="16"/>
      <c r="O46" s="17"/>
      <c r="P46" s="18" t="e">
        <f t="shared" si="0"/>
        <v>#VALUE!</v>
      </c>
      <c r="Q46" s="22" t="e">
        <f t="shared" si="1"/>
        <v>#VALUE!</v>
      </c>
      <c r="R46" s="23"/>
    </row>
    <row r="47" spans="1:18" ht="12.75">
      <c r="A47" s="22">
        <v>46054</v>
      </c>
      <c r="B47" s="23" t="s">
        <v>23</v>
      </c>
      <c r="C47" s="23" t="s">
        <v>623</v>
      </c>
      <c r="D47" s="19"/>
      <c r="E47" s="23" t="s">
        <v>24</v>
      </c>
      <c r="G47" s="23" t="s">
        <v>16</v>
      </c>
      <c r="H47" s="18">
        <f>IF(G47="","",VALUE(SUBSTITUTE(VLOOKUP(G47,'Controle GEral'!F:G,2,FALSE),"R$ ", "")))</f>
        <v>45</v>
      </c>
      <c r="I47" s="23"/>
      <c r="J47" s="18" t="str">
        <f>IF(I47="","",VALUE(SUBSTITUTE(VLOOKUP(I47,'Controle GEral'!H:I,2,FALSE),"R$ ", "")))</f>
        <v/>
      </c>
      <c r="K47" s="23" t="s">
        <v>18</v>
      </c>
      <c r="L47" s="23" t="s">
        <v>34</v>
      </c>
      <c r="M47" s="17"/>
      <c r="N47" s="16"/>
      <c r="O47" s="17"/>
      <c r="P47" s="18" t="e">
        <f t="shared" si="0"/>
        <v>#VALUE!</v>
      </c>
      <c r="Q47" s="22" t="e">
        <f t="shared" si="1"/>
        <v>#VALUE!</v>
      </c>
      <c r="R47" s="23"/>
    </row>
    <row r="48" spans="1:18" ht="12.75">
      <c r="A48" s="22">
        <v>46054</v>
      </c>
      <c r="B48" s="23" t="s">
        <v>14</v>
      </c>
      <c r="C48" s="23" t="s">
        <v>624</v>
      </c>
      <c r="D48" s="19"/>
      <c r="E48" s="23" t="s">
        <v>24</v>
      </c>
      <c r="G48" s="23" t="s">
        <v>16</v>
      </c>
      <c r="H48" s="18">
        <f>IF(G48="","",VALUE(SUBSTITUTE(VLOOKUP(G48,'Controle GEral'!F:G,2,FALSE),"R$ ", "")))</f>
        <v>45</v>
      </c>
      <c r="I48" s="23"/>
      <c r="J48" s="18" t="str">
        <f>IF(I48="","",VALUE(SUBSTITUTE(VLOOKUP(I48,'Controle GEral'!H:I,2,FALSE),"R$ ", "")))</f>
        <v/>
      </c>
      <c r="K48" s="23" t="s">
        <v>18</v>
      </c>
      <c r="L48" s="23" t="s">
        <v>19</v>
      </c>
      <c r="M48" s="17"/>
      <c r="N48" s="16"/>
      <c r="O48" s="17"/>
      <c r="P48" s="18" t="e">
        <f t="shared" si="0"/>
        <v>#VALUE!</v>
      </c>
      <c r="Q48" s="22" t="e">
        <f t="shared" si="1"/>
        <v>#VALUE!</v>
      </c>
      <c r="R48" s="23"/>
    </row>
    <row r="49" spans="1:18" ht="12.75">
      <c r="A49" s="22">
        <v>46054</v>
      </c>
      <c r="B49" s="23" t="s">
        <v>14</v>
      </c>
      <c r="C49" s="23" t="s">
        <v>625</v>
      </c>
      <c r="D49" s="19"/>
      <c r="E49" s="23" t="s">
        <v>24</v>
      </c>
      <c r="G49" s="23" t="s">
        <v>16</v>
      </c>
      <c r="H49" s="18">
        <f>IF(G49="","",VALUE(SUBSTITUTE(VLOOKUP(G49,'Controle GEral'!F:G,2,FALSE),"R$ ", "")))</f>
        <v>45</v>
      </c>
      <c r="I49" s="23"/>
      <c r="J49" s="18" t="str">
        <f>IF(I49="","",VALUE(SUBSTITUTE(VLOOKUP(I49,'Controle GEral'!H:I,2,FALSE),"R$ ", "")))</f>
        <v/>
      </c>
      <c r="K49" s="23" t="s">
        <v>18</v>
      </c>
      <c r="L49" s="23" t="s">
        <v>34</v>
      </c>
      <c r="M49" s="17"/>
      <c r="N49" s="16"/>
      <c r="O49" s="17"/>
      <c r="P49" s="18" t="e">
        <f t="shared" si="0"/>
        <v>#VALUE!</v>
      </c>
      <c r="Q49" s="22" t="e">
        <f t="shared" si="1"/>
        <v>#VALUE!</v>
      </c>
      <c r="R49" s="23"/>
    </row>
    <row r="50" spans="1:18" ht="12.75">
      <c r="A50" s="22">
        <v>46054</v>
      </c>
      <c r="B50" s="23" t="s">
        <v>14</v>
      </c>
      <c r="C50" s="23" t="s">
        <v>626</v>
      </c>
      <c r="D50" s="19"/>
      <c r="E50" s="23" t="s">
        <v>24</v>
      </c>
      <c r="G50" s="23" t="s">
        <v>16</v>
      </c>
      <c r="H50" s="18">
        <f>IF(G50="","",VALUE(SUBSTITUTE(VLOOKUP(G50,'Controle GEral'!F:G,2,FALSE),"R$ ", "")))</f>
        <v>45</v>
      </c>
      <c r="I50" s="23" t="s">
        <v>21</v>
      </c>
      <c r="J50" s="18">
        <f>IF(I50="","",VALUE(SUBSTITUTE(VLOOKUP(I50,'Controle GEral'!H:I,2,FALSE),"R$ ", "")))</f>
        <v>10</v>
      </c>
      <c r="K50" s="23" t="s">
        <v>18</v>
      </c>
      <c r="L50" s="23" t="s">
        <v>19</v>
      </c>
      <c r="M50" s="17"/>
      <c r="N50" s="16"/>
      <c r="O50" s="17"/>
      <c r="P50" s="18">
        <f t="shared" si="0"/>
        <v>55</v>
      </c>
      <c r="Q50" s="22" t="e">
        <f t="shared" si="1"/>
        <v>#VALUE!</v>
      </c>
      <c r="R50" s="23"/>
    </row>
    <row r="51" spans="1:18" ht="12.75">
      <c r="A51" s="22">
        <v>46055</v>
      </c>
      <c r="B51" s="23" t="s">
        <v>23</v>
      </c>
      <c r="C51" s="23" t="s">
        <v>627</v>
      </c>
      <c r="D51" s="19"/>
      <c r="E51" s="23" t="s">
        <v>24</v>
      </c>
      <c r="G51" s="23" t="s">
        <v>16</v>
      </c>
      <c r="H51" s="18">
        <f>IF(G51="","",VALUE(SUBSTITUTE(VLOOKUP(G51,'Controle GEral'!F:G,2,FALSE),"R$ ", "")))</f>
        <v>45</v>
      </c>
      <c r="I51" s="23" t="s">
        <v>21</v>
      </c>
      <c r="J51" s="18">
        <f>IF(I51="","",VALUE(SUBSTITUTE(VLOOKUP(I51,'Controle GEral'!H:I,2,FALSE),"R$ ", "")))</f>
        <v>10</v>
      </c>
      <c r="K51" s="23" t="s">
        <v>18</v>
      </c>
      <c r="L51" s="23" t="s">
        <v>34</v>
      </c>
      <c r="M51" s="17"/>
      <c r="N51" s="16"/>
      <c r="O51" s="17"/>
      <c r="P51" s="18">
        <f t="shared" si="0"/>
        <v>55</v>
      </c>
      <c r="Q51" s="22" t="e">
        <f t="shared" si="1"/>
        <v>#VALUE!</v>
      </c>
      <c r="R51" s="23"/>
    </row>
    <row r="52" spans="1:18" ht="12.75">
      <c r="A52" s="22">
        <v>46055</v>
      </c>
      <c r="B52" s="23" t="s">
        <v>14</v>
      </c>
      <c r="C52" s="23" t="s">
        <v>628</v>
      </c>
      <c r="D52" s="19"/>
      <c r="E52" s="23" t="s">
        <v>24</v>
      </c>
      <c r="G52" s="23" t="s">
        <v>25</v>
      </c>
      <c r="H52" s="18">
        <f>IF(G52="","",VALUE(SUBSTITUTE(VLOOKUP(G52,'Controle GEral'!F:G,2,FALSE),"R$ ", "")))</f>
        <v>80</v>
      </c>
      <c r="I52" s="23" t="s">
        <v>21</v>
      </c>
      <c r="J52" s="18">
        <f>IF(I52="","",VALUE(SUBSTITUTE(VLOOKUP(I52,'Controle GEral'!H:I,2,FALSE),"R$ ", "")))</f>
        <v>10</v>
      </c>
      <c r="K52" s="23" t="s">
        <v>18</v>
      </c>
      <c r="L52" s="23" t="s">
        <v>34</v>
      </c>
      <c r="M52" s="17"/>
      <c r="N52" s="16"/>
      <c r="O52" s="17"/>
      <c r="P52" s="18">
        <f t="shared" si="0"/>
        <v>90</v>
      </c>
      <c r="Q52" s="22" t="e">
        <f t="shared" si="1"/>
        <v>#VALUE!</v>
      </c>
      <c r="R52" s="23"/>
    </row>
    <row r="53" spans="1:18" ht="12.75">
      <c r="A53" s="22">
        <v>46055</v>
      </c>
      <c r="B53" s="23" t="s">
        <v>14</v>
      </c>
      <c r="C53" s="23" t="s">
        <v>629</v>
      </c>
      <c r="D53" s="19"/>
      <c r="E53" s="23" t="s">
        <v>15</v>
      </c>
      <c r="G53" s="23" t="s">
        <v>16</v>
      </c>
      <c r="H53" s="18">
        <f>IF(G53="","",VALUE(SUBSTITUTE(VLOOKUP(G53,'Controle GEral'!F:G,2,FALSE),"R$ ", "")))</f>
        <v>45</v>
      </c>
      <c r="I53" s="23"/>
      <c r="J53" s="18" t="str">
        <f>IF(I53="","",VALUE(SUBSTITUTE(VLOOKUP(I53,'Controle GEral'!H:I,2,FALSE),"R$ ", "")))</f>
        <v/>
      </c>
      <c r="K53" s="23" t="s">
        <v>18</v>
      </c>
      <c r="L53" s="23" t="s">
        <v>19</v>
      </c>
      <c r="M53" s="17"/>
      <c r="N53" s="16"/>
      <c r="O53" s="17"/>
      <c r="P53" s="18" t="e">
        <f t="shared" si="0"/>
        <v>#VALUE!</v>
      </c>
      <c r="Q53" s="22" t="e">
        <f t="shared" si="1"/>
        <v>#VALUE!</v>
      </c>
      <c r="R53" s="23"/>
    </row>
    <row r="54" spans="1:18" ht="12.75">
      <c r="A54" s="22">
        <v>46055</v>
      </c>
      <c r="B54" s="23" t="s">
        <v>14</v>
      </c>
      <c r="C54" s="23" t="s">
        <v>630</v>
      </c>
      <c r="D54" s="19"/>
      <c r="E54" s="23" t="s">
        <v>24</v>
      </c>
      <c r="G54" s="23" t="s">
        <v>16</v>
      </c>
      <c r="H54" s="18">
        <f>IF(G54="","",VALUE(SUBSTITUTE(VLOOKUP(G54,'Controle GEral'!F:G,2,FALSE),"R$ ", "")))</f>
        <v>45</v>
      </c>
      <c r="I54" s="23"/>
      <c r="J54" s="18" t="str">
        <f>IF(I54="","",VALUE(SUBSTITUTE(VLOOKUP(I54,'Controle GEral'!H:I,2,FALSE),"R$ ", "")))</f>
        <v/>
      </c>
      <c r="K54" s="23" t="s">
        <v>18</v>
      </c>
      <c r="L54" s="23" t="s">
        <v>19</v>
      </c>
      <c r="M54" s="17"/>
      <c r="N54" s="16"/>
      <c r="O54" s="17"/>
      <c r="P54" s="18" t="e">
        <f t="shared" si="0"/>
        <v>#VALUE!</v>
      </c>
      <c r="Q54" s="22" t="e">
        <f t="shared" si="1"/>
        <v>#VALUE!</v>
      </c>
      <c r="R54" s="23"/>
    </row>
    <row r="55" spans="1:18" ht="12.75">
      <c r="A55" s="22">
        <v>46056</v>
      </c>
      <c r="B55" s="23" t="s">
        <v>14</v>
      </c>
      <c r="C55" s="23" t="s">
        <v>631</v>
      </c>
      <c r="D55" s="19"/>
      <c r="E55" s="23" t="s">
        <v>24</v>
      </c>
      <c r="G55" s="23" t="s">
        <v>16</v>
      </c>
      <c r="H55" s="18">
        <f>IF(G55="","",VALUE(SUBSTITUTE(VLOOKUP(G55,'Controle GEral'!F:G,2,FALSE),"R$ ", "")))</f>
        <v>45</v>
      </c>
      <c r="I55" s="23"/>
      <c r="J55" s="18" t="str">
        <f>IF(I55="","",VALUE(SUBSTITUTE(VLOOKUP(I55,'Controle GEral'!H:I,2,FALSE),"R$ ", "")))</f>
        <v/>
      </c>
      <c r="K55" s="23" t="s">
        <v>18</v>
      </c>
      <c r="L55" s="23" t="s">
        <v>34</v>
      </c>
      <c r="M55" s="17"/>
      <c r="N55" s="16"/>
      <c r="O55" s="17"/>
      <c r="P55" s="18" t="e">
        <f t="shared" si="0"/>
        <v>#VALUE!</v>
      </c>
      <c r="Q55" s="22" t="e">
        <f t="shared" si="1"/>
        <v>#VALUE!</v>
      </c>
      <c r="R55" s="23"/>
    </row>
    <row r="56" spans="1:18" ht="12.75">
      <c r="A56" s="22">
        <v>46056</v>
      </c>
      <c r="B56" s="23" t="s">
        <v>23</v>
      </c>
      <c r="C56" s="23" t="s">
        <v>632</v>
      </c>
      <c r="D56" s="19"/>
      <c r="E56" s="23" t="s">
        <v>24</v>
      </c>
      <c r="G56" s="23" t="s">
        <v>16</v>
      </c>
      <c r="H56" s="18">
        <f>IF(G56="","",VALUE(SUBSTITUTE(VLOOKUP(G56,'Controle GEral'!F:G,2,FALSE),"R$ ", "")))</f>
        <v>45</v>
      </c>
      <c r="I56" s="23"/>
      <c r="J56" s="18" t="str">
        <f>IF(I56="","",VALUE(SUBSTITUTE(VLOOKUP(I56,'Controle GEral'!H:I,2,FALSE),"R$ ", "")))</f>
        <v/>
      </c>
      <c r="K56" s="23" t="s">
        <v>18</v>
      </c>
      <c r="L56" s="23" t="s">
        <v>28</v>
      </c>
      <c r="M56" s="17"/>
      <c r="N56" s="16"/>
      <c r="O56" s="17"/>
      <c r="P56" s="18" t="e">
        <f t="shared" si="0"/>
        <v>#VALUE!</v>
      </c>
      <c r="Q56" s="22" t="e">
        <f t="shared" si="1"/>
        <v>#VALUE!</v>
      </c>
      <c r="R56" s="23"/>
    </row>
    <row r="57" spans="1:18" ht="12.75">
      <c r="A57" s="22">
        <v>46056</v>
      </c>
      <c r="B57" s="23" t="s">
        <v>14</v>
      </c>
      <c r="C57" s="23" t="s">
        <v>633</v>
      </c>
      <c r="D57" s="19"/>
      <c r="E57" s="23" t="s">
        <v>24</v>
      </c>
      <c r="G57" s="23" t="s">
        <v>16</v>
      </c>
      <c r="H57" s="18">
        <f>IF(G57="","",VALUE(SUBSTITUTE(VLOOKUP(G57,'Controle GEral'!F:G,2,FALSE),"R$ ", "")))</f>
        <v>45</v>
      </c>
      <c r="I57" s="23" t="s">
        <v>21</v>
      </c>
      <c r="J57" s="18">
        <f>IF(I57="","",VALUE(SUBSTITUTE(VLOOKUP(I57,'Controle GEral'!H:I,2,FALSE),"R$ ", "")))</f>
        <v>10</v>
      </c>
      <c r="K57" s="23" t="s">
        <v>18</v>
      </c>
      <c r="L57" s="23" t="s">
        <v>39</v>
      </c>
      <c r="M57" s="17"/>
      <c r="N57" s="16"/>
      <c r="O57" s="17"/>
      <c r="P57" s="18">
        <f t="shared" si="0"/>
        <v>55</v>
      </c>
      <c r="Q57" s="22" t="e">
        <f t="shared" si="1"/>
        <v>#VALUE!</v>
      </c>
      <c r="R57" s="23"/>
    </row>
    <row r="58" spans="1:18" ht="12.75">
      <c r="A58" s="22">
        <v>46056</v>
      </c>
      <c r="B58" s="23" t="s">
        <v>23</v>
      </c>
      <c r="C58" s="23" t="s">
        <v>634</v>
      </c>
      <c r="D58" s="19"/>
      <c r="E58" s="23" t="s">
        <v>15</v>
      </c>
      <c r="G58" s="23" t="s">
        <v>16</v>
      </c>
      <c r="H58" s="18">
        <f>IF(G58="","",VALUE(SUBSTITUTE(VLOOKUP(G58,'Controle GEral'!F:G,2,FALSE),"R$ ", "")))</f>
        <v>45</v>
      </c>
      <c r="I58" s="23"/>
      <c r="J58" s="18" t="str">
        <f>IF(I58="","",VALUE(SUBSTITUTE(VLOOKUP(I58,'Controle GEral'!H:I,2,FALSE),"R$ ", "")))</f>
        <v/>
      </c>
      <c r="K58" s="23" t="s">
        <v>18</v>
      </c>
      <c r="L58" s="23" t="s">
        <v>39</v>
      </c>
      <c r="M58" s="17"/>
      <c r="N58" s="16"/>
      <c r="O58" s="17"/>
      <c r="P58" s="18" t="e">
        <f t="shared" si="0"/>
        <v>#VALUE!</v>
      </c>
      <c r="Q58" s="22" t="e">
        <f t="shared" si="1"/>
        <v>#VALUE!</v>
      </c>
      <c r="R58" s="23"/>
    </row>
    <row r="59" spans="1:18" ht="12.75">
      <c r="A59" s="22">
        <v>46056</v>
      </c>
      <c r="B59" s="23" t="s">
        <v>14</v>
      </c>
      <c r="C59" s="23" t="s">
        <v>635</v>
      </c>
      <c r="D59" s="19"/>
      <c r="E59" s="23" t="s">
        <v>24</v>
      </c>
      <c r="G59" s="23" t="s">
        <v>16</v>
      </c>
      <c r="H59" s="18">
        <f>IF(G59="","",VALUE(SUBSTITUTE(VLOOKUP(G59,'Controle GEral'!F:G,2,FALSE),"R$ ", "")))</f>
        <v>45</v>
      </c>
      <c r="I59" s="23" t="s">
        <v>30</v>
      </c>
      <c r="J59" s="18">
        <f>IF(I59="","",VALUE(SUBSTITUTE(VLOOKUP(I59,'Controle GEral'!H:I,2,FALSE),"R$ ", "")))</f>
        <v>40</v>
      </c>
      <c r="K59" s="23" t="s">
        <v>18</v>
      </c>
      <c r="L59" s="23" t="s">
        <v>34</v>
      </c>
      <c r="M59" s="17"/>
      <c r="N59" s="16"/>
      <c r="O59" s="17"/>
      <c r="P59" s="18">
        <f t="shared" si="0"/>
        <v>85</v>
      </c>
      <c r="Q59" s="22" t="e">
        <f t="shared" si="1"/>
        <v>#VALUE!</v>
      </c>
      <c r="R59" s="23"/>
    </row>
    <row r="60" spans="1:18" ht="12.75">
      <c r="A60" s="22">
        <v>46056</v>
      </c>
      <c r="B60" s="23" t="s">
        <v>23</v>
      </c>
      <c r="C60" s="23" t="s">
        <v>636</v>
      </c>
      <c r="D60" s="19"/>
      <c r="E60" s="23" t="s">
        <v>24</v>
      </c>
      <c r="G60" s="23" t="s">
        <v>16</v>
      </c>
      <c r="H60" s="18">
        <f>IF(G60="","",VALUE(SUBSTITUTE(VLOOKUP(G60,'Controle GEral'!F:G,2,FALSE),"R$ ", "")))</f>
        <v>45</v>
      </c>
      <c r="I60" s="23"/>
      <c r="J60" s="18" t="str">
        <f>IF(I60="","",VALUE(SUBSTITUTE(VLOOKUP(I60,'Controle GEral'!H:I,2,FALSE),"R$ ", "")))</f>
        <v/>
      </c>
      <c r="K60" s="23" t="s">
        <v>18</v>
      </c>
      <c r="L60" s="23" t="s">
        <v>34</v>
      </c>
      <c r="M60" s="17"/>
      <c r="N60" s="16"/>
      <c r="O60" s="17"/>
      <c r="P60" s="18" t="e">
        <f t="shared" si="0"/>
        <v>#VALUE!</v>
      </c>
      <c r="Q60" s="22" t="e">
        <f t="shared" si="1"/>
        <v>#VALUE!</v>
      </c>
      <c r="R60" s="23"/>
    </row>
    <row r="61" spans="1:18" ht="12.75">
      <c r="A61" s="22">
        <v>46056</v>
      </c>
      <c r="B61" s="23" t="s">
        <v>14</v>
      </c>
      <c r="C61" s="23" t="s">
        <v>637</v>
      </c>
      <c r="D61" s="19"/>
      <c r="E61" s="23" t="s">
        <v>24</v>
      </c>
      <c r="G61" s="23" t="s">
        <v>16</v>
      </c>
      <c r="H61" s="18">
        <f>IF(G61="","",VALUE(SUBSTITUTE(VLOOKUP(G61,'Controle GEral'!F:G,2,FALSE),"R$ ", "")))</f>
        <v>45</v>
      </c>
      <c r="I61" s="23"/>
      <c r="J61" s="18" t="str">
        <f>IF(I61="","",VALUE(SUBSTITUTE(VLOOKUP(I61,'Controle GEral'!H:I,2,FALSE),"R$ ", "")))</f>
        <v/>
      </c>
      <c r="K61" s="23" t="s">
        <v>18</v>
      </c>
      <c r="L61" s="23" t="s">
        <v>34</v>
      </c>
      <c r="M61" s="17"/>
      <c r="N61" s="16"/>
      <c r="O61" s="17"/>
      <c r="P61" s="18" t="e">
        <f t="shared" si="0"/>
        <v>#VALUE!</v>
      </c>
      <c r="Q61" s="22" t="e">
        <f t="shared" si="1"/>
        <v>#VALUE!</v>
      </c>
      <c r="R61" s="23"/>
    </row>
    <row r="62" spans="1:18" ht="12.75">
      <c r="A62" s="22">
        <v>46056</v>
      </c>
      <c r="B62" s="23" t="s">
        <v>23</v>
      </c>
      <c r="C62" s="23" t="s">
        <v>595</v>
      </c>
      <c r="D62" s="19"/>
      <c r="E62" s="23" t="s">
        <v>24</v>
      </c>
      <c r="G62" s="23" t="s">
        <v>16</v>
      </c>
      <c r="H62" s="18">
        <f>IF(G62="","",VALUE(SUBSTITUTE(VLOOKUP(G62,'Controle GEral'!F:G,2,FALSE),"R$ ", "")))</f>
        <v>45</v>
      </c>
      <c r="I62" s="23"/>
      <c r="J62" s="18" t="str">
        <f>IF(I62="","",VALUE(SUBSTITUTE(VLOOKUP(I62,'Controle GEral'!H:I,2,FALSE),"R$ ", "")))</f>
        <v/>
      </c>
      <c r="K62" s="23" t="s">
        <v>18</v>
      </c>
      <c r="L62" s="23" t="s">
        <v>19</v>
      </c>
      <c r="M62" s="17"/>
      <c r="N62" s="16"/>
      <c r="O62" s="17"/>
      <c r="P62" s="18" t="e">
        <f t="shared" si="0"/>
        <v>#VALUE!</v>
      </c>
      <c r="Q62" s="22" t="e">
        <f t="shared" si="1"/>
        <v>#VALUE!</v>
      </c>
      <c r="R62" s="23"/>
    </row>
    <row r="63" spans="1:18" ht="12.75">
      <c r="A63" s="22">
        <v>46057</v>
      </c>
      <c r="B63" s="23" t="s">
        <v>23</v>
      </c>
      <c r="C63" s="23" t="s">
        <v>638</v>
      </c>
      <c r="D63" s="19"/>
      <c r="E63" s="23" t="s">
        <v>24</v>
      </c>
      <c r="G63" s="23" t="s">
        <v>16</v>
      </c>
      <c r="H63" s="18">
        <f>IF(G63="","",VALUE(SUBSTITUTE(VLOOKUP(G63,'Controle GEral'!F:G,2,FALSE),"R$ ", "")))</f>
        <v>45</v>
      </c>
      <c r="I63" s="23"/>
      <c r="J63" s="18" t="str">
        <f>IF(I63="","",VALUE(SUBSTITUTE(VLOOKUP(I63,'Controle GEral'!H:I,2,FALSE),"R$ ", "")))</f>
        <v/>
      </c>
      <c r="K63" s="23" t="s">
        <v>18</v>
      </c>
      <c r="L63" s="23" t="s">
        <v>34</v>
      </c>
      <c r="M63" s="17"/>
      <c r="N63" s="16"/>
      <c r="O63" s="17"/>
      <c r="P63" s="18" t="e">
        <f t="shared" si="0"/>
        <v>#VALUE!</v>
      </c>
      <c r="Q63" s="22" t="e">
        <f t="shared" si="1"/>
        <v>#VALUE!</v>
      </c>
      <c r="R63" s="23"/>
    </row>
    <row r="64" spans="1:18" ht="12.75">
      <c r="A64" s="22">
        <v>46057</v>
      </c>
      <c r="B64" s="23" t="s">
        <v>14</v>
      </c>
      <c r="C64" s="23" t="s">
        <v>639</v>
      </c>
      <c r="D64" s="19"/>
      <c r="E64" s="23" t="s">
        <v>24</v>
      </c>
      <c r="G64" s="23" t="s">
        <v>16</v>
      </c>
      <c r="H64" s="18">
        <f>IF(G64="","",VALUE(SUBSTITUTE(VLOOKUP(G64,'Controle GEral'!F:G,2,FALSE),"R$ ", "")))</f>
        <v>45</v>
      </c>
      <c r="I64" s="23"/>
      <c r="J64" s="18" t="str">
        <f>IF(I64="","",VALUE(SUBSTITUTE(VLOOKUP(I64,'Controle GEral'!H:I,2,FALSE),"R$ ", "")))</f>
        <v/>
      </c>
      <c r="K64" s="23" t="s">
        <v>18</v>
      </c>
      <c r="L64" s="23" t="s">
        <v>34</v>
      </c>
      <c r="M64" s="17"/>
      <c r="N64" s="16"/>
      <c r="O64" s="17"/>
      <c r="P64" s="18" t="e">
        <f t="shared" si="0"/>
        <v>#VALUE!</v>
      </c>
      <c r="Q64" s="22" t="e">
        <f t="shared" si="1"/>
        <v>#VALUE!</v>
      </c>
      <c r="R64" s="23"/>
    </row>
    <row r="65" spans="1:18" ht="12.75">
      <c r="A65" s="22">
        <v>46057</v>
      </c>
      <c r="B65" s="23" t="s">
        <v>14</v>
      </c>
      <c r="C65" s="23" t="s">
        <v>640</v>
      </c>
      <c r="D65" s="19"/>
      <c r="E65" s="23" t="s">
        <v>24</v>
      </c>
      <c r="G65" s="23" t="s">
        <v>16</v>
      </c>
      <c r="H65" s="18">
        <f>IF(G65="","",VALUE(SUBSTITUTE(VLOOKUP(G65,'Controle GEral'!F:G,2,FALSE),"R$ ", "")))</f>
        <v>45</v>
      </c>
      <c r="I65" s="23"/>
      <c r="J65" s="18" t="str">
        <f>IF(I65="","",VALUE(SUBSTITUTE(VLOOKUP(I65,'Controle GEral'!H:I,2,FALSE),"R$ ", "")))</f>
        <v/>
      </c>
      <c r="K65" s="23" t="s">
        <v>18</v>
      </c>
      <c r="L65" s="23" t="s">
        <v>34</v>
      </c>
      <c r="M65" s="17"/>
      <c r="N65" s="16"/>
      <c r="O65" s="17"/>
      <c r="P65" s="18" t="e">
        <f t="shared" si="0"/>
        <v>#VALUE!</v>
      </c>
      <c r="Q65" s="22" t="e">
        <f t="shared" si="1"/>
        <v>#VALUE!</v>
      </c>
      <c r="R65" s="23"/>
    </row>
    <row r="66" spans="1:18" ht="12.75">
      <c r="A66" s="22">
        <v>46057</v>
      </c>
      <c r="B66" s="23" t="s">
        <v>23</v>
      </c>
      <c r="C66" s="23" t="s">
        <v>641</v>
      </c>
      <c r="D66" s="19"/>
      <c r="E66" s="23" t="s">
        <v>15</v>
      </c>
      <c r="G66" s="23" t="s">
        <v>25</v>
      </c>
      <c r="H66" s="18">
        <f>IF(G66="","",VALUE(SUBSTITUTE(VLOOKUP(G66,'Controle GEral'!F:G,2,FALSE),"R$ ", "")))</f>
        <v>80</v>
      </c>
      <c r="I66" s="23" t="s">
        <v>50</v>
      </c>
      <c r="J66" s="18">
        <f>IF(I66="","",VALUE(SUBSTITUTE(VLOOKUP(I66,'Controle GEral'!H:I,2,FALSE),"R$ ", "")))</f>
        <v>20</v>
      </c>
      <c r="K66" s="23" t="s">
        <v>18</v>
      </c>
      <c r="L66" s="23" t="s">
        <v>28</v>
      </c>
      <c r="M66" s="17"/>
      <c r="N66" s="16"/>
      <c r="O66" s="17"/>
      <c r="P66" s="18">
        <f t="shared" ref="P66:P129" si="2">H66+J66+S66</f>
        <v>100</v>
      </c>
      <c r="Q66" s="22" t="e">
        <f t="shared" ref="Q66:Q129" si="3">DATEVALUE(A66)</f>
        <v>#VALUE!</v>
      </c>
      <c r="R66" s="23"/>
    </row>
    <row r="67" spans="1:18" ht="12.75">
      <c r="A67" s="22">
        <v>46057</v>
      </c>
      <c r="B67" s="23" t="s">
        <v>23</v>
      </c>
      <c r="C67" s="23" t="s">
        <v>642</v>
      </c>
      <c r="D67" s="19"/>
      <c r="E67" s="23" t="s">
        <v>24</v>
      </c>
      <c r="G67" s="23" t="s">
        <v>32</v>
      </c>
      <c r="H67" s="18">
        <f>IF(G67="","",VALUE(SUBSTITUTE(VLOOKUP(G67,'Controle GEral'!F:G,2,FALSE),"R$ ", "")))</f>
        <v>35</v>
      </c>
      <c r="I67" s="23"/>
      <c r="J67" s="18" t="str">
        <f>IF(I67="","",VALUE(SUBSTITUTE(VLOOKUP(I67,'Controle GEral'!H:I,2,FALSE),"R$ ", "")))</f>
        <v/>
      </c>
      <c r="K67" s="23" t="s">
        <v>18</v>
      </c>
      <c r="L67" s="23" t="s">
        <v>34</v>
      </c>
      <c r="M67" s="17"/>
      <c r="N67" s="16"/>
      <c r="O67" s="17"/>
      <c r="P67" s="18" t="e">
        <f t="shared" si="2"/>
        <v>#VALUE!</v>
      </c>
      <c r="Q67" s="22" t="e">
        <f t="shared" si="3"/>
        <v>#VALUE!</v>
      </c>
      <c r="R67" s="23"/>
    </row>
    <row r="68" spans="1:18" ht="12.75">
      <c r="A68" s="22">
        <v>46057</v>
      </c>
      <c r="B68" s="23" t="s">
        <v>23</v>
      </c>
      <c r="C68" s="23" t="s">
        <v>643</v>
      </c>
      <c r="D68" s="19"/>
      <c r="E68" s="23" t="s">
        <v>24</v>
      </c>
      <c r="G68" s="23" t="s">
        <v>16</v>
      </c>
      <c r="H68" s="18">
        <f>IF(G68="","",VALUE(SUBSTITUTE(VLOOKUP(G68,'Controle GEral'!F:G,2,FALSE),"R$ ", "")))</f>
        <v>45</v>
      </c>
      <c r="I68" s="23" t="s">
        <v>21</v>
      </c>
      <c r="J68" s="18">
        <f>IF(I68="","",VALUE(SUBSTITUTE(VLOOKUP(I68,'Controle GEral'!H:I,2,FALSE),"R$ ", "")))</f>
        <v>10</v>
      </c>
      <c r="K68" s="23" t="s">
        <v>18</v>
      </c>
      <c r="L68" s="23" t="s">
        <v>28</v>
      </c>
      <c r="M68" s="17"/>
      <c r="N68" s="16"/>
      <c r="O68" s="17"/>
      <c r="P68" s="18">
        <f t="shared" si="2"/>
        <v>55</v>
      </c>
      <c r="Q68" s="22" t="e">
        <f t="shared" si="3"/>
        <v>#VALUE!</v>
      </c>
      <c r="R68" s="23"/>
    </row>
    <row r="69" spans="1:18" ht="12.75">
      <c r="A69" s="22">
        <v>46057</v>
      </c>
      <c r="B69" s="23" t="s">
        <v>23</v>
      </c>
      <c r="C69" s="23" t="s">
        <v>578</v>
      </c>
      <c r="D69" s="19"/>
      <c r="E69" s="23" t="s">
        <v>24</v>
      </c>
      <c r="G69" s="23" t="s">
        <v>46</v>
      </c>
      <c r="H69" s="18">
        <f>IF(G69="","",VALUE(SUBSTITUTE(VLOOKUP(G69,'Controle GEral'!F:G,2,FALSE),"R$ ", "")))</f>
        <v>30</v>
      </c>
      <c r="I69" s="23"/>
      <c r="J69" s="18" t="str">
        <f>IF(I69="","",VALUE(SUBSTITUTE(VLOOKUP(I69,'Controle GEral'!H:I,2,FALSE),"R$ ", "")))</f>
        <v/>
      </c>
      <c r="K69" s="23" t="s">
        <v>18</v>
      </c>
      <c r="L69" s="23" t="s">
        <v>34</v>
      </c>
      <c r="M69" s="17"/>
      <c r="N69" s="16"/>
      <c r="O69" s="17"/>
      <c r="P69" s="18" t="e">
        <f t="shared" si="2"/>
        <v>#VALUE!</v>
      </c>
      <c r="Q69" s="22" t="e">
        <f t="shared" si="3"/>
        <v>#VALUE!</v>
      </c>
      <c r="R69" s="23"/>
    </row>
    <row r="70" spans="1:18" ht="12.75">
      <c r="A70" s="22">
        <v>46057</v>
      </c>
      <c r="B70" s="23" t="s">
        <v>23</v>
      </c>
      <c r="C70" s="23" t="s">
        <v>644</v>
      </c>
      <c r="D70" s="19"/>
      <c r="E70" s="23" t="s">
        <v>24</v>
      </c>
      <c r="G70" s="23" t="s">
        <v>16</v>
      </c>
      <c r="H70" s="18">
        <f>IF(G70="","",VALUE(SUBSTITUTE(VLOOKUP(G70,'Controle GEral'!F:G,2,FALSE),"R$ ", "")))</f>
        <v>45</v>
      </c>
      <c r="I70" s="23" t="s">
        <v>21</v>
      </c>
      <c r="J70" s="18">
        <f>IF(I70="","",VALUE(SUBSTITUTE(VLOOKUP(I70,'Controle GEral'!H:I,2,FALSE),"R$ ", "")))</f>
        <v>10</v>
      </c>
      <c r="K70" s="23" t="s">
        <v>18</v>
      </c>
      <c r="L70" s="23" t="s">
        <v>19</v>
      </c>
      <c r="M70" s="17"/>
      <c r="N70" s="16"/>
      <c r="O70" s="17"/>
      <c r="P70" s="18">
        <f t="shared" si="2"/>
        <v>55</v>
      </c>
      <c r="Q70" s="22" t="e">
        <f t="shared" si="3"/>
        <v>#VALUE!</v>
      </c>
      <c r="R70" s="23"/>
    </row>
    <row r="71" spans="1:18" ht="12.75">
      <c r="A71" s="22">
        <v>46057</v>
      </c>
      <c r="B71" s="23" t="s">
        <v>14</v>
      </c>
      <c r="C71" s="23" t="s">
        <v>645</v>
      </c>
      <c r="D71" s="19"/>
      <c r="E71" s="23" t="s">
        <v>24</v>
      </c>
      <c r="G71" s="23" t="s">
        <v>25</v>
      </c>
      <c r="H71" s="18">
        <f>IF(G71="","",VALUE(SUBSTITUTE(VLOOKUP(G71,'Controle GEral'!F:G,2,FALSE),"R$ ", "")))</f>
        <v>80</v>
      </c>
      <c r="I71" s="23" t="s">
        <v>21</v>
      </c>
      <c r="J71" s="18">
        <f>IF(I71="","",VALUE(SUBSTITUTE(VLOOKUP(I71,'Controle GEral'!H:I,2,FALSE),"R$ ", "")))</f>
        <v>10</v>
      </c>
      <c r="K71" s="23" t="s">
        <v>18</v>
      </c>
      <c r="L71" s="23" t="s">
        <v>34</v>
      </c>
      <c r="M71" s="17"/>
      <c r="N71" s="16"/>
      <c r="O71" s="17"/>
      <c r="P71" s="18">
        <f t="shared" si="2"/>
        <v>90</v>
      </c>
      <c r="Q71" s="22" t="e">
        <f t="shared" si="3"/>
        <v>#VALUE!</v>
      </c>
      <c r="R71" s="23"/>
    </row>
    <row r="72" spans="1:18" ht="12.75">
      <c r="A72" s="22">
        <v>46057</v>
      </c>
      <c r="B72" s="23" t="s">
        <v>14</v>
      </c>
      <c r="C72" s="23" t="s">
        <v>646</v>
      </c>
      <c r="D72" s="19"/>
      <c r="E72" s="23" t="s">
        <v>24</v>
      </c>
      <c r="G72" s="23" t="s">
        <v>25</v>
      </c>
      <c r="H72" s="18">
        <f>IF(G72="","",VALUE(SUBSTITUTE(VLOOKUP(G72,'Controle GEral'!F:G,2,FALSE),"R$ ", "")))</f>
        <v>80</v>
      </c>
      <c r="I72" s="23"/>
      <c r="J72" s="18" t="str">
        <f>IF(I72="","",VALUE(SUBSTITUTE(VLOOKUP(I72,'Controle GEral'!H:I,2,FALSE),"R$ ", "")))</f>
        <v/>
      </c>
      <c r="K72" s="23" t="s">
        <v>18</v>
      </c>
      <c r="L72" s="23" t="s">
        <v>34</v>
      </c>
      <c r="M72" s="17"/>
      <c r="N72" s="16"/>
      <c r="O72" s="17"/>
      <c r="P72" s="18" t="e">
        <f t="shared" si="2"/>
        <v>#VALUE!</v>
      </c>
      <c r="Q72" s="22" t="e">
        <f t="shared" si="3"/>
        <v>#VALUE!</v>
      </c>
      <c r="R72" s="23"/>
    </row>
    <row r="73" spans="1:18" ht="12.75">
      <c r="A73" s="22">
        <v>46057</v>
      </c>
      <c r="B73" s="23" t="s">
        <v>14</v>
      </c>
      <c r="C73" s="23" t="s">
        <v>647</v>
      </c>
      <c r="D73" s="19"/>
      <c r="E73" s="23" t="s">
        <v>24</v>
      </c>
      <c r="G73" s="23" t="s">
        <v>16</v>
      </c>
      <c r="H73" s="18">
        <f>IF(G73="","",VALUE(SUBSTITUTE(VLOOKUP(G73,'Controle GEral'!F:G,2,FALSE),"R$ ", "")))</f>
        <v>45</v>
      </c>
      <c r="I73" s="23"/>
      <c r="J73" s="18" t="str">
        <f>IF(I73="","",VALUE(SUBSTITUTE(VLOOKUP(I73,'Controle GEral'!H:I,2,FALSE),"R$ ", "")))</f>
        <v/>
      </c>
      <c r="K73" s="23" t="s">
        <v>18</v>
      </c>
      <c r="L73" s="23" t="s">
        <v>28</v>
      </c>
      <c r="M73" s="17"/>
      <c r="N73" s="16"/>
      <c r="O73" s="17"/>
      <c r="P73" s="18" t="e">
        <f t="shared" si="2"/>
        <v>#VALUE!</v>
      </c>
      <c r="Q73" s="22" t="e">
        <f t="shared" si="3"/>
        <v>#VALUE!</v>
      </c>
      <c r="R73" s="23"/>
    </row>
    <row r="74" spans="1:18" ht="12.75">
      <c r="A74" s="22">
        <v>46057</v>
      </c>
      <c r="B74" s="23" t="s">
        <v>14</v>
      </c>
      <c r="C74" s="23" t="s">
        <v>648</v>
      </c>
      <c r="D74" s="19"/>
      <c r="E74" s="23" t="s">
        <v>24</v>
      </c>
      <c r="G74" s="23" t="s">
        <v>16</v>
      </c>
      <c r="H74" s="18">
        <f>IF(G74="","",VALUE(SUBSTITUTE(VLOOKUP(G74,'Controle GEral'!F:G,2,FALSE),"R$ ", "")))</f>
        <v>45</v>
      </c>
      <c r="I74" s="23"/>
      <c r="J74" s="18" t="str">
        <f>IF(I74="","",VALUE(SUBSTITUTE(VLOOKUP(I74,'Controle GEral'!H:I,2,FALSE),"R$ ", "")))</f>
        <v/>
      </c>
      <c r="K74" s="23" t="s">
        <v>18</v>
      </c>
      <c r="L74" s="23" t="s">
        <v>39</v>
      </c>
      <c r="M74" s="17"/>
      <c r="N74" s="16"/>
      <c r="O74" s="17"/>
      <c r="P74" s="18" t="e">
        <f t="shared" si="2"/>
        <v>#VALUE!</v>
      </c>
      <c r="Q74" s="22" t="e">
        <f t="shared" si="3"/>
        <v>#VALUE!</v>
      </c>
      <c r="R74" s="23"/>
    </row>
    <row r="75" spans="1:18" ht="12.75">
      <c r="A75" s="22">
        <v>46058</v>
      </c>
      <c r="B75" s="23" t="s">
        <v>23</v>
      </c>
      <c r="C75" s="23" t="s">
        <v>649</v>
      </c>
      <c r="D75" s="19"/>
      <c r="E75" s="23" t="s">
        <v>15</v>
      </c>
      <c r="G75" s="23" t="s">
        <v>16</v>
      </c>
      <c r="H75" s="18">
        <f>IF(G75="","",VALUE(SUBSTITUTE(VLOOKUP(G75,'Controle GEral'!F:G,2,FALSE),"R$ ", "")))</f>
        <v>45</v>
      </c>
      <c r="I75" s="23"/>
      <c r="J75" s="18" t="str">
        <f>IF(I75="","",VALUE(SUBSTITUTE(VLOOKUP(I75,'Controle GEral'!H:I,2,FALSE),"R$ ", "")))</f>
        <v/>
      </c>
      <c r="K75" s="23" t="s">
        <v>18</v>
      </c>
      <c r="L75" s="23" t="s">
        <v>34</v>
      </c>
      <c r="M75" s="17"/>
      <c r="N75" s="16"/>
      <c r="O75" s="17"/>
      <c r="P75" s="18" t="e">
        <f t="shared" si="2"/>
        <v>#VALUE!</v>
      </c>
      <c r="Q75" s="22" t="e">
        <f t="shared" si="3"/>
        <v>#VALUE!</v>
      </c>
      <c r="R75" s="23"/>
    </row>
    <row r="76" spans="1:18" ht="12.75">
      <c r="A76" s="22">
        <v>46058</v>
      </c>
      <c r="B76" s="23" t="s">
        <v>23</v>
      </c>
      <c r="C76" s="23" t="s">
        <v>650</v>
      </c>
      <c r="D76" s="19"/>
      <c r="E76" s="23" t="s">
        <v>15</v>
      </c>
      <c r="G76" s="23" t="s">
        <v>16</v>
      </c>
      <c r="H76" s="18">
        <f>IF(G76="","",VALUE(SUBSTITUTE(VLOOKUP(G76,'Controle GEral'!F:G,2,FALSE),"R$ ", "")))</f>
        <v>45</v>
      </c>
      <c r="I76" s="23"/>
      <c r="J76" s="18" t="str">
        <f>IF(I76="","",VALUE(SUBSTITUTE(VLOOKUP(I76,'Controle GEral'!H:I,2,FALSE),"R$ ", "")))</f>
        <v/>
      </c>
      <c r="K76" s="23" t="s">
        <v>18</v>
      </c>
      <c r="L76" s="23" t="s">
        <v>19</v>
      </c>
      <c r="M76" s="17"/>
      <c r="N76" s="16"/>
      <c r="O76" s="17"/>
      <c r="P76" s="18" t="e">
        <f t="shared" si="2"/>
        <v>#VALUE!</v>
      </c>
      <c r="Q76" s="22" t="e">
        <f t="shared" si="3"/>
        <v>#VALUE!</v>
      </c>
      <c r="R76" s="23"/>
    </row>
    <row r="77" spans="1:18" ht="12.75">
      <c r="A77" s="22">
        <v>46058</v>
      </c>
      <c r="B77" s="23" t="s">
        <v>23</v>
      </c>
      <c r="C77" s="23" t="s">
        <v>651</v>
      </c>
      <c r="D77" s="19"/>
      <c r="E77" s="23" t="s">
        <v>24</v>
      </c>
      <c r="G77" s="23" t="s">
        <v>16</v>
      </c>
      <c r="H77" s="18">
        <f>IF(G77="","",VALUE(SUBSTITUTE(VLOOKUP(G77,'Controle GEral'!F:G,2,FALSE),"R$ ", "")))</f>
        <v>45</v>
      </c>
      <c r="I77" s="23"/>
      <c r="J77" s="18" t="str">
        <f>IF(I77="","",VALUE(SUBSTITUTE(VLOOKUP(I77,'Controle GEral'!H:I,2,FALSE),"R$ ", "")))</f>
        <v/>
      </c>
      <c r="K77" s="23" t="s">
        <v>18</v>
      </c>
      <c r="L77" s="23" t="s">
        <v>28</v>
      </c>
      <c r="M77" s="17"/>
      <c r="N77" s="16"/>
      <c r="O77" s="17"/>
      <c r="P77" s="18" t="e">
        <f t="shared" si="2"/>
        <v>#VALUE!</v>
      </c>
      <c r="Q77" s="22" t="e">
        <f t="shared" si="3"/>
        <v>#VALUE!</v>
      </c>
      <c r="R77" s="23"/>
    </row>
    <row r="78" spans="1:18" ht="12.75">
      <c r="A78" s="22">
        <v>46058</v>
      </c>
      <c r="B78" s="23" t="s">
        <v>14</v>
      </c>
      <c r="C78" s="23" t="s">
        <v>652</v>
      </c>
      <c r="D78" s="19"/>
      <c r="E78" s="23" t="s">
        <v>24</v>
      </c>
      <c r="G78" s="23" t="s">
        <v>25</v>
      </c>
      <c r="H78" s="18">
        <f>IF(G78="","",VALUE(SUBSTITUTE(VLOOKUP(G78,'Controle GEral'!F:G,2,FALSE),"R$ ", "")))</f>
        <v>80</v>
      </c>
      <c r="I78" s="23"/>
      <c r="J78" s="18" t="str">
        <f>IF(I78="","",VALUE(SUBSTITUTE(VLOOKUP(I78,'Controle GEral'!H:I,2,FALSE),"R$ ", "")))</f>
        <v/>
      </c>
      <c r="K78" s="23" t="s">
        <v>18</v>
      </c>
      <c r="L78" s="23" t="s">
        <v>34</v>
      </c>
      <c r="M78" s="17"/>
      <c r="N78" s="16"/>
      <c r="O78" s="17"/>
      <c r="P78" s="18" t="e">
        <f t="shared" si="2"/>
        <v>#VALUE!</v>
      </c>
      <c r="Q78" s="22" t="e">
        <f t="shared" si="3"/>
        <v>#VALUE!</v>
      </c>
      <c r="R78" s="23"/>
    </row>
    <row r="79" spans="1:18" ht="12.75">
      <c r="A79" s="22">
        <v>46058</v>
      </c>
      <c r="B79" s="23" t="s">
        <v>14</v>
      </c>
      <c r="C79" s="23" t="s">
        <v>653</v>
      </c>
      <c r="D79" s="19"/>
      <c r="E79" s="23" t="s">
        <v>24</v>
      </c>
      <c r="G79" s="23" t="s">
        <v>16</v>
      </c>
      <c r="H79" s="18">
        <f>IF(G79="","",VALUE(SUBSTITUTE(VLOOKUP(G79,'Controle GEral'!F:G,2,FALSE),"R$ ", "")))</f>
        <v>45</v>
      </c>
      <c r="I79" s="23"/>
      <c r="J79" s="18" t="str">
        <f>IF(I79="","",VALUE(SUBSTITUTE(VLOOKUP(I79,'Controle GEral'!H:I,2,FALSE),"R$ ", "")))</f>
        <v/>
      </c>
      <c r="K79" s="23" t="s">
        <v>18</v>
      </c>
      <c r="L79" s="23" t="s">
        <v>19</v>
      </c>
      <c r="M79" s="17"/>
      <c r="N79" s="16"/>
      <c r="O79" s="17"/>
      <c r="P79" s="18" t="e">
        <f t="shared" si="2"/>
        <v>#VALUE!</v>
      </c>
      <c r="Q79" s="22" t="e">
        <f t="shared" si="3"/>
        <v>#VALUE!</v>
      </c>
      <c r="R79" s="23"/>
    </row>
    <row r="80" spans="1:18" ht="12.75">
      <c r="A80" s="22">
        <v>46058</v>
      </c>
      <c r="B80" s="23" t="s">
        <v>23</v>
      </c>
      <c r="C80" s="23" t="s">
        <v>654</v>
      </c>
      <c r="D80" s="19"/>
      <c r="E80" s="23" t="s">
        <v>24</v>
      </c>
      <c r="G80" s="23" t="s">
        <v>16</v>
      </c>
      <c r="H80" s="18">
        <f>IF(G80="","",VALUE(SUBSTITUTE(VLOOKUP(G80,'Controle GEral'!F:G,2,FALSE),"R$ ", "")))</f>
        <v>45</v>
      </c>
      <c r="I80" s="23"/>
      <c r="J80" s="18" t="str">
        <f>IF(I80="","",VALUE(SUBSTITUTE(VLOOKUP(I80,'Controle GEral'!H:I,2,FALSE),"R$ ", "")))</f>
        <v/>
      </c>
      <c r="K80" s="23" t="s">
        <v>18</v>
      </c>
      <c r="L80" s="23" t="s">
        <v>34</v>
      </c>
      <c r="M80" s="17"/>
      <c r="N80" s="16"/>
      <c r="O80" s="17"/>
      <c r="P80" s="18" t="e">
        <f t="shared" si="2"/>
        <v>#VALUE!</v>
      </c>
      <c r="Q80" s="22" t="e">
        <f t="shared" si="3"/>
        <v>#VALUE!</v>
      </c>
      <c r="R80" s="23"/>
    </row>
    <row r="81" spans="1:18" ht="12.75">
      <c r="A81" s="22">
        <v>46058</v>
      </c>
      <c r="B81" s="23" t="s">
        <v>23</v>
      </c>
      <c r="C81" s="23" t="s">
        <v>655</v>
      </c>
      <c r="D81" s="19"/>
      <c r="E81" s="23" t="s">
        <v>24</v>
      </c>
      <c r="G81" s="23" t="s">
        <v>16</v>
      </c>
      <c r="H81" s="18">
        <f>IF(G81="","",VALUE(SUBSTITUTE(VLOOKUP(G81,'Controle GEral'!F:G,2,FALSE),"R$ ", "")))</f>
        <v>45</v>
      </c>
      <c r="I81" s="23" t="s">
        <v>36</v>
      </c>
      <c r="J81" s="18">
        <f>IF(I81="","",VALUE(SUBSTITUTE(VLOOKUP(I81,'Controle GEral'!H:I,2,FALSE),"R$ ", "")))</f>
        <v>70</v>
      </c>
      <c r="K81" s="23" t="s">
        <v>18</v>
      </c>
      <c r="L81" s="23" t="s">
        <v>34</v>
      </c>
      <c r="M81" s="17"/>
      <c r="N81" s="16"/>
      <c r="O81" s="17"/>
      <c r="P81" s="18">
        <f t="shared" si="2"/>
        <v>115</v>
      </c>
      <c r="Q81" s="22" t="e">
        <f t="shared" si="3"/>
        <v>#VALUE!</v>
      </c>
      <c r="R81" s="23"/>
    </row>
    <row r="82" spans="1:18" ht="12.75">
      <c r="A82" s="22">
        <v>46058</v>
      </c>
      <c r="B82" s="23" t="s">
        <v>14</v>
      </c>
      <c r="C82" s="23" t="s">
        <v>656</v>
      </c>
      <c r="D82" s="19"/>
      <c r="E82" s="23" t="s">
        <v>24</v>
      </c>
      <c r="G82" s="23" t="s">
        <v>12</v>
      </c>
      <c r="H82" s="18" t="e">
        <f>IF(G82="","",VALUE(SUBSTITUTE(VLOOKUP(G82,'Controle GEral'!F:G,2,FALSE),"R$ ", "")))</f>
        <v>#N/A</v>
      </c>
      <c r="I82" s="23"/>
      <c r="J82" s="18" t="str">
        <f>IF(I82="","",VALUE(SUBSTITUTE(VLOOKUP(I82,'Controle GEral'!H:I,2,FALSE),"R$ ", "")))</f>
        <v/>
      </c>
      <c r="K82" s="23" t="s">
        <v>18</v>
      </c>
      <c r="L82" s="23" t="s">
        <v>28</v>
      </c>
      <c r="M82" s="17"/>
      <c r="N82" s="16"/>
      <c r="O82" s="17"/>
      <c r="P82" s="23" t="e">
        <f t="shared" si="2"/>
        <v>#N/A</v>
      </c>
      <c r="Q82" s="22" t="e">
        <f t="shared" si="3"/>
        <v>#VALUE!</v>
      </c>
      <c r="R82" s="23"/>
    </row>
    <row r="83" spans="1:18" ht="12.75">
      <c r="A83" s="22">
        <v>46058</v>
      </c>
      <c r="B83" s="23" t="s">
        <v>14</v>
      </c>
      <c r="C83" s="23" t="s">
        <v>657</v>
      </c>
      <c r="D83" s="19"/>
      <c r="E83" s="23" t="s">
        <v>24</v>
      </c>
      <c r="G83" s="23" t="s">
        <v>25</v>
      </c>
      <c r="H83" s="18">
        <f>IF(G83="","",VALUE(SUBSTITUTE(VLOOKUP(G83,'Controle GEral'!F:G,2,FALSE),"R$ ", "")))</f>
        <v>80</v>
      </c>
      <c r="I83" s="23"/>
      <c r="J83" s="18" t="str">
        <f>IF(I83="","",VALUE(SUBSTITUTE(VLOOKUP(I83,'Controle GEral'!H:I,2,FALSE),"R$ ", "")))</f>
        <v/>
      </c>
      <c r="K83" s="23" t="s">
        <v>18</v>
      </c>
      <c r="L83" s="23" t="s">
        <v>34</v>
      </c>
      <c r="M83" s="17"/>
      <c r="N83" s="16"/>
      <c r="O83" s="17"/>
      <c r="P83" s="18" t="e">
        <f t="shared" si="2"/>
        <v>#VALUE!</v>
      </c>
      <c r="Q83" s="22" t="e">
        <f t="shared" si="3"/>
        <v>#VALUE!</v>
      </c>
      <c r="R83" s="23"/>
    </row>
    <row r="84" spans="1:18" ht="12.75">
      <c r="A84" s="22">
        <v>46058</v>
      </c>
      <c r="B84" s="23" t="s">
        <v>14</v>
      </c>
      <c r="C84" s="23" t="s">
        <v>658</v>
      </c>
      <c r="D84" s="19"/>
      <c r="E84" s="23" t="s">
        <v>24</v>
      </c>
      <c r="G84" s="23" t="s">
        <v>16</v>
      </c>
      <c r="H84" s="18">
        <f>IF(G84="","",VALUE(SUBSTITUTE(VLOOKUP(G84,'Controle GEral'!F:G,2,FALSE),"R$ ", "")))</f>
        <v>45</v>
      </c>
      <c r="I84" s="23" t="s">
        <v>21</v>
      </c>
      <c r="J84" s="18">
        <f>IF(I84="","",VALUE(SUBSTITUTE(VLOOKUP(I84,'Controle GEral'!H:I,2,FALSE),"R$ ", "")))</f>
        <v>10</v>
      </c>
      <c r="K84" s="23" t="s">
        <v>18</v>
      </c>
      <c r="L84" s="23" t="s">
        <v>34</v>
      </c>
      <c r="M84" s="17"/>
      <c r="N84" s="16"/>
      <c r="O84" s="17"/>
      <c r="P84" s="18">
        <f t="shared" si="2"/>
        <v>55</v>
      </c>
      <c r="Q84" s="22" t="e">
        <f t="shared" si="3"/>
        <v>#VALUE!</v>
      </c>
      <c r="R84" s="23"/>
    </row>
    <row r="85" spans="1:18" ht="12.75">
      <c r="A85" s="22">
        <v>46058</v>
      </c>
      <c r="B85" s="23" t="s">
        <v>14</v>
      </c>
      <c r="C85" s="23" t="s">
        <v>659</v>
      </c>
      <c r="D85" s="19"/>
      <c r="E85" s="23" t="s">
        <v>24</v>
      </c>
      <c r="G85" s="23" t="s">
        <v>16</v>
      </c>
      <c r="H85" s="18">
        <f>IF(G85="","",VALUE(SUBSTITUTE(VLOOKUP(G85,'Controle GEral'!F:G,2,FALSE),"R$ ", "")))</f>
        <v>45</v>
      </c>
      <c r="I85" s="23" t="s">
        <v>21</v>
      </c>
      <c r="J85" s="18">
        <f>IF(I85="","",VALUE(SUBSTITUTE(VLOOKUP(I85,'Controle GEral'!H:I,2,FALSE),"R$ ", "")))</f>
        <v>10</v>
      </c>
      <c r="K85" s="23" t="s">
        <v>18</v>
      </c>
      <c r="L85" s="23" t="s">
        <v>34</v>
      </c>
      <c r="M85" s="17"/>
      <c r="N85" s="16"/>
      <c r="O85" s="17"/>
      <c r="P85" s="18">
        <f t="shared" si="2"/>
        <v>55</v>
      </c>
      <c r="Q85" s="22" t="e">
        <f t="shared" si="3"/>
        <v>#VALUE!</v>
      </c>
      <c r="R85" s="23"/>
    </row>
    <row r="86" spans="1:18" ht="12.75">
      <c r="A86" s="22">
        <v>46059</v>
      </c>
      <c r="B86" s="23" t="s">
        <v>14</v>
      </c>
      <c r="C86" s="23" t="s">
        <v>660</v>
      </c>
      <c r="D86" s="19"/>
      <c r="E86" s="23" t="s">
        <v>24</v>
      </c>
      <c r="G86" s="23" t="s">
        <v>16</v>
      </c>
      <c r="H86" s="18">
        <f>IF(G86="","",VALUE(SUBSTITUTE(VLOOKUP(G86,'Controle GEral'!F:G,2,FALSE),"R$ ", "")))</f>
        <v>45</v>
      </c>
      <c r="I86" s="23" t="s">
        <v>21</v>
      </c>
      <c r="J86" s="18">
        <f>IF(I86="","",VALUE(SUBSTITUTE(VLOOKUP(I86,'Controle GEral'!H:I,2,FALSE),"R$ ", "")))</f>
        <v>10</v>
      </c>
      <c r="K86" s="23" t="s">
        <v>18</v>
      </c>
      <c r="L86" s="23" t="s">
        <v>34</v>
      </c>
      <c r="M86" s="17"/>
      <c r="N86" s="16"/>
      <c r="O86" s="17"/>
      <c r="P86" s="18">
        <f t="shared" si="2"/>
        <v>55</v>
      </c>
      <c r="Q86" s="22" t="e">
        <f t="shared" si="3"/>
        <v>#VALUE!</v>
      </c>
      <c r="R86" s="23"/>
    </row>
    <row r="87" spans="1:18" ht="12.75">
      <c r="A87" s="22">
        <v>46059</v>
      </c>
      <c r="B87" s="23" t="s">
        <v>14</v>
      </c>
      <c r="C87" s="23" t="s">
        <v>599</v>
      </c>
      <c r="D87" s="19"/>
      <c r="E87" s="23" t="s">
        <v>24</v>
      </c>
      <c r="G87" s="23" t="s">
        <v>32</v>
      </c>
      <c r="H87" s="18">
        <f>IF(G87="","",VALUE(SUBSTITUTE(VLOOKUP(G87,'Controle GEral'!F:G,2,FALSE),"R$ ", "")))</f>
        <v>35</v>
      </c>
      <c r="I87" s="23"/>
      <c r="J87" s="18" t="str">
        <f>IF(I87="","",VALUE(SUBSTITUTE(VLOOKUP(I87,'Controle GEral'!H:I,2,FALSE),"R$ ", "")))</f>
        <v/>
      </c>
      <c r="K87" s="23" t="s">
        <v>18</v>
      </c>
      <c r="L87" s="23" t="s">
        <v>19</v>
      </c>
      <c r="M87" s="17"/>
      <c r="N87" s="16"/>
      <c r="O87" s="17"/>
      <c r="P87" s="18" t="e">
        <f t="shared" si="2"/>
        <v>#VALUE!</v>
      </c>
      <c r="Q87" s="22" t="e">
        <f t="shared" si="3"/>
        <v>#VALUE!</v>
      </c>
      <c r="R87" s="23"/>
    </row>
    <row r="88" spans="1:18" ht="12.75">
      <c r="A88" s="22">
        <v>46059</v>
      </c>
      <c r="B88" s="23" t="s">
        <v>14</v>
      </c>
      <c r="C88" s="23" t="s">
        <v>661</v>
      </c>
      <c r="D88" s="19"/>
      <c r="E88" s="23" t="s">
        <v>24</v>
      </c>
      <c r="G88" s="23" t="s">
        <v>38</v>
      </c>
      <c r="H88" s="18">
        <f>IF(G88="","",VALUE(SUBSTITUTE(VLOOKUP(G88,'Controle GEral'!F:G,2,FALSE),"R$ ", "")))</f>
        <v>70</v>
      </c>
      <c r="I88" s="23"/>
      <c r="J88" s="18" t="str">
        <f>IF(I88="","",VALUE(SUBSTITUTE(VLOOKUP(I88,'Controle GEral'!H:I,2,FALSE),"R$ ", "")))</f>
        <v/>
      </c>
      <c r="K88" s="23" t="s">
        <v>18</v>
      </c>
      <c r="L88" s="23" t="s">
        <v>34</v>
      </c>
      <c r="M88" s="17"/>
      <c r="N88" s="16"/>
      <c r="O88" s="17"/>
      <c r="P88" s="18" t="e">
        <f t="shared" si="2"/>
        <v>#VALUE!</v>
      </c>
      <c r="Q88" s="22" t="e">
        <f t="shared" si="3"/>
        <v>#VALUE!</v>
      </c>
      <c r="R88" s="23"/>
    </row>
    <row r="89" spans="1:18" ht="12.75">
      <c r="A89" s="22">
        <v>46059</v>
      </c>
      <c r="B89" s="23" t="s">
        <v>14</v>
      </c>
      <c r="C89" s="23" t="s">
        <v>662</v>
      </c>
      <c r="D89" s="19"/>
      <c r="E89" s="23" t="s">
        <v>24</v>
      </c>
      <c r="G89" s="23" t="s">
        <v>25</v>
      </c>
      <c r="H89" s="18">
        <f>IF(G89="","",VALUE(SUBSTITUTE(VLOOKUP(G89,'Controle GEral'!F:G,2,FALSE),"R$ ", "")))</f>
        <v>80</v>
      </c>
      <c r="I89" s="23"/>
      <c r="J89" s="18" t="str">
        <f>IF(I89="","",VALUE(SUBSTITUTE(VLOOKUP(I89,'Controle GEral'!H:I,2,FALSE),"R$ ", "")))</f>
        <v/>
      </c>
      <c r="K89" s="23" t="s">
        <v>18</v>
      </c>
      <c r="L89" s="23" t="s">
        <v>34</v>
      </c>
      <c r="M89" s="17"/>
      <c r="N89" s="16"/>
      <c r="O89" s="17"/>
      <c r="P89" s="18" t="e">
        <f t="shared" si="2"/>
        <v>#VALUE!</v>
      </c>
      <c r="Q89" s="22" t="e">
        <f t="shared" si="3"/>
        <v>#VALUE!</v>
      </c>
      <c r="R89" s="23"/>
    </row>
    <row r="90" spans="1:18" ht="12.75">
      <c r="A90" s="22">
        <v>46059</v>
      </c>
      <c r="B90" s="23" t="s">
        <v>14</v>
      </c>
      <c r="C90" s="23" t="s">
        <v>663</v>
      </c>
      <c r="D90" s="19"/>
      <c r="E90" s="23" t="s">
        <v>24</v>
      </c>
      <c r="G90" s="23" t="s">
        <v>16</v>
      </c>
      <c r="H90" s="18">
        <f>IF(G90="","",VALUE(SUBSTITUTE(VLOOKUP(G90,'Controle GEral'!F:G,2,FALSE),"R$ ", "")))</f>
        <v>45</v>
      </c>
      <c r="I90" s="23"/>
      <c r="J90" s="18" t="str">
        <f>IF(I90="","",VALUE(SUBSTITUTE(VLOOKUP(I90,'Controle GEral'!H:I,2,FALSE),"R$ ", "")))</f>
        <v/>
      </c>
      <c r="K90" s="23" t="s">
        <v>18</v>
      </c>
      <c r="L90" s="23" t="s">
        <v>34</v>
      </c>
      <c r="M90" s="17"/>
      <c r="N90" s="16"/>
      <c r="O90" s="17"/>
      <c r="P90" s="18" t="e">
        <f t="shared" si="2"/>
        <v>#VALUE!</v>
      </c>
      <c r="Q90" s="22" t="e">
        <f t="shared" si="3"/>
        <v>#VALUE!</v>
      </c>
      <c r="R90" s="23"/>
    </row>
    <row r="91" spans="1:18" ht="12.75">
      <c r="A91" s="22">
        <v>46059</v>
      </c>
      <c r="B91" s="23" t="s">
        <v>14</v>
      </c>
      <c r="C91" s="23" t="s">
        <v>664</v>
      </c>
      <c r="D91" s="19"/>
      <c r="E91" s="23" t="s">
        <v>24</v>
      </c>
      <c r="G91" s="23" t="s">
        <v>38</v>
      </c>
      <c r="H91" s="18">
        <f>IF(G91="","",VALUE(SUBSTITUTE(VLOOKUP(G91,'Controle GEral'!F:G,2,FALSE),"R$ ", "")))</f>
        <v>70</v>
      </c>
      <c r="I91" s="23"/>
      <c r="J91" s="18" t="str">
        <f>IF(I91="","",VALUE(SUBSTITUTE(VLOOKUP(I91,'Controle GEral'!H:I,2,FALSE),"R$ ", "")))</f>
        <v/>
      </c>
      <c r="K91" s="23" t="s">
        <v>18</v>
      </c>
      <c r="L91" s="23" t="s">
        <v>34</v>
      </c>
      <c r="M91" s="17"/>
      <c r="N91" s="16"/>
      <c r="O91" s="17"/>
      <c r="P91" s="18" t="e">
        <f t="shared" si="2"/>
        <v>#VALUE!</v>
      </c>
      <c r="Q91" s="22" t="e">
        <f t="shared" si="3"/>
        <v>#VALUE!</v>
      </c>
      <c r="R91" s="23"/>
    </row>
    <row r="92" spans="1:18" ht="12.75">
      <c r="A92" s="22">
        <v>46059</v>
      </c>
      <c r="B92" s="23" t="s">
        <v>23</v>
      </c>
      <c r="C92" s="23" t="s">
        <v>665</v>
      </c>
      <c r="D92" s="19"/>
      <c r="E92" s="23" t="s">
        <v>24</v>
      </c>
      <c r="G92" s="23" t="s">
        <v>16</v>
      </c>
      <c r="H92" s="18">
        <f>IF(G92="","",VALUE(SUBSTITUTE(VLOOKUP(G92,'Controle GEral'!F:G,2,FALSE),"R$ ", "")))</f>
        <v>45</v>
      </c>
      <c r="I92" s="23"/>
      <c r="J92" s="18" t="str">
        <f>IF(I92="","",VALUE(SUBSTITUTE(VLOOKUP(I92,'Controle GEral'!H:I,2,FALSE),"R$ ", "")))</f>
        <v/>
      </c>
      <c r="K92" s="23" t="s">
        <v>18</v>
      </c>
      <c r="L92" s="23" t="s">
        <v>28</v>
      </c>
      <c r="M92" s="17"/>
      <c r="N92" s="16"/>
      <c r="O92" s="17"/>
      <c r="P92" s="18" t="e">
        <f t="shared" si="2"/>
        <v>#VALUE!</v>
      </c>
      <c r="Q92" s="22" t="e">
        <f t="shared" si="3"/>
        <v>#VALUE!</v>
      </c>
      <c r="R92" s="23"/>
    </row>
    <row r="93" spans="1:18" ht="12.75">
      <c r="A93" s="22">
        <v>46059</v>
      </c>
      <c r="B93" s="23" t="s">
        <v>23</v>
      </c>
      <c r="C93" s="23" t="s">
        <v>666</v>
      </c>
      <c r="D93" s="19"/>
      <c r="E93" s="23" t="s">
        <v>24</v>
      </c>
      <c r="G93" s="23" t="s">
        <v>16</v>
      </c>
      <c r="H93" s="18">
        <f>IF(G93="","",VALUE(SUBSTITUTE(VLOOKUP(G93,'Controle GEral'!F:G,2,FALSE),"R$ ", "")))</f>
        <v>45</v>
      </c>
      <c r="I93" s="23"/>
      <c r="J93" s="18" t="str">
        <f>IF(I93="","",VALUE(SUBSTITUTE(VLOOKUP(I93,'Controle GEral'!H:I,2,FALSE),"R$ ", "")))</f>
        <v/>
      </c>
      <c r="K93" s="23" t="s">
        <v>18</v>
      </c>
      <c r="L93" s="23" t="s">
        <v>34</v>
      </c>
      <c r="M93" s="17"/>
      <c r="N93" s="16"/>
      <c r="O93" s="17"/>
      <c r="P93" s="18" t="e">
        <f t="shared" si="2"/>
        <v>#VALUE!</v>
      </c>
      <c r="Q93" s="22" t="e">
        <f t="shared" si="3"/>
        <v>#VALUE!</v>
      </c>
      <c r="R93" s="23"/>
    </row>
    <row r="94" spans="1:18" ht="12.75">
      <c r="A94" s="22">
        <v>46059</v>
      </c>
      <c r="B94" s="23" t="s">
        <v>23</v>
      </c>
      <c r="C94" s="23" t="s">
        <v>667</v>
      </c>
      <c r="D94" s="19"/>
      <c r="E94" s="23" t="s">
        <v>24</v>
      </c>
      <c r="G94" s="23" t="s">
        <v>16</v>
      </c>
      <c r="H94" s="18">
        <f>IF(G94="","",VALUE(SUBSTITUTE(VLOOKUP(G94,'Controle GEral'!F:G,2,FALSE),"R$ ", "")))</f>
        <v>45</v>
      </c>
      <c r="I94" s="23"/>
      <c r="J94" s="18" t="str">
        <f>IF(I94="","",VALUE(SUBSTITUTE(VLOOKUP(I94,'Controle GEral'!H:I,2,FALSE),"R$ ", "")))</f>
        <v/>
      </c>
      <c r="K94" s="23" t="s">
        <v>18</v>
      </c>
      <c r="L94" s="23" t="s">
        <v>19</v>
      </c>
      <c r="M94" s="17"/>
      <c r="N94" s="16"/>
      <c r="O94" s="17"/>
      <c r="P94" s="18" t="e">
        <f t="shared" si="2"/>
        <v>#VALUE!</v>
      </c>
      <c r="Q94" s="22" t="e">
        <f t="shared" si="3"/>
        <v>#VALUE!</v>
      </c>
      <c r="R94" s="23"/>
    </row>
    <row r="95" spans="1:18" ht="12.75">
      <c r="A95" s="22">
        <v>46059</v>
      </c>
      <c r="B95" s="23" t="s">
        <v>23</v>
      </c>
      <c r="C95" s="23" t="s">
        <v>668</v>
      </c>
      <c r="D95" s="19"/>
      <c r="E95" s="23" t="s">
        <v>24</v>
      </c>
      <c r="G95" s="23" t="s">
        <v>25</v>
      </c>
      <c r="H95" s="18">
        <f>IF(G95="","",VALUE(SUBSTITUTE(VLOOKUP(G95,'Controle GEral'!F:G,2,FALSE),"R$ ", "")))</f>
        <v>80</v>
      </c>
      <c r="I95" s="23"/>
      <c r="J95" s="18" t="str">
        <f>IF(I95="","",VALUE(SUBSTITUTE(VLOOKUP(I95,'Controle GEral'!H:I,2,FALSE),"R$ ", "")))</f>
        <v/>
      </c>
      <c r="K95" s="23" t="s">
        <v>18</v>
      </c>
      <c r="L95" s="23" t="s">
        <v>34</v>
      </c>
      <c r="M95" s="17"/>
      <c r="N95" s="16"/>
      <c r="O95" s="17"/>
      <c r="P95" s="18" t="e">
        <f t="shared" si="2"/>
        <v>#VALUE!</v>
      </c>
      <c r="Q95" s="22" t="e">
        <f t="shared" si="3"/>
        <v>#VALUE!</v>
      </c>
      <c r="R95" s="23"/>
    </row>
    <row r="96" spans="1:18" ht="12.75">
      <c r="A96" s="22">
        <v>46059</v>
      </c>
      <c r="B96" s="23" t="s">
        <v>23</v>
      </c>
      <c r="C96" s="23" t="s">
        <v>606</v>
      </c>
      <c r="D96" s="19"/>
      <c r="E96" s="23" t="s">
        <v>24</v>
      </c>
      <c r="G96" s="23" t="s">
        <v>16</v>
      </c>
      <c r="H96" s="18">
        <f>IF(G96="","",VALUE(SUBSTITUTE(VLOOKUP(G96,'Controle GEral'!F:G,2,FALSE),"R$ ", "")))</f>
        <v>45</v>
      </c>
      <c r="I96" s="23"/>
      <c r="J96" s="18" t="str">
        <f>IF(I96="","",VALUE(SUBSTITUTE(VLOOKUP(I96,'Controle GEral'!H:I,2,FALSE),"R$ ", "")))</f>
        <v/>
      </c>
      <c r="K96" s="23" t="s">
        <v>18</v>
      </c>
      <c r="L96" s="23" t="s">
        <v>28</v>
      </c>
      <c r="M96" s="17"/>
      <c r="N96" s="16"/>
      <c r="O96" s="17"/>
      <c r="P96" s="18" t="e">
        <f t="shared" si="2"/>
        <v>#VALUE!</v>
      </c>
      <c r="Q96" s="22" t="e">
        <f t="shared" si="3"/>
        <v>#VALUE!</v>
      </c>
      <c r="R96" s="23"/>
    </row>
    <row r="97" spans="1:18" ht="12.75">
      <c r="A97" s="22">
        <v>46059</v>
      </c>
      <c r="B97" s="23" t="s">
        <v>23</v>
      </c>
      <c r="C97" s="23" t="s">
        <v>669</v>
      </c>
      <c r="D97" s="19"/>
      <c r="E97" s="23" t="s">
        <v>24</v>
      </c>
      <c r="G97" s="23" t="s">
        <v>45</v>
      </c>
      <c r="H97" s="18" t="e">
        <f>IF(G97="","",VALUE(SUBSTITUTE(VLOOKUP(G97,'Controle GEral'!F:G,2,FALSE),"R$ ", "")))</f>
        <v>#N/A</v>
      </c>
      <c r="I97" s="23"/>
      <c r="J97" s="18" t="str">
        <f>IF(I97="","",VALUE(SUBSTITUTE(VLOOKUP(I97,'Controle GEral'!H:I,2,FALSE),"R$ ", "")))</f>
        <v/>
      </c>
      <c r="K97" s="23" t="s">
        <v>18</v>
      </c>
      <c r="L97" s="23"/>
      <c r="M97" s="17"/>
      <c r="N97" s="16"/>
      <c r="O97" s="17"/>
      <c r="P97" s="23" t="e">
        <f t="shared" si="2"/>
        <v>#N/A</v>
      </c>
      <c r="Q97" s="22" t="e">
        <f t="shared" si="3"/>
        <v>#VALUE!</v>
      </c>
      <c r="R97" s="23"/>
    </row>
    <row r="98" spans="1:18" ht="12.75">
      <c r="A98" s="22">
        <v>46059</v>
      </c>
      <c r="B98" s="23" t="s">
        <v>23</v>
      </c>
      <c r="C98" s="23" t="s">
        <v>670</v>
      </c>
      <c r="D98" s="19"/>
      <c r="E98" s="23" t="s">
        <v>24</v>
      </c>
      <c r="G98" s="23" t="s">
        <v>25</v>
      </c>
      <c r="H98" s="18">
        <f>IF(G98="","",VALUE(SUBSTITUTE(VLOOKUP(G98,'Controle GEral'!F:G,2,FALSE),"R$ ", "")))</f>
        <v>80</v>
      </c>
      <c r="I98" s="23"/>
      <c r="J98" s="18" t="str">
        <f>IF(I98="","",VALUE(SUBSTITUTE(VLOOKUP(I98,'Controle GEral'!H:I,2,FALSE),"R$ ", "")))</f>
        <v/>
      </c>
      <c r="K98" s="23" t="s">
        <v>18</v>
      </c>
      <c r="L98" s="23" t="s">
        <v>34</v>
      </c>
      <c r="M98" s="17"/>
      <c r="N98" s="16"/>
      <c r="O98" s="17"/>
      <c r="P98" s="18" t="e">
        <f t="shared" si="2"/>
        <v>#VALUE!</v>
      </c>
      <c r="Q98" s="22" t="e">
        <f t="shared" si="3"/>
        <v>#VALUE!</v>
      </c>
      <c r="R98" s="23"/>
    </row>
    <row r="99" spans="1:18" ht="12.75">
      <c r="A99" s="22">
        <v>46059</v>
      </c>
      <c r="B99" s="23" t="s">
        <v>23</v>
      </c>
      <c r="C99" s="23" t="s">
        <v>671</v>
      </c>
      <c r="D99" s="19"/>
      <c r="E99" s="23" t="s">
        <v>24</v>
      </c>
      <c r="G99" s="23" t="s">
        <v>38</v>
      </c>
      <c r="H99" s="18">
        <f>IF(G99="","",VALUE(SUBSTITUTE(VLOOKUP(G99,'Controle GEral'!F:G,2,FALSE),"R$ ", "")))</f>
        <v>70</v>
      </c>
      <c r="I99" s="23"/>
      <c r="J99" s="18" t="str">
        <f>IF(I99="","",VALUE(SUBSTITUTE(VLOOKUP(I99,'Controle GEral'!H:I,2,FALSE),"R$ ", "")))</f>
        <v/>
      </c>
      <c r="K99" s="23" t="s">
        <v>18</v>
      </c>
      <c r="L99" s="23" t="s">
        <v>34</v>
      </c>
      <c r="M99" s="17"/>
      <c r="N99" s="16"/>
      <c r="O99" s="17"/>
      <c r="P99" s="18" t="e">
        <f t="shared" si="2"/>
        <v>#VALUE!</v>
      </c>
      <c r="Q99" s="22" t="e">
        <f t="shared" si="3"/>
        <v>#VALUE!</v>
      </c>
      <c r="R99" s="23"/>
    </row>
    <row r="100" spans="1:18" ht="12.75">
      <c r="A100" s="22">
        <v>46060</v>
      </c>
      <c r="B100" s="23" t="s">
        <v>14</v>
      </c>
      <c r="C100" s="23" t="s">
        <v>672</v>
      </c>
      <c r="D100" s="19"/>
      <c r="E100" s="23" t="s">
        <v>24</v>
      </c>
      <c r="G100" s="23" t="s">
        <v>16</v>
      </c>
      <c r="H100" s="18">
        <f>IF(G100="","",VALUE(SUBSTITUTE(VLOOKUP(G100,'Controle GEral'!F:G,2,FALSE),"R$ ", "")))</f>
        <v>45</v>
      </c>
      <c r="I100" s="23" t="s">
        <v>21</v>
      </c>
      <c r="J100" s="18">
        <f>IF(I100="","",VALUE(SUBSTITUTE(VLOOKUP(I100,'Controle GEral'!H:I,2,FALSE),"R$ ", "")))</f>
        <v>10</v>
      </c>
      <c r="K100" s="23" t="s">
        <v>18</v>
      </c>
      <c r="L100" s="23" t="s">
        <v>34</v>
      </c>
      <c r="M100" s="17"/>
      <c r="N100" s="16"/>
      <c r="O100" s="17"/>
      <c r="P100" s="18">
        <f t="shared" si="2"/>
        <v>55</v>
      </c>
      <c r="Q100" s="22" t="e">
        <f t="shared" si="3"/>
        <v>#VALUE!</v>
      </c>
      <c r="R100" s="23"/>
    </row>
    <row r="101" spans="1:18" ht="12.75">
      <c r="A101" s="22">
        <v>46060</v>
      </c>
      <c r="B101" s="23" t="s">
        <v>14</v>
      </c>
      <c r="C101" s="23" t="s">
        <v>673</v>
      </c>
      <c r="D101" s="19"/>
      <c r="E101" s="23" t="s">
        <v>24</v>
      </c>
      <c r="G101" s="23" t="s">
        <v>12</v>
      </c>
      <c r="H101" s="18" t="e">
        <f>IF(G101="","",VALUE(SUBSTITUTE(VLOOKUP(G101,'Controle GEral'!F:G,2,FALSE),"R$ ", "")))</f>
        <v>#N/A</v>
      </c>
      <c r="I101" s="23"/>
      <c r="J101" s="18" t="str">
        <f>IF(I101="","",VALUE(SUBSTITUTE(VLOOKUP(I101,'Controle GEral'!H:I,2,FALSE),"R$ ", "")))</f>
        <v/>
      </c>
      <c r="K101" s="23" t="s">
        <v>18</v>
      </c>
      <c r="L101" s="23" t="s">
        <v>34</v>
      </c>
      <c r="M101" s="17"/>
      <c r="N101" s="16"/>
      <c r="O101" s="17"/>
      <c r="P101" s="23" t="e">
        <f t="shared" si="2"/>
        <v>#N/A</v>
      </c>
      <c r="Q101" s="22" t="e">
        <f t="shared" si="3"/>
        <v>#VALUE!</v>
      </c>
      <c r="R101" s="23"/>
    </row>
    <row r="102" spans="1:18" ht="12.75">
      <c r="A102" s="22">
        <v>46060</v>
      </c>
      <c r="B102" s="23" t="s">
        <v>23</v>
      </c>
      <c r="C102" s="23" t="s">
        <v>674</v>
      </c>
      <c r="D102" s="19"/>
      <c r="E102" s="23" t="s">
        <v>24</v>
      </c>
      <c r="G102" s="23" t="s">
        <v>16</v>
      </c>
      <c r="H102" s="18">
        <f>IF(G102="","",VALUE(SUBSTITUTE(VLOOKUP(G102,'Controle GEral'!F:G,2,FALSE),"R$ ", "")))</f>
        <v>45</v>
      </c>
      <c r="I102" s="23"/>
      <c r="J102" s="18" t="str">
        <f>IF(I102="","",VALUE(SUBSTITUTE(VLOOKUP(I102,'Controle GEral'!H:I,2,FALSE),"R$ ", "")))</f>
        <v/>
      </c>
      <c r="K102" s="23" t="s">
        <v>18</v>
      </c>
      <c r="L102" s="23" t="s">
        <v>34</v>
      </c>
      <c r="M102" s="17"/>
      <c r="N102" s="16"/>
      <c r="O102" s="17"/>
      <c r="P102" s="18" t="e">
        <f t="shared" si="2"/>
        <v>#VALUE!</v>
      </c>
      <c r="Q102" s="22" t="e">
        <f t="shared" si="3"/>
        <v>#VALUE!</v>
      </c>
      <c r="R102" s="23"/>
    </row>
    <row r="103" spans="1:18" ht="12.75">
      <c r="A103" s="22">
        <v>46060</v>
      </c>
      <c r="B103" s="23" t="s">
        <v>14</v>
      </c>
      <c r="C103" s="23" t="s">
        <v>604</v>
      </c>
      <c r="D103" s="19"/>
      <c r="E103" s="23" t="s">
        <v>24</v>
      </c>
      <c r="G103" s="23" t="s">
        <v>32</v>
      </c>
      <c r="H103" s="18">
        <f>IF(G103="","",VALUE(SUBSTITUTE(VLOOKUP(G103,'Controle GEral'!F:G,2,FALSE),"R$ ", "")))</f>
        <v>35</v>
      </c>
      <c r="I103" s="23"/>
      <c r="J103" s="18" t="str">
        <f>IF(I103="","",VALUE(SUBSTITUTE(VLOOKUP(I103,'Controle GEral'!H:I,2,FALSE),"R$ ", "")))</f>
        <v/>
      </c>
      <c r="K103" s="23" t="s">
        <v>18</v>
      </c>
      <c r="L103" s="23" t="s">
        <v>34</v>
      </c>
      <c r="M103" s="17"/>
      <c r="N103" s="16"/>
      <c r="O103" s="17"/>
      <c r="P103" s="18" t="e">
        <f t="shared" si="2"/>
        <v>#VALUE!</v>
      </c>
      <c r="Q103" s="22" t="e">
        <f t="shared" si="3"/>
        <v>#VALUE!</v>
      </c>
      <c r="R103" s="23"/>
    </row>
    <row r="104" spans="1:18" ht="12.75">
      <c r="A104" s="22">
        <v>46060</v>
      </c>
      <c r="B104" s="23" t="s">
        <v>14</v>
      </c>
      <c r="C104" s="23" t="s">
        <v>675</v>
      </c>
      <c r="D104" s="19"/>
      <c r="E104" s="23" t="s">
        <v>24</v>
      </c>
      <c r="G104" s="23" t="s">
        <v>16</v>
      </c>
      <c r="H104" s="18">
        <f>IF(G104="","",VALUE(SUBSTITUTE(VLOOKUP(G104,'Controle GEral'!F:G,2,FALSE),"R$ ", "")))</f>
        <v>45</v>
      </c>
      <c r="I104" s="23"/>
      <c r="J104" s="18" t="str">
        <f>IF(I104="","",VALUE(SUBSTITUTE(VLOOKUP(I104,'Controle GEral'!H:I,2,FALSE),"R$ ", "")))</f>
        <v/>
      </c>
      <c r="K104" s="23" t="s">
        <v>18</v>
      </c>
      <c r="L104" s="23" t="s">
        <v>19</v>
      </c>
      <c r="M104" s="17"/>
      <c r="N104" s="16"/>
      <c r="O104" s="17"/>
      <c r="P104" s="18" t="e">
        <f t="shared" si="2"/>
        <v>#VALUE!</v>
      </c>
      <c r="Q104" s="22" t="e">
        <f t="shared" si="3"/>
        <v>#VALUE!</v>
      </c>
      <c r="R104" s="23"/>
    </row>
    <row r="105" spans="1:18" ht="12.75">
      <c r="A105" s="22">
        <v>46060</v>
      </c>
      <c r="B105" s="23" t="s">
        <v>14</v>
      </c>
      <c r="C105" s="23" t="s">
        <v>676</v>
      </c>
      <c r="D105" s="19"/>
      <c r="E105" s="23" t="s">
        <v>24</v>
      </c>
      <c r="G105" s="23" t="s">
        <v>38</v>
      </c>
      <c r="H105" s="18">
        <f>IF(G105="","",VALUE(SUBSTITUTE(VLOOKUP(G105,'Controle GEral'!F:G,2,FALSE),"R$ ", "")))</f>
        <v>70</v>
      </c>
      <c r="I105" s="23"/>
      <c r="J105" s="18" t="str">
        <f>IF(I105="","",VALUE(SUBSTITUTE(VLOOKUP(I105,'Controle GEral'!H:I,2,FALSE),"R$ ", "")))</f>
        <v/>
      </c>
      <c r="K105" s="23" t="s">
        <v>18</v>
      </c>
      <c r="L105" s="23" t="s">
        <v>34</v>
      </c>
      <c r="M105" s="17"/>
      <c r="N105" s="16"/>
      <c r="O105" s="17"/>
      <c r="P105" s="18" t="e">
        <f t="shared" si="2"/>
        <v>#VALUE!</v>
      </c>
      <c r="Q105" s="22" t="e">
        <f t="shared" si="3"/>
        <v>#VALUE!</v>
      </c>
      <c r="R105" s="23"/>
    </row>
    <row r="106" spans="1:18" ht="12.75">
      <c r="A106" s="22">
        <v>46060</v>
      </c>
      <c r="B106" s="23" t="s">
        <v>14</v>
      </c>
      <c r="C106" s="23" t="s">
        <v>677</v>
      </c>
      <c r="D106" s="19"/>
      <c r="E106" s="23" t="s">
        <v>24</v>
      </c>
      <c r="G106" s="23" t="s">
        <v>38</v>
      </c>
      <c r="H106" s="18">
        <f>IF(G106="","",VALUE(SUBSTITUTE(VLOOKUP(G106,'Controle GEral'!F:G,2,FALSE),"R$ ", "")))</f>
        <v>70</v>
      </c>
      <c r="I106" s="23"/>
      <c r="J106" s="18" t="str">
        <f>IF(I106="","",VALUE(SUBSTITUTE(VLOOKUP(I106,'Controle GEral'!H:I,2,FALSE),"R$ ", "")))</f>
        <v/>
      </c>
      <c r="K106" s="23" t="s">
        <v>18</v>
      </c>
      <c r="L106" s="23" t="s">
        <v>34</v>
      </c>
      <c r="M106" s="17"/>
      <c r="N106" s="16"/>
      <c r="O106" s="17"/>
      <c r="P106" s="18" t="e">
        <f t="shared" si="2"/>
        <v>#VALUE!</v>
      </c>
      <c r="Q106" s="22" t="e">
        <f t="shared" si="3"/>
        <v>#VALUE!</v>
      </c>
      <c r="R106" s="23"/>
    </row>
    <row r="107" spans="1:18" ht="12.75">
      <c r="A107" s="22">
        <v>46060</v>
      </c>
      <c r="B107" s="23" t="s">
        <v>14</v>
      </c>
      <c r="C107" s="23" t="s">
        <v>678</v>
      </c>
      <c r="D107" s="19"/>
      <c r="E107" s="23" t="s">
        <v>24</v>
      </c>
      <c r="G107" s="23" t="s">
        <v>16</v>
      </c>
      <c r="H107" s="18">
        <f>IF(G107="","",VALUE(SUBSTITUTE(VLOOKUP(G107,'Controle GEral'!F:G,2,FALSE),"R$ ", "")))</f>
        <v>45</v>
      </c>
      <c r="I107" s="23" t="s">
        <v>21</v>
      </c>
      <c r="J107" s="18">
        <f>IF(I107="","",VALUE(SUBSTITUTE(VLOOKUP(I107,'Controle GEral'!H:I,2,FALSE),"R$ ", "")))</f>
        <v>10</v>
      </c>
      <c r="K107" s="23" t="s">
        <v>18</v>
      </c>
      <c r="L107" s="23" t="s">
        <v>34</v>
      </c>
      <c r="M107" s="17"/>
      <c r="N107" s="16"/>
      <c r="O107" s="17"/>
      <c r="P107" s="18">
        <f t="shared" si="2"/>
        <v>55</v>
      </c>
      <c r="Q107" s="22" t="e">
        <f t="shared" si="3"/>
        <v>#VALUE!</v>
      </c>
      <c r="R107" s="23"/>
    </row>
    <row r="108" spans="1:18" ht="12.75">
      <c r="A108" s="22">
        <v>46060</v>
      </c>
      <c r="B108" s="23" t="s">
        <v>14</v>
      </c>
      <c r="C108" s="23" t="s">
        <v>679</v>
      </c>
      <c r="D108" s="19"/>
      <c r="E108" s="23" t="s">
        <v>24</v>
      </c>
      <c r="G108" s="23" t="s">
        <v>16</v>
      </c>
      <c r="H108" s="18">
        <f>IF(G108="","",VALUE(SUBSTITUTE(VLOOKUP(G108,'Controle GEral'!F:G,2,FALSE),"R$ ", "")))</f>
        <v>45</v>
      </c>
      <c r="I108" s="23"/>
      <c r="J108" s="18" t="str">
        <f>IF(I108="","",VALUE(SUBSTITUTE(VLOOKUP(I108,'Controle GEral'!H:I,2,FALSE),"R$ ", "")))</f>
        <v/>
      </c>
      <c r="K108" s="23" t="s">
        <v>18</v>
      </c>
      <c r="L108" s="23" t="s">
        <v>34</v>
      </c>
      <c r="M108" s="17"/>
      <c r="N108" s="16"/>
      <c r="O108" s="17"/>
      <c r="P108" s="18" t="e">
        <f t="shared" si="2"/>
        <v>#VALUE!</v>
      </c>
      <c r="Q108" s="22" t="e">
        <f t="shared" si="3"/>
        <v>#VALUE!</v>
      </c>
      <c r="R108" s="23"/>
    </row>
    <row r="109" spans="1:18" ht="12.75">
      <c r="A109" s="22">
        <v>46060</v>
      </c>
      <c r="B109" s="23" t="s">
        <v>14</v>
      </c>
      <c r="C109" s="23" t="s">
        <v>680</v>
      </c>
      <c r="D109" s="19"/>
      <c r="E109" s="23" t="s">
        <v>24</v>
      </c>
      <c r="G109" s="23" t="s">
        <v>16</v>
      </c>
      <c r="H109" s="18">
        <f>IF(G109="","",VALUE(SUBSTITUTE(VLOOKUP(G109,'Controle GEral'!F:G,2,FALSE),"R$ ", "")))</f>
        <v>45</v>
      </c>
      <c r="I109" s="23"/>
      <c r="J109" s="18" t="str">
        <f>IF(I109="","",VALUE(SUBSTITUTE(VLOOKUP(I109,'Controle GEral'!H:I,2,FALSE),"R$ ", "")))</f>
        <v/>
      </c>
      <c r="K109" s="23" t="s">
        <v>18</v>
      </c>
      <c r="L109" s="23" t="s">
        <v>34</v>
      </c>
      <c r="M109" s="17"/>
      <c r="N109" s="16"/>
      <c r="O109" s="17"/>
      <c r="P109" s="18" t="e">
        <f t="shared" si="2"/>
        <v>#VALUE!</v>
      </c>
      <c r="Q109" s="22" t="e">
        <f t="shared" si="3"/>
        <v>#VALUE!</v>
      </c>
      <c r="R109" s="23"/>
    </row>
    <row r="110" spans="1:18" ht="12.75">
      <c r="A110" s="22">
        <v>46060</v>
      </c>
      <c r="B110" s="23" t="s">
        <v>23</v>
      </c>
      <c r="C110" s="23" t="s">
        <v>681</v>
      </c>
      <c r="D110" s="19"/>
      <c r="E110" s="23" t="s">
        <v>15</v>
      </c>
      <c r="G110" s="23" t="s">
        <v>16</v>
      </c>
      <c r="H110" s="18">
        <f>IF(G110="","",VALUE(SUBSTITUTE(VLOOKUP(G110,'Controle GEral'!F:G,2,FALSE),"R$ ", "")))</f>
        <v>45</v>
      </c>
      <c r="I110" s="23"/>
      <c r="J110" s="18" t="str">
        <f>IF(I110="","",VALUE(SUBSTITUTE(VLOOKUP(I110,'Controle GEral'!H:I,2,FALSE),"R$ ", "")))</f>
        <v/>
      </c>
      <c r="K110" s="23" t="s">
        <v>18</v>
      </c>
      <c r="L110" s="23" t="s">
        <v>34</v>
      </c>
      <c r="M110" s="17"/>
      <c r="N110" s="16"/>
      <c r="O110" s="17"/>
      <c r="P110" s="18" t="e">
        <f t="shared" si="2"/>
        <v>#VALUE!</v>
      </c>
      <c r="Q110" s="22" t="e">
        <f t="shared" si="3"/>
        <v>#VALUE!</v>
      </c>
      <c r="R110" s="23"/>
    </row>
    <row r="111" spans="1:18" ht="12.75">
      <c r="A111" s="22">
        <v>46060</v>
      </c>
      <c r="B111" s="23" t="s">
        <v>23</v>
      </c>
      <c r="C111" s="23" t="s">
        <v>682</v>
      </c>
      <c r="D111" s="19"/>
      <c r="E111" s="23" t="s">
        <v>15</v>
      </c>
      <c r="G111" s="23" t="s">
        <v>16</v>
      </c>
      <c r="H111" s="18">
        <f>IF(G111="","",VALUE(SUBSTITUTE(VLOOKUP(G111,'Controle GEral'!F:G,2,FALSE),"R$ ", "")))</f>
        <v>45</v>
      </c>
      <c r="I111" s="23"/>
      <c r="J111" s="18" t="str">
        <f>IF(I111="","",VALUE(SUBSTITUTE(VLOOKUP(I111,'Controle GEral'!H:I,2,FALSE),"R$ ", "")))</f>
        <v/>
      </c>
      <c r="K111" s="23" t="s">
        <v>18</v>
      </c>
      <c r="L111" s="23" t="s">
        <v>34</v>
      </c>
      <c r="M111" s="17"/>
      <c r="N111" s="16"/>
      <c r="O111" s="17"/>
      <c r="P111" s="18" t="e">
        <f t="shared" si="2"/>
        <v>#VALUE!</v>
      </c>
      <c r="Q111" s="22" t="e">
        <f t="shared" si="3"/>
        <v>#VALUE!</v>
      </c>
      <c r="R111" s="23"/>
    </row>
    <row r="112" spans="1:18" ht="12.75">
      <c r="A112" s="22">
        <v>46060</v>
      </c>
      <c r="B112" s="23" t="s">
        <v>23</v>
      </c>
      <c r="C112" s="23" t="s">
        <v>683</v>
      </c>
      <c r="D112" s="19"/>
      <c r="E112" s="23" t="s">
        <v>15</v>
      </c>
      <c r="G112" s="23" t="s">
        <v>16</v>
      </c>
      <c r="H112" s="18">
        <f>IF(G112="","",VALUE(SUBSTITUTE(VLOOKUP(G112,'Controle GEral'!F:G,2,FALSE),"R$ ", "")))</f>
        <v>45</v>
      </c>
      <c r="I112" s="23"/>
      <c r="J112" s="18" t="str">
        <f>IF(I112="","",VALUE(SUBSTITUTE(VLOOKUP(I112,'Controle GEral'!H:I,2,FALSE),"R$ ", "")))</f>
        <v/>
      </c>
      <c r="K112" s="23" t="s">
        <v>18</v>
      </c>
      <c r="L112" s="23" t="s">
        <v>34</v>
      </c>
      <c r="M112" s="17"/>
      <c r="N112" s="16"/>
      <c r="O112" s="17"/>
      <c r="P112" s="18" t="e">
        <f t="shared" si="2"/>
        <v>#VALUE!</v>
      </c>
      <c r="Q112" s="22" t="e">
        <f t="shared" si="3"/>
        <v>#VALUE!</v>
      </c>
      <c r="R112" s="23"/>
    </row>
    <row r="113" spans="1:18" ht="12.75">
      <c r="A113" s="22">
        <v>46060</v>
      </c>
      <c r="B113" s="23" t="s">
        <v>23</v>
      </c>
      <c r="C113" s="23" t="s">
        <v>684</v>
      </c>
      <c r="D113" s="19"/>
      <c r="E113" s="23" t="s">
        <v>24</v>
      </c>
      <c r="G113" s="23" t="s">
        <v>16</v>
      </c>
      <c r="H113" s="18">
        <f>IF(G113="","",VALUE(SUBSTITUTE(VLOOKUP(G113,'Controle GEral'!F:G,2,FALSE),"R$ ", "")))</f>
        <v>45</v>
      </c>
      <c r="I113" s="23"/>
      <c r="J113" s="18" t="str">
        <f>IF(I113="","",VALUE(SUBSTITUTE(VLOOKUP(I113,'Controle GEral'!H:I,2,FALSE),"R$ ", "")))</f>
        <v/>
      </c>
      <c r="K113" s="23" t="s">
        <v>18</v>
      </c>
      <c r="L113" s="23" t="s">
        <v>34</v>
      </c>
      <c r="M113" s="17"/>
      <c r="N113" s="16"/>
      <c r="O113" s="17"/>
      <c r="P113" s="18" t="e">
        <f t="shared" si="2"/>
        <v>#VALUE!</v>
      </c>
      <c r="Q113" s="22" t="e">
        <f t="shared" si="3"/>
        <v>#VALUE!</v>
      </c>
      <c r="R113" s="23"/>
    </row>
    <row r="114" spans="1:18" ht="12.75">
      <c r="A114" s="22">
        <v>46060</v>
      </c>
      <c r="B114" s="23" t="s">
        <v>23</v>
      </c>
      <c r="C114" s="23" t="s">
        <v>685</v>
      </c>
      <c r="D114" s="19"/>
      <c r="E114" s="23" t="s">
        <v>24</v>
      </c>
      <c r="G114" s="23" t="s">
        <v>16</v>
      </c>
      <c r="H114" s="18">
        <f>IF(G114="","",VALUE(SUBSTITUTE(VLOOKUP(G114,'Controle GEral'!F:G,2,FALSE),"R$ ", "")))</f>
        <v>45</v>
      </c>
      <c r="I114" s="23"/>
      <c r="J114" s="18" t="str">
        <f>IF(I114="","",VALUE(SUBSTITUTE(VLOOKUP(I114,'Controle GEral'!H:I,2,FALSE),"R$ ", "")))</f>
        <v/>
      </c>
      <c r="K114" s="23" t="s">
        <v>18</v>
      </c>
      <c r="L114" s="23" t="s">
        <v>34</v>
      </c>
      <c r="M114" s="17"/>
      <c r="N114" s="16"/>
      <c r="O114" s="17"/>
      <c r="P114" s="18" t="e">
        <f t="shared" si="2"/>
        <v>#VALUE!</v>
      </c>
      <c r="Q114" s="22" t="e">
        <f t="shared" si="3"/>
        <v>#VALUE!</v>
      </c>
      <c r="R114" s="23"/>
    </row>
    <row r="115" spans="1:18" ht="12.75">
      <c r="A115" s="22">
        <v>46060</v>
      </c>
      <c r="B115" s="23" t="s">
        <v>23</v>
      </c>
      <c r="C115" s="23" t="s">
        <v>686</v>
      </c>
      <c r="D115" s="19"/>
      <c r="E115" s="23" t="s">
        <v>24</v>
      </c>
      <c r="G115" s="23" t="s">
        <v>16</v>
      </c>
      <c r="H115" s="18">
        <f>IF(G115="","",VALUE(SUBSTITUTE(VLOOKUP(G115,'Controle GEral'!F:G,2,FALSE),"R$ ", "")))</f>
        <v>45</v>
      </c>
      <c r="I115" s="23"/>
      <c r="J115" s="18" t="str">
        <f>IF(I115="","",VALUE(SUBSTITUTE(VLOOKUP(I115,'Controle GEral'!H:I,2,FALSE),"R$ ", "")))</f>
        <v/>
      </c>
      <c r="K115" s="23" t="s">
        <v>18</v>
      </c>
      <c r="L115" s="23" t="s">
        <v>34</v>
      </c>
      <c r="M115" s="17"/>
      <c r="N115" s="16"/>
      <c r="O115" s="17"/>
      <c r="P115" s="18" t="e">
        <f t="shared" si="2"/>
        <v>#VALUE!</v>
      </c>
      <c r="Q115" s="22" t="e">
        <f t="shared" si="3"/>
        <v>#VALUE!</v>
      </c>
      <c r="R115" s="23"/>
    </row>
    <row r="116" spans="1:18" ht="12.75">
      <c r="A116" s="22">
        <v>46060</v>
      </c>
      <c r="B116" s="23" t="s">
        <v>23</v>
      </c>
      <c r="C116" s="23" t="s">
        <v>687</v>
      </c>
      <c r="D116" s="19"/>
      <c r="E116" s="23" t="s">
        <v>24</v>
      </c>
      <c r="G116" s="23" t="s">
        <v>16</v>
      </c>
      <c r="H116" s="18">
        <f>IF(G116="","",VALUE(SUBSTITUTE(VLOOKUP(G116,'Controle GEral'!F:G,2,FALSE),"R$ ", "")))</f>
        <v>45</v>
      </c>
      <c r="I116" s="23"/>
      <c r="J116" s="18" t="str">
        <f>IF(I116="","",VALUE(SUBSTITUTE(VLOOKUP(I116,'Controle GEral'!H:I,2,FALSE),"R$ ", "")))</f>
        <v/>
      </c>
      <c r="K116" s="23" t="s">
        <v>18</v>
      </c>
      <c r="L116" s="23" t="s">
        <v>34</v>
      </c>
      <c r="M116" s="17"/>
      <c r="N116" s="16"/>
      <c r="O116" s="17"/>
      <c r="P116" s="18" t="e">
        <f t="shared" si="2"/>
        <v>#VALUE!</v>
      </c>
      <c r="Q116" s="22" t="e">
        <f t="shared" si="3"/>
        <v>#VALUE!</v>
      </c>
      <c r="R116" s="23"/>
    </row>
    <row r="117" spans="1:18" ht="12.75">
      <c r="A117" s="22">
        <v>46060</v>
      </c>
      <c r="B117" s="23" t="s">
        <v>23</v>
      </c>
      <c r="C117" s="23" t="s">
        <v>688</v>
      </c>
      <c r="D117" s="19"/>
      <c r="E117" s="23" t="s">
        <v>24</v>
      </c>
      <c r="G117" s="23" t="s">
        <v>12</v>
      </c>
      <c r="H117" s="18" t="e">
        <f>IF(G117="","",VALUE(SUBSTITUTE(VLOOKUP(G117,'Controle GEral'!F:G,2,FALSE),"R$ ", "")))</f>
        <v>#N/A</v>
      </c>
      <c r="I117" s="23"/>
      <c r="J117" s="18" t="str">
        <f>IF(I117="","",VALUE(SUBSTITUTE(VLOOKUP(I117,'Controle GEral'!H:I,2,FALSE),"R$ ", "")))</f>
        <v/>
      </c>
      <c r="K117" s="23" t="s">
        <v>18</v>
      </c>
      <c r="L117" s="23" t="s">
        <v>34</v>
      </c>
      <c r="M117" s="17"/>
      <c r="N117" s="16"/>
      <c r="O117" s="17"/>
      <c r="P117" s="23" t="e">
        <f t="shared" si="2"/>
        <v>#N/A</v>
      </c>
      <c r="Q117" s="22" t="e">
        <f t="shared" si="3"/>
        <v>#VALUE!</v>
      </c>
      <c r="R117" s="23"/>
    </row>
    <row r="118" spans="1:18" ht="12.75">
      <c r="A118" s="22">
        <v>46060</v>
      </c>
      <c r="B118" s="23" t="s">
        <v>23</v>
      </c>
      <c r="C118" s="23" t="s">
        <v>689</v>
      </c>
      <c r="D118" s="19"/>
      <c r="E118" s="23" t="s">
        <v>24</v>
      </c>
      <c r="G118" s="23" t="s">
        <v>16</v>
      </c>
      <c r="H118" s="18">
        <f>IF(G118="","",VALUE(SUBSTITUTE(VLOOKUP(G118,'Controle GEral'!F:G,2,FALSE),"R$ ", "")))</f>
        <v>45</v>
      </c>
      <c r="I118" s="23"/>
      <c r="J118" s="18" t="str">
        <f>IF(I118="","",VALUE(SUBSTITUTE(VLOOKUP(I118,'Controle GEral'!H:I,2,FALSE),"R$ ", "")))</f>
        <v/>
      </c>
      <c r="K118" s="23" t="s">
        <v>18</v>
      </c>
      <c r="L118" s="23" t="s">
        <v>34</v>
      </c>
      <c r="M118" s="17"/>
      <c r="N118" s="16"/>
      <c r="O118" s="17"/>
      <c r="P118" s="18" t="e">
        <f t="shared" si="2"/>
        <v>#VALUE!</v>
      </c>
      <c r="Q118" s="22" t="e">
        <f t="shared" si="3"/>
        <v>#VALUE!</v>
      </c>
      <c r="R118" s="23"/>
    </row>
    <row r="119" spans="1:18" ht="12.75">
      <c r="A119" s="22">
        <v>46061</v>
      </c>
      <c r="B119" s="23" t="s">
        <v>23</v>
      </c>
      <c r="C119" s="23" t="s">
        <v>690</v>
      </c>
      <c r="D119" s="19"/>
      <c r="E119" s="23" t="s">
        <v>24</v>
      </c>
      <c r="G119" s="23" t="s">
        <v>46</v>
      </c>
      <c r="H119" s="18">
        <f>IF(G119="","",VALUE(SUBSTITUTE(VLOOKUP(G119,'Controle GEral'!F:G,2,FALSE),"R$ ", "")))</f>
        <v>30</v>
      </c>
      <c r="I119" s="23"/>
      <c r="J119" s="18" t="str">
        <f>IF(I119="","",VALUE(SUBSTITUTE(VLOOKUP(I119,'Controle GEral'!H:I,2,FALSE),"R$ ", "")))</f>
        <v/>
      </c>
      <c r="K119" s="23" t="s">
        <v>18</v>
      </c>
      <c r="L119" s="23" t="s">
        <v>39</v>
      </c>
      <c r="M119" s="17"/>
      <c r="N119" s="16"/>
      <c r="O119" s="17"/>
      <c r="P119" s="18" t="e">
        <f t="shared" si="2"/>
        <v>#VALUE!</v>
      </c>
      <c r="Q119" s="22" t="e">
        <f t="shared" si="3"/>
        <v>#VALUE!</v>
      </c>
      <c r="R119" s="23"/>
    </row>
    <row r="120" spans="1:18" ht="12.75">
      <c r="A120" s="22">
        <v>46061</v>
      </c>
      <c r="B120" s="23" t="s">
        <v>23</v>
      </c>
      <c r="C120" s="23" t="s">
        <v>691</v>
      </c>
      <c r="D120" s="19"/>
      <c r="E120" s="23" t="s">
        <v>24</v>
      </c>
      <c r="G120" s="23" t="s">
        <v>16</v>
      </c>
      <c r="H120" s="18">
        <f>IF(G120="","",VALUE(SUBSTITUTE(VLOOKUP(G120,'Controle GEral'!F:G,2,FALSE),"R$ ", "")))</f>
        <v>45</v>
      </c>
      <c r="I120" s="23"/>
      <c r="J120" s="18" t="str">
        <f>IF(I120="","",VALUE(SUBSTITUTE(VLOOKUP(I120,'Controle GEral'!H:I,2,FALSE),"R$ ", "")))</f>
        <v/>
      </c>
      <c r="K120" s="23" t="s">
        <v>18</v>
      </c>
      <c r="L120" s="23" t="s">
        <v>34</v>
      </c>
      <c r="M120" s="17"/>
      <c r="N120" s="16"/>
      <c r="O120" s="17"/>
      <c r="P120" s="18" t="e">
        <f t="shared" si="2"/>
        <v>#VALUE!</v>
      </c>
      <c r="Q120" s="22" t="e">
        <f t="shared" si="3"/>
        <v>#VALUE!</v>
      </c>
      <c r="R120" s="23"/>
    </row>
    <row r="121" spans="1:18" ht="12.75">
      <c r="A121" s="22">
        <v>46061</v>
      </c>
      <c r="B121" s="23" t="s">
        <v>23</v>
      </c>
      <c r="C121" s="23" t="s">
        <v>610</v>
      </c>
      <c r="D121" s="19"/>
      <c r="E121" s="23" t="s">
        <v>24</v>
      </c>
      <c r="G121" s="23" t="s">
        <v>38</v>
      </c>
      <c r="H121" s="18">
        <f>IF(G121="","",VALUE(SUBSTITUTE(VLOOKUP(G121,'Controle GEral'!F:G,2,FALSE),"R$ ", "")))</f>
        <v>70</v>
      </c>
      <c r="I121" s="23"/>
      <c r="J121" s="18" t="str">
        <f>IF(I121="","",VALUE(SUBSTITUTE(VLOOKUP(I121,'Controle GEral'!H:I,2,FALSE),"R$ ", "")))</f>
        <v/>
      </c>
      <c r="K121" s="23" t="s">
        <v>18</v>
      </c>
      <c r="L121" s="23" t="s">
        <v>34</v>
      </c>
      <c r="M121" s="17"/>
      <c r="N121" s="16"/>
      <c r="O121" s="17"/>
      <c r="P121" s="18" t="e">
        <f t="shared" si="2"/>
        <v>#VALUE!</v>
      </c>
      <c r="Q121" s="22" t="e">
        <f t="shared" si="3"/>
        <v>#VALUE!</v>
      </c>
      <c r="R121" s="23"/>
    </row>
    <row r="122" spans="1:18" ht="12.75">
      <c r="A122" s="22">
        <v>46061</v>
      </c>
      <c r="B122" s="23" t="s">
        <v>14</v>
      </c>
      <c r="C122" s="23" t="s">
        <v>692</v>
      </c>
      <c r="D122" s="19"/>
      <c r="E122" s="23" t="s">
        <v>24</v>
      </c>
      <c r="G122" s="23" t="s">
        <v>16</v>
      </c>
      <c r="H122" s="18">
        <f>IF(G122="","",VALUE(SUBSTITUTE(VLOOKUP(G122,'Controle GEral'!F:G,2,FALSE),"R$ ", "")))</f>
        <v>45</v>
      </c>
      <c r="I122" s="23"/>
      <c r="J122" s="18" t="str">
        <f>IF(I122="","",VALUE(SUBSTITUTE(VLOOKUP(I122,'Controle GEral'!H:I,2,FALSE),"R$ ", "")))</f>
        <v/>
      </c>
      <c r="K122" s="23" t="s">
        <v>18</v>
      </c>
      <c r="L122" s="23" t="s">
        <v>34</v>
      </c>
      <c r="M122" s="17"/>
      <c r="N122" s="16"/>
      <c r="O122" s="17"/>
      <c r="P122" s="18" t="e">
        <f t="shared" si="2"/>
        <v>#VALUE!</v>
      </c>
      <c r="Q122" s="22" t="e">
        <f t="shared" si="3"/>
        <v>#VALUE!</v>
      </c>
      <c r="R122" s="23"/>
    </row>
    <row r="123" spans="1:18" ht="12.75">
      <c r="A123" s="22">
        <v>46061</v>
      </c>
      <c r="B123" s="23" t="s">
        <v>14</v>
      </c>
      <c r="C123" s="23" t="s">
        <v>693</v>
      </c>
      <c r="D123" s="19"/>
      <c r="E123" s="23" t="s">
        <v>24</v>
      </c>
      <c r="G123" s="23" t="s">
        <v>16</v>
      </c>
      <c r="H123" s="18">
        <f>IF(G123="","",VALUE(SUBSTITUTE(VLOOKUP(G123,'Controle GEral'!F:G,2,FALSE),"R$ ", "")))</f>
        <v>45</v>
      </c>
      <c r="I123" s="23"/>
      <c r="J123" s="18" t="str">
        <f>IF(I123="","",VALUE(SUBSTITUTE(VLOOKUP(I123,'Controle GEral'!H:I,2,FALSE),"R$ ", "")))</f>
        <v/>
      </c>
      <c r="K123" s="23" t="s">
        <v>18</v>
      </c>
      <c r="L123" s="23" t="s">
        <v>34</v>
      </c>
      <c r="M123" s="17"/>
      <c r="N123" s="16"/>
      <c r="O123" s="17"/>
      <c r="P123" s="18" t="e">
        <f t="shared" si="2"/>
        <v>#VALUE!</v>
      </c>
      <c r="Q123" s="22" t="e">
        <f t="shared" si="3"/>
        <v>#VALUE!</v>
      </c>
      <c r="R123" s="23"/>
    </row>
    <row r="124" spans="1:18" ht="12.75">
      <c r="A124" s="22">
        <v>46061</v>
      </c>
      <c r="B124" s="23" t="s">
        <v>14</v>
      </c>
      <c r="C124" s="23" t="s">
        <v>694</v>
      </c>
      <c r="D124" s="19"/>
      <c r="E124" s="23" t="s">
        <v>24</v>
      </c>
      <c r="G124" s="23" t="s">
        <v>16</v>
      </c>
      <c r="H124" s="18">
        <f>IF(G124="","",VALUE(SUBSTITUTE(VLOOKUP(G124,'Controle GEral'!F:G,2,FALSE),"R$ ", "")))</f>
        <v>45</v>
      </c>
      <c r="I124" s="23"/>
      <c r="J124" s="18" t="str">
        <f>IF(I124="","",VALUE(SUBSTITUTE(VLOOKUP(I124,'Controle GEral'!H:I,2,FALSE),"R$ ", "")))</f>
        <v/>
      </c>
      <c r="K124" s="23" t="s">
        <v>18</v>
      </c>
      <c r="L124" s="23" t="s">
        <v>34</v>
      </c>
      <c r="M124" s="17"/>
      <c r="N124" s="16"/>
      <c r="O124" s="17"/>
      <c r="P124" s="18" t="e">
        <f t="shared" si="2"/>
        <v>#VALUE!</v>
      </c>
      <c r="Q124" s="22" t="e">
        <f t="shared" si="3"/>
        <v>#VALUE!</v>
      </c>
      <c r="R124" s="23"/>
    </row>
    <row r="125" spans="1:18" ht="12.75">
      <c r="A125" s="22">
        <v>46061</v>
      </c>
      <c r="B125" s="23" t="s">
        <v>14</v>
      </c>
      <c r="C125" s="23" t="s">
        <v>695</v>
      </c>
      <c r="D125" s="19"/>
      <c r="E125" s="23" t="s">
        <v>24</v>
      </c>
      <c r="G125" s="23" t="s">
        <v>16</v>
      </c>
      <c r="H125" s="18">
        <f>IF(G125="","",VALUE(SUBSTITUTE(VLOOKUP(G125,'Controle GEral'!F:G,2,FALSE),"R$ ", "")))</f>
        <v>45</v>
      </c>
      <c r="I125" s="23"/>
      <c r="J125" s="18" t="str">
        <f>IF(I125="","",VALUE(SUBSTITUTE(VLOOKUP(I125,'Controle GEral'!H:I,2,FALSE),"R$ ", "")))</f>
        <v/>
      </c>
      <c r="K125" s="23" t="s">
        <v>18</v>
      </c>
      <c r="L125" s="23" t="s">
        <v>34</v>
      </c>
      <c r="M125" s="17"/>
      <c r="N125" s="16"/>
      <c r="O125" s="17"/>
      <c r="P125" s="18" t="e">
        <f t="shared" si="2"/>
        <v>#VALUE!</v>
      </c>
      <c r="Q125" s="22" t="e">
        <f t="shared" si="3"/>
        <v>#VALUE!</v>
      </c>
      <c r="R125" s="23"/>
    </row>
    <row r="126" spans="1:18" ht="12.75">
      <c r="A126" s="22">
        <v>46061</v>
      </c>
      <c r="B126" s="23" t="s">
        <v>14</v>
      </c>
      <c r="C126" s="23" t="s">
        <v>696</v>
      </c>
      <c r="D126" s="19"/>
      <c r="E126" s="23" t="s">
        <v>24</v>
      </c>
      <c r="G126" s="23" t="s">
        <v>16</v>
      </c>
      <c r="H126" s="18">
        <f>IF(G126="","",VALUE(SUBSTITUTE(VLOOKUP(G126,'Controle GEral'!F:G,2,FALSE),"R$ ", "")))</f>
        <v>45</v>
      </c>
      <c r="I126" s="23"/>
      <c r="J126" s="18" t="str">
        <f>IF(I126="","",VALUE(SUBSTITUTE(VLOOKUP(I126,'Controle GEral'!H:I,2,FALSE),"R$ ", "")))</f>
        <v/>
      </c>
      <c r="K126" s="23" t="s">
        <v>18</v>
      </c>
      <c r="L126" s="23" t="s">
        <v>34</v>
      </c>
      <c r="M126" s="17"/>
      <c r="N126" s="16"/>
      <c r="O126" s="17"/>
      <c r="P126" s="18" t="e">
        <f t="shared" si="2"/>
        <v>#VALUE!</v>
      </c>
      <c r="Q126" s="22" t="e">
        <f t="shared" si="3"/>
        <v>#VALUE!</v>
      </c>
      <c r="R126" s="23"/>
    </row>
    <row r="127" spans="1:18" ht="12.75">
      <c r="A127" s="22">
        <v>46061</v>
      </c>
      <c r="B127" s="23" t="s">
        <v>14</v>
      </c>
      <c r="C127" s="23" t="s">
        <v>697</v>
      </c>
      <c r="D127" s="19"/>
      <c r="E127" s="23" t="s">
        <v>24</v>
      </c>
      <c r="G127" s="23" t="s">
        <v>16</v>
      </c>
      <c r="H127" s="18">
        <f>IF(G127="","",VALUE(SUBSTITUTE(VLOOKUP(G127,'Controle GEral'!F:G,2,FALSE),"R$ ", "")))</f>
        <v>45</v>
      </c>
      <c r="I127" s="23"/>
      <c r="J127" s="18" t="str">
        <f>IF(I127="","",VALUE(SUBSTITUTE(VLOOKUP(I127,'Controle GEral'!H:I,2,FALSE),"R$ ", "")))</f>
        <v/>
      </c>
      <c r="K127" s="23" t="s">
        <v>18</v>
      </c>
      <c r="L127" s="23" t="s">
        <v>34</v>
      </c>
      <c r="M127" s="17"/>
      <c r="N127" s="16"/>
      <c r="O127" s="17"/>
      <c r="P127" s="18" t="e">
        <f t="shared" si="2"/>
        <v>#VALUE!</v>
      </c>
      <c r="Q127" s="22" t="e">
        <f t="shared" si="3"/>
        <v>#VALUE!</v>
      </c>
      <c r="R127" s="23"/>
    </row>
    <row r="128" spans="1:18" ht="12.75">
      <c r="A128" s="22">
        <v>46062</v>
      </c>
      <c r="B128" s="23" t="s">
        <v>23</v>
      </c>
      <c r="C128" s="23" t="s">
        <v>593</v>
      </c>
      <c r="D128" s="19"/>
      <c r="E128" s="23" t="s">
        <v>24</v>
      </c>
      <c r="G128" s="23" t="s">
        <v>16</v>
      </c>
      <c r="H128" s="18">
        <f>IF(G128="","",VALUE(SUBSTITUTE(VLOOKUP(G128,'Controle GEral'!F:G,2,FALSE),"R$ ", "")))</f>
        <v>45</v>
      </c>
      <c r="I128" s="23"/>
      <c r="J128" s="18" t="str">
        <f>IF(I128="","",VALUE(SUBSTITUTE(VLOOKUP(I128,'Controle GEral'!H:I,2,FALSE),"R$ ", "")))</f>
        <v/>
      </c>
      <c r="K128" s="23" t="s">
        <v>18</v>
      </c>
      <c r="L128" s="23" t="s">
        <v>34</v>
      </c>
      <c r="M128" s="17"/>
      <c r="N128" s="16"/>
      <c r="O128" s="17"/>
      <c r="P128" s="18" t="e">
        <f t="shared" si="2"/>
        <v>#VALUE!</v>
      </c>
      <c r="Q128" s="22" t="e">
        <f t="shared" si="3"/>
        <v>#VALUE!</v>
      </c>
      <c r="R128" s="23"/>
    </row>
    <row r="129" spans="1:18" ht="12.75">
      <c r="A129" s="22">
        <v>46062</v>
      </c>
      <c r="B129" s="23" t="s">
        <v>14</v>
      </c>
      <c r="C129" s="23" t="s">
        <v>698</v>
      </c>
      <c r="D129" s="19"/>
      <c r="E129" s="23" t="s">
        <v>24</v>
      </c>
      <c r="G129" s="23" t="s">
        <v>16</v>
      </c>
      <c r="H129" s="18">
        <f>IF(G129="","",VALUE(SUBSTITUTE(VLOOKUP(G129,'Controle GEral'!F:G,2,FALSE),"R$ ", "")))</f>
        <v>45</v>
      </c>
      <c r="I129" s="23"/>
      <c r="J129" s="18" t="str">
        <f>IF(I129="","",VALUE(SUBSTITUTE(VLOOKUP(I129,'Controle GEral'!H:I,2,FALSE),"R$ ", "")))</f>
        <v/>
      </c>
      <c r="K129" s="23" t="s">
        <v>18</v>
      </c>
      <c r="L129" s="23" t="s">
        <v>34</v>
      </c>
      <c r="M129" s="17"/>
      <c r="N129" s="16"/>
      <c r="O129" s="17"/>
      <c r="P129" s="18" t="e">
        <f t="shared" si="2"/>
        <v>#VALUE!</v>
      </c>
      <c r="Q129" s="22" t="e">
        <f t="shared" si="3"/>
        <v>#VALUE!</v>
      </c>
      <c r="R129" s="23"/>
    </row>
    <row r="130" spans="1:18" ht="12.75">
      <c r="A130" s="22">
        <v>46062</v>
      </c>
      <c r="B130" s="23" t="s">
        <v>14</v>
      </c>
      <c r="C130" s="23" t="s">
        <v>699</v>
      </c>
      <c r="D130" s="19"/>
      <c r="E130" s="23" t="s">
        <v>24</v>
      </c>
      <c r="G130" s="23" t="s">
        <v>16</v>
      </c>
      <c r="H130" s="18">
        <f>IF(G130="","",VALUE(SUBSTITUTE(VLOOKUP(G130,'Controle GEral'!F:G,2,FALSE),"R$ ", "")))</f>
        <v>45</v>
      </c>
      <c r="I130" s="23"/>
      <c r="J130" s="18" t="str">
        <f>IF(I130="","",VALUE(SUBSTITUTE(VLOOKUP(I130,'Controle GEral'!H:I,2,FALSE),"R$ ", "")))</f>
        <v/>
      </c>
      <c r="K130" s="23" t="s">
        <v>18</v>
      </c>
      <c r="L130" s="23" t="s">
        <v>34</v>
      </c>
      <c r="M130" s="17"/>
      <c r="N130" s="16"/>
      <c r="O130" s="17"/>
      <c r="P130" s="18" t="e">
        <f t="shared" ref="P130:P193" si="4">H130+J130+S130</f>
        <v>#VALUE!</v>
      </c>
      <c r="Q130" s="22" t="e">
        <f t="shared" ref="Q130:Q193" si="5">DATEVALUE(A130)</f>
        <v>#VALUE!</v>
      </c>
      <c r="R130" s="23"/>
    </row>
    <row r="131" spans="1:18" ht="12.75">
      <c r="A131" s="22">
        <v>46062</v>
      </c>
      <c r="B131" s="23" t="s">
        <v>14</v>
      </c>
      <c r="C131" s="23" t="s">
        <v>700</v>
      </c>
      <c r="D131" s="19"/>
      <c r="E131" s="23" t="s">
        <v>24</v>
      </c>
      <c r="G131" s="23" t="s">
        <v>25</v>
      </c>
      <c r="H131" s="18">
        <f>IF(G131="","",VALUE(SUBSTITUTE(VLOOKUP(G131,'Controle GEral'!F:G,2,FALSE),"R$ ", "")))</f>
        <v>80</v>
      </c>
      <c r="I131" s="23"/>
      <c r="J131" s="18" t="str">
        <f>IF(I131="","",VALUE(SUBSTITUTE(VLOOKUP(I131,'Controle GEral'!H:I,2,FALSE),"R$ ", "")))</f>
        <v/>
      </c>
      <c r="K131" s="23" t="s">
        <v>18</v>
      </c>
      <c r="L131" s="23" t="s">
        <v>34</v>
      </c>
      <c r="M131" s="17"/>
      <c r="N131" s="16"/>
      <c r="O131" s="17"/>
      <c r="P131" s="18" t="e">
        <f t="shared" si="4"/>
        <v>#VALUE!</v>
      </c>
      <c r="Q131" s="22" t="e">
        <f t="shared" si="5"/>
        <v>#VALUE!</v>
      </c>
      <c r="R131" s="23"/>
    </row>
    <row r="132" spans="1:18" ht="12.75">
      <c r="A132" s="22">
        <v>46063</v>
      </c>
      <c r="B132" s="23" t="s">
        <v>14</v>
      </c>
      <c r="C132" s="23" t="s">
        <v>701</v>
      </c>
      <c r="D132" s="19"/>
      <c r="E132" s="23" t="s">
        <v>24</v>
      </c>
      <c r="G132" s="23" t="s">
        <v>16</v>
      </c>
      <c r="H132" s="18">
        <f>IF(G132="","",VALUE(SUBSTITUTE(VLOOKUP(G132,'Controle GEral'!F:G,2,FALSE),"R$ ", "")))</f>
        <v>45</v>
      </c>
      <c r="I132" s="23"/>
      <c r="J132" s="18" t="str">
        <f>IF(I132="","",VALUE(SUBSTITUTE(VLOOKUP(I132,'Controle GEral'!H:I,2,FALSE),"R$ ", "")))</f>
        <v/>
      </c>
      <c r="K132" s="23" t="s">
        <v>18</v>
      </c>
      <c r="L132" s="23" t="s">
        <v>34</v>
      </c>
      <c r="M132" s="17"/>
      <c r="N132" s="16"/>
      <c r="O132" s="17"/>
      <c r="P132" s="18" t="e">
        <f t="shared" si="4"/>
        <v>#VALUE!</v>
      </c>
      <c r="Q132" s="22" t="e">
        <f t="shared" si="5"/>
        <v>#VALUE!</v>
      </c>
      <c r="R132" s="23"/>
    </row>
    <row r="133" spans="1:18" ht="12.75">
      <c r="A133" s="22">
        <v>46063</v>
      </c>
      <c r="B133" s="23" t="s">
        <v>14</v>
      </c>
      <c r="C133" s="23" t="s">
        <v>702</v>
      </c>
      <c r="D133" s="19"/>
      <c r="E133" s="23" t="s">
        <v>24</v>
      </c>
      <c r="G133" s="23" t="s">
        <v>16</v>
      </c>
      <c r="H133" s="18">
        <f>IF(G133="","",VALUE(SUBSTITUTE(VLOOKUP(G133,'Controle GEral'!F:G,2,FALSE),"R$ ", "")))</f>
        <v>45</v>
      </c>
      <c r="I133" s="23"/>
      <c r="J133" s="18" t="str">
        <f>IF(I133="","",VALUE(SUBSTITUTE(VLOOKUP(I133,'Controle GEral'!H:I,2,FALSE),"R$ ", "")))</f>
        <v/>
      </c>
      <c r="K133" s="23" t="s">
        <v>18</v>
      </c>
      <c r="L133" s="23" t="s">
        <v>34</v>
      </c>
      <c r="M133" s="17"/>
      <c r="N133" s="16"/>
      <c r="O133" s="17"/>
      <c r="P133" s="18" t="e">
        <f t="shared" si="4"/>
        <v>#VALUE!</v>
      </c>
      <c r="Q133" s="22" t="e">
        <f t="shared" si="5"/>
        <v>#VALUE!</v>
      </c>
      <c r="R133" s="23"/>
    </row>
    <row r="134" spans="1:18" ht="12.75">
      <c r="A134" s="22">
        <v>46063</v>
      </c>
      <c r="B134" s="23" t="s">
        <v>23</v>
      </c>
      <c r="C134" s="23" t="s">
        <v>703</v>
      </c>
      <c r="D134" s="19"/>
      <c r="E134" s="23" t="s">
        <v>24</v>
      </c>
      <c r="G134" s="23" t="s">
        <v>38</v>
      </c>
      <c r="H134" s="18">
        <f>IF(G134="","",VALUE(SUBSTITUTE(VLOOKUP(G134,'Controle GEral'!F:G,2,FALSE),"R$ ", "")))</f>
        <v>70</v>
      </c>
      <c r="I134" s="23" t="s">
        <v>21</v>
      </c>
      <c r="J134" s="18">
        <f>IF(I134="","",VALUE(SUBSTITUTE(VLOOKUP(I134,'Controle GEral'!H:I,2,FALSE),"R$ ", "")))</f>
        <v>10</v>
      </c>
      <c r="K134" s="23" t="s">
        <v>18</v>
      </c>
      <c r="L134" s="23" t="s">
        <v>34</v>
      </c>
      <c r="M134" s="17"/>
      <c r="N134" s="16"/>
      <c r="O134" s="17"/>
      <c r="P134" s="18">
        <f t="shared" si="4"/>
        <v>80</v>
      </c>
      <c r="Q134" s="22" t="e">
        <f t="shared" si="5"/>
        <v>#VALUE!</v>
      </c>
      <c r="R134" s="23"/>
    </row>
    <row r="135" spans="1:18" ht="12.75">
      <c r="A135" s="22">
        <v>46063</v>
      </c>
      <c r="B135" s="23" t="s">
        <v>23</v>
      </c>
      <c r="C135" s="23" t="s">
        <v>704</v>
      </c>
      <c r="D135" s="19"/>
      <c r="E135" s="23" t="s">
        <v>24</v>
      </c>
      <c r="G135" s="23" t="s">
        <v>16</v>
      </c>
      <c r="H135" s="18">
        <f>IF(G135="","",VALUE(SUBSTITUTE(VLOOKUP(G135,'Controle GEral'!F:G,2,FALSE),"R$ ", "")))</f>
        <v>45</v>
      </c>
      <c r="I135" s="23" t="s">
        <v>21</v>
      </c>
      <c r="J135" s="18">
        <f>IF(I135="","",VALUE(SUBSTITUTE(VLOOKUP(I135,'Controle GEral'!H:I,2,FALSE),"R$ ", "")))</f>
        <v>10</v>
      </c>
      <c r="K135" s="23" t="s">
        <v>18</v>
      </c>
      <c r="L135" s="23" t="s">
        <v>34</v>
      </c>
      <c r="M135" s="17"/>
      <c r="N135" s="16"/>
      <c r="O135" s="17"/>
      <c r="P135" s="18">
        <f t="shared" si="4"/>
        <v>55</v>
      </c>
      <c r="Q135" s="22" t="e">
        <f t="shared" si="5"/>
        <v>#VALUE!</v>
      </c>
      <c r="R135" s="23"/>
    </row>
    <row r="136" spans="1:18" ht="12.75">
      <c r="A136" s="22">
        <v>46064</v>
      </c>
      <c r="B136" s="23" t="s">
        <v>14</v>
      </c>
      <c r="C136" s="23" t="s">
        <v>705</v>
      </c>
      <c r="D136" s="19"/>
      <c r="E136" s="23" t="s">
        <v>24</v>
      </c>
      <c r="G136" s="23" t="s">
        <v>16</v>
      </c>
      <c r="H136" s="18">
        <f>IF(G136="","",VALUE(SUBSTITUTE(VLOOKUP(G136,'Controle GEral'!F:G,2,FALSE),"R$ ", "")))</f>
        <v>45</v>
      </c>
      <c r="I136" s="23"/>
      <c r="J136" s="18" t="str">
        <f>IF(I136="","",VALUE(SUBSTITUTE(VLOOKUP(I136,'Controle GEral'!H:I,2,FALSE),"R$ ", "")))</f>
        <v/>
      </c>
      <c r="K136" s="23" t="s">
        <v>18</v>
      </c>
      <c r="L136" s="23" t="s">
        <v>34</v>
      </c>
      <c r="M136" s="17"/>
      <c r="N136" s="16"/>
      <c r="O136" s="17"/>
      <c r="P136" s="18" t="e">
        <f t="shared" si="4"/>
        <v>#VALUE!</v>
      </c>
      <c r="Q136" s="22" t="e">
        <f t="shared" si="5"/>
        <v>#VALUE!</v>
      </c>
      <c r="R136" s="23"/>
    </row>
    <row r="137" spans="1:18" ht="12.75">
      <c r="A137" s="22">
        <v>46064</v>
      </c>
      <c r="B137" s="23" t="s">
        <v>14</v>
      </c>
      <c r="C137" s="23" t="s">
        <v>706</v>
      </c>
      <c r="D137" s="19"/>
      <c r="E137" s="23" t="s">
        <v>24</v>
      </c>
      <c r="G137" s="23" t="s">
        <v>27</v>
      </c>
      <c r="H137" s="18">
        <f>IF(G137="","",VALUE(SUBSTITUTE(VLOOKUP(G137,'Controle GEral'!F:G,2,FALSE),"R$ ", "")))</f>
        <v>0</v>
      </c>
      <c r="I137" s="23"/>
      <c r="J137" s="18" t="str">
        <f>IF(I137="","",VALUE(SUBSTITUTE(VLOOKUP(I137,'Controle GEral'!H:I,2,FALSE),"R$ ", "")))</f>
        <v/>
      </c>
      <c r="K137" s="23" t="s">
        <v>18</v>
      </c>
      <c r="L137" s="23" t="s">
        <v>34</v>
      </c>
      <c r="M137" s="17"/>
      <c r="N137" s="16"/>
      <c r="O137" s="17"/>
      <c r="P137" s="18" t="e">
        <f t="shared" si="4"/>
        <v>#VALUE!</v>
      </c>
      <c r="Q137" s="22" t="e">
        <f t="shared" si="5"/>
        <v>#VALUE!</v>
      </c>
      <c r="R137" s="23"/>
    </row>
    <row r="138" spans="1:18" ht="12.75">
      <c r="A138" s="22">
        <v>46064</v>
      </c>
      <c r="B138" s="23" t="s">
        <v>14</v>
      </c>
      <c r="C138" s="23" t="s">
        <v>564</v>
      </c>
      <c r="D138" s="19"/>
      <c r="E138" s="23" t="s">
        <v>24</v>
      </c>
      <c r="G138" s="23" t="s">
        <v>27</v>
      </c>
      <c r="H138" s="18">
        <f>IF(G138="","",VALUE(SUBSTITUTE(VLOOKUP(G138,'Controle GEral'!F:G,2,FALSE),"R$ ", "")))</f>
        <v>0</v>
      </c>
      <c r="I138" s="23"/>
      <c r="J138" s="18" t="str">
        <f>IF(I138="","",VALUE(SUBSTITUTE(VLOOKUP(I138,'Controle GEral'!H:I,2,FALSE),"R$ ", "")))</f>
        <v/>
      </c>
      <c r="K138" s="23" t="s">
        <v>27</v>
      </c>
      <c r="L138" s="23" t="s">
        <v>27</v>
      </c>
      <c r="M138" s="17"/>
      <c r="N138" s="16"/>
      <c r="O138" s="17"/>
      <c r="P138" s="18" t="e">
        <f t="shared" si="4"/>
        <v>#VALUE!</v>
      </c>
      <c r="Q138" s="22" t="e">
        <f t="shared" si="5"/>
        <v>#VALUE!</v>
      </c>
      <c r="R138" s="23"/>
    </row>
    <row r="139" spans="1:18" ht="12.75">
      <c r="A139" s="22">
        <v>46064</v>
      </c>
      <c r="B139" s="23" t="s">
        <v>23</v>
      </c>
      <c r="C139" s="23" t="s">
        <v>707</v>
      </c>
      <c r="D139" s="19"/>
      <c r="E139" s="23" t="s">
        <v>24</v>
      </c>
      <c r="G139" s="23" t="s">
        <v>46</v>
      </c>
      <c r="H139" s="18">
        <f>IF(G139="","",VALUE(SUBSTITUTE(VLOOKUP(G139,'Controle GEral'!F:G,2,FALSE),"R$ ", "")))</f>
        <v>30</v>
      </c>
      <c r="I139" s="23"/>
      <c r="J139" s="18" t="str">
        <f>IF(I139="","",VALUE(SUBSTITUTE(VLOOKUP(I139,'Controle GEral'!H:I,2,FALSE),"R$ ", "")))</f>
        <v/>
      </c>
      <c r="K139" s="23" t="s">
        <v>18</v>
      </c>
      <c r="L139" s="23" t="s">
        <v>19</v>
      </c>
      <c r="M139" s="17"/>
      <c r="N139" s="16"/>
      <c r="O139" s="17"/>
      <c r="P139" s="18" t="e">
        <f t="shared" si="4"/>
        <v>#VALUE!</v>
      </c>
      <c r="Q139" s="22" t="e">
        <f t="shared" si="5"/>
        <v>#VALUE!</v>
      </c>
      <c r="R139" s="23"/>
    </row>
    <row r="140" spans="1:18" ht="12.75">
      <c r="A140" s="22">
        <v>46064</v>
      </c>
      <c r="B140" s="23" t="s">
        <v>23</v>
      </c>
      <c r="C140" s="23" t="s">
        <v>618</v>
      </c>
      <c r="D140" s="19"/>
      <c r="E140" s="23" t="s">
        <v>24</v>
      </c>
      <c r="G140" s="23" t="s">
        <v>16</v>
      </c>
      <c r="H140" s="18">
        <f>IF(G140="","",VALUE(SUBSTITUTE(VLOOKUP(G140,'Controle GEral'!F:G,2,FALSE),"R$ ", "")))</f>
        <v>45</v>
      </c>
      <c r="I140" s="23"/>
      <c r="J140" s="18" t="str">
        <f>IF(I140="","",VALUE(SUBSTITUTE(VLOOKUP(I140,'Controle GEral'!H:I,2,FALSE),"R$ ", "")))</f>
        <v/>
      </c>
      <c r="K140" s="23" t="s">
        <v>18</v>
      </c>
      <c r="L140" s="23" t="s">
        <v>34</v>
      </c>
      <c r="M140" s="17"/>
      <c r="N140" s="16"/>
      <c r="O140" s="17"/>
      <c r="P140" s="18" t="e">
        <f t="shared" si="4"/>
        <v>#VALUE!</v>
      </c>
      <c r="Q140" s="22" t="e">
        <f t="shared" si="5"/>
        <v>#VALUE!</v>
      </c>
      <c r="R140" s="23"/>
    </row>
    <row r="141" spans="1:18" ht="12.75">
      <c r="A141" s="22">
        <v>46064</v>
      </c>
      <c r="B141" s="23" t="s">
        <v>23</v>
      </c>
      <c r="C141" s="23" t="s">
        <v>708</v>
      </c>
      <c r="D141" s="19"/>
      <c r="E141" s="23" t="s">
        <v>15</v>
      </c>
      <c r="G141" s="23" t="s">
        <v>16</v>
      </c>
      <c r="H141" s="18">
        <f>IF(G141="","",VALUE(SUBSTITUTE(VLOOKUP(G141,'Controle GEral'!F:G,2,FALSE),"R$ ", "")))</f>
        <v>45</v>
      </c>
      <c r="I141" s="23"/>
      <c r="J141" s="18" t="str">
        <f>IF(I141="","",VALUE(SUBSTITUTE(VLOOKUP(I141,'Controle GEral'!H:I,2,FALSE),"R$ ", "")))</f>
        <v/>
      </c>
      <c r="K141" s="23" t="s">
        <v>18</v>
      </c>
      <c r="L141" s="23" t="s">
        <v>28</v>
      </c>
      <c r="M141" s="17"/>
      <c r="N141" s="16"/>
      <c r="O141" s="17"/>
      <c r="P141" s="18" t="e">
        <f t="shared" si="4"/>
        <v>#VALUE!</v>
      </c>
      <c r="Q141" s="22" t="e">
        <f t="shared" si="5"/>
        <v>#VALUE!</v>
      </c>
      <c r="R141" s="23"/>
    </row>
    <row r="142" spans="1:18" ht="12.75">
      <c r="A142" s="22">
        <v>46064</v>
      </c>
      <c r="B142" s="23" t="s">
        <v>23</v>
      </c>
      <c r="C142" s="23" t="s">
        <v>632</v>
      </c>
      <c r="D142" s="19"/>
      <c r="E142" s="23" t="s">
        <v>15</v>
      </c>
      <c r="G142" s="23" t="s">
        <v>16</v>
      </c>
      <c r="H142" s="18">
        <f>IF(G142="","",VALUE(SUBSTITUTE(VLOOKUP(G142,'Controle GEral'!F:G,2,FALSE),"R$ ", "")))</f>
        <v>45</v>
      </c>
      <c r="I142" s="23"/>
      <c r="J142" s="18" t="str">
        <f>IF(I142="","",VALUE(SUBSTITUTE(VLOOKUP(I142,'Controle GEral'!H:I,2,FALSE),"R$ ", "")))</f>
        <v/>
      </c>
      <c r="K142" s="23" t="s">
        <v>18</v>
      </c>
      <c r="L142" s="23" t="s">
        <v>28</v>
      </c>
      <c r="M142" s="17"/>
      <c r="N142" s="16"/>
      <c r="O142" s="17"/>
      <c r="P142" s="18" t="e">
        <f t="shared" si="4"/>
        <v>#VALUE!</v>
      </c>
      <c r="Q142" s="22" t="e">
        <f t="shared" si="5"/>
        <v>#VALUE!</v>
      </c>
      <c r="R142" s="23"/>
    </row>
    <row r="143" spans="1:18" ht="12.75">
      <c r="A143" s="22">
        <v>46064</v>
      </c>
      <c r="B143" s="23" t="s">
        <v>23</v>
      </c>
      <c r="C143" s="23" t="s">
        <v>578</v>
      </c>
      <c r="D143" s="19"/>
      <c r="E143" s="23" t="s">
        <v>24</v>
      </c>
      <c r="G143" s="23"/>
      <c r="H143" s="18" t="str">
        <f>IF(G143="","",VALUE(SUBSTITUTE(VLOOKUP(G143,'Controle GEral'!F:G,2,FALSE),"R$ ", "")))</f>
        <v/>
      </c>
      <c r="I143" s="23"/>
      <c r="J143" s="18" t="str">
        <f>IF(I143="","",VALUE(SUBSTITUTE(VLOOKUP(I143,'Controle GEral'!H:I,2,FALSE),"R$ ", "")))</f>
        <v/>
      </c>
      <c r="K143" s="23"/>
      <c r="L143" s="23"/>
      <c r="M143" s="17"/>
      <c r="N143" s="16"/>
      <c r="O143" s="17"/>
      <c r="P143" s="18" t="e">
        <f t="shared" si="4"/>
        <v>#VALUE!</v>
      </c>
      <c r="Q143" s="22" t="e">
        <f t="shared" si="5"/>
        <v>#VALUE!</v>
      </c>
      <c r="R143" s="23"/>
    </row>
    <row r="144" spans="1:18" ht="12.75">
      <c r="A144" s="22">
        <v>46064</v>
      </c>
      <c r="B144" s="23" t="s">
        <v>14</v>
      </c>
      <c r="C144" s="23" t="s">
        <v>709</v>
      </c>
      <c r="D144" s="19"/>
      <c r="E144" s="23" t="s">
        <v>24</v>
      </c>
      <c r="G144" s="23" t="s">
        <v>16</v>
      </c>
      <c r="H144" s="18">
        <f>IF(G144="","",VALUE(SUBSTITUTE(VLOOKUP(G144,'Controle GEral'!F:G,2,FALSE),"R$ ", "")))</f>
        <v>45</v>
      </c>
      <c r="I144" s="23"/>
      <c r="J144" s="18" t="str">
        <f>IF(I144="","",VALUE(SUBSTITUTE(VLOOKUP(I144,'Controle GEral'!H:I,2,FALSE),"R$ ", "")))</f>
        <v/>
      </c>
      <c r="K144" s="23" t="s">
        <v>18</v>
      </c>
      <c r="L144" s="23" t="s">
        <v>28</v>
      </c>
      <c r="M144" s="17"/>
      <c r="N144" s="16"/>
      <c r="O144" s="17"/>
      <c r="P144" s="18" t="e">
        <f t="shared" si="4"/>
        <v>#VALUE!</v>
      </c>
      <c r="Q144" s="22" t="e">
        <f t="shared" si="5"/>
        <v>#VALUE!</v>
      </c>
      <c r="R144" s="23"/>
    </row>
    <row r="145" spans="1:18" ht="12.75">
      <c r="A145" s="22">
        <v>46064</v>
      </c>
      <c r="B145" s="23" t="s">
        <v>14</v>
      </c>
      <c r="C145" s="23" t="s">
        <v>595</v>
      </c>
      <c r="D145" s="19"/>
      <c r="E145" s="23" t="s">
        <v>24</v>
      </c>
      <c r="G145" s="23" t="s">
        <v>16</v>
      </c>
      <c r="H145" s="18">
        <f>IF(G145="","",VALUE(SUBSTITUTE(VLOOKUP(G145,'Controle GEral'!F:G,2,FALSE),"R$ ", "")))</f>
        <v>45</v>
      </c>
      <c r="I145" s="23" t="s">
        <v>21</v>
      </c>
      <c r="J145" s="18">
        <f>IF(I145="","",VALUE(SUBSTITUTE(VLOOKUP(I145,'Controle GEral'!H:I,2,FALSE),"R$ ", "")))</f>
        <v>10</v>
      </c>
      <c r="K145" s="23" t="s">
        <v>18</v>
      </c>
      <c r="L145" s="23" t="s">
        <v>39</v>
      </c>
      <c r="M145" s="17"/>
      <c r="N145" s="16"/>
      <c r="O145" s="17"/>
      <c r="P145" s="18">
        <f t="shared" si="4"/>
        <v>55</v>
      </c>
      <c r="Q145" s="22" t="e">
        <f t="shared" si="5"/>
        <v>#VALUE!</v>
      </c>
      <c r="R145" s="23"/>
    </row>
    <row r="146" spans="1:18" ht="12.75">
      <c r="A146" s="22">
        <v>46064</v>
      </c>
      <c r="B146" s="23" t="s">
        <v>14</v>
      </c>
      <c r="C146" s="23" t="s">
        <v>625</v>
      </c>
      <c r="D146" s="19"/>
      <c r="E146" s="23" t="s">
        <v>24</v>
      </c>
      <c r="G146" s="23" t="s">
        <v>16</v>
      </c>
      <c r="H146" s="18">
        <f>IF(G146="","",VALUE(SUBSTITUTE(VLOOKUP(G146,'Controle GEral'!F:G,2,FALSE),"R$ ", "")))</f>
        <v>45</v>
      </c>
      <c r="I146" s="23"/>
      <c r="J146" s="18" t="str">
        <f>IF(I146="","",VALUE(SUBSTITUTE(VLOOKUP(I146,'Controle GEral'!H:I,2,FALSE),"R$ ", "")))</f>
        <v/>
      </c>
      <c r="K146" s="23" t="s">
        <v>18</v>
      </c>
      <c r="L146" s="23" t="s">
        <v>28</v>
      </c>
      <c r="M146" s="17"/>
      <c r="N146" s="16"/>
      <c r="O146" s="17"/>
      <c r="P146" s="18" t="e">
        <f t="shared" si="4"/>
        <v>#VALUE!</v>
      </c>
      <c r="Q146" s="22" t="e">
        <f t="shared" si="5"/>
        <v>#VALUE!</v>
      </c>
      <c r="R146" s="23"/>
    </row>
    <row r="147" spans="1:18" ht="12.75">
      <c r="A147" s="22">
        <v>46065</v>
      </c>
      <c r="B147" s="23" t="s">
        <v>14</v>
      </c>
      <c r="C147" s="23" t="s">
        <v>710</v>
      </c>
      <c r="D147" s="19"/>
      <c r="E147" s="23" t="s">
        <v>24</v>
      </c>
      <c r="G147" s="23" t="s">
        <v>25</v>
      </c>
      <c r="H147" s="18">
        <f>IF(G147="","",VALUE(SUBSTITUTE(VLOOKUP(G147,'Controle GEral'!F:G,2,FALSE),"R$ ", "")))</f>
        <v>80</v>
      </c>
      <c r="I147" s="23"/>
      <c r="J147" s="18" t="str">
        <f>IF(I147="","",VALUE(SUBSTITUTE(VLOOKUP(I147,'Controle GEral'!H:I,2,FALSE),"R$ ", "")))</f>
        <v/>
      </c>
      <c r="K147" s="23" t="s">
        <v>18</v>
      </c>
      <c r="L147" s="23" t="s">
        <v>19</v>
      </c>
      <c r="M147" s="17"/>
      <c r="N147" s="16"/>
      <c r="O147" s="17"/>
      <c r="P147" s="18" t="e">
        <f t="shared" si="4"/>
        <v>#VALUE!</v>
      </c>
      <c r="Q147" s="22" t="e">
        <f t="shared" si="5"/>
        <v>#VALUE!</v>
      </c>
      <c r="R147" s="23"/>
    </row>
    <row r="148" spans="1:18" ht="12.75">
      <c r="A148" s="22">
        <v>46065</v>
      </c>
      <c r="B148" s="23" t="s">
        <v>14</v>
      </c>
      <c r="C148" s="23" t="s">
        <v>711</v>
      </c>
      <c r="D148" s="19"/>
      <c r="E148" s="23" t="s">
        <v>24</v>
      </c>
      <c r="G148" s="23" t="s">
        <v>25</v>
      </c>
      <c r="H148" s="18">
        <f>IF(G148="","",VALUE(SUBSTITUTE(VLOOKUP(G148,'Controle GEral'!F:G,2,FALSE),"R$ ", "")))</f>
        <v>80</v>
      </c>
      <c r="I148" s="23"/>
      <c r="J148" s="18" t="str">
        <f>IF(I148="","",VALUE(SUBSTITUTE(VLOOKUP(I148,'Controle GEral'!H:I,2,FALSE),"R$ ", "")))</f>
        <v/>
      </c>
      <c r="K148" s="23" t="s">
        <v>18</v>
      </c>
      <c r="L148" s="23" t="s">
        <v>34</v>
      </c>
      <c r="M148" s="17"/>
      <c r="N148" s="16"/>
      <c r="O148" s="17"/>
      <c r="P148" s="18" t="e">
        <f t="shared" si="4"/>
        <v>#VALUE!</v>
      </c>
      <c r="Q148" s="22" t="e">
        <f t="shared" si="5"/>
        <v>#VALUE!</v>
      </c>
      <c r="R148" s="23"/>
    </row>
    <row r="149" spans="1:18" ht="12.75">
      <c r="A149" s="22">
        <v>46065</v>
      </c>
      <c r="B149" s="23" t="s">
        <v>14</v>
      </c>
      <c r="C149" s="23" t="s">
        <v>712</v>
      </c>
      <c r="D149" s="19"/>
      <c r="E149" s="23" t="s">
        <v>24</v>
      </c>
      <c r="G149" s="23" t="s">
        <v>32</v>
      </c>
      <c r="H149" s="18">
        <f>IF(G149="","",VALUE(SUBSTITUTE(VLOOKUP(G149,'Controle GEral'!F:G,2,FALSE),"R$ ", "")))</f>
        <v>35</v>
      </c>
      <c r="I149" s="23" t="s">
        <v>12</v>
      </c>
      <c r="J149" s="18">
        <f>IF(I149="","",VALUE(SUBSTITUTE(VLOOKUP(I149,'Controle GEral'!H:I,2,FALSE),"R$ ", "")))</f>
        <v>20</v>
      </c>
      <c r="K149" s="23" t="s">
        <v>18</v>
      </c>
      <c r="L149" s="23" t="s">
        <v>34</v>
      </c>
      <c r="M149" s="17"/>
      <c r="N149" s="16"/>
      <c r="O149" s="17"/>
      <c r="P149" s="18">
        <f t="shared" si="4"/>
        <v>55</v>
      </c>
      <c r="Q149" s="22" t="e">
        <f t="shared" si="5"/>
        <v>#VALUE!</v>
      </c>
      <c r="R149" s="23"/>
    </row>
    <row r="150" spans="1:18" ht="12.75">
      <c r="A150" s="22">
        <v>46065</v>
      </c>
      <c r="B150" s="23" t="s">
        <v>14</v>
      </c>
      <c r="C150" s="23" t="s">
        <v>600</v>
      </c>
      <c r="D150" s="19"/>
      <c r="E150" s="23" t="s">
        <v>24</v>
      </c>
      <c r="G150" s="23" t="s">
        <v>25</v>
      </c>
      <c r="H150" s="18">
        <f>IF(G150="","",VALUE(SUBSTITUTE(VLOOKUP(G150,'Controle GEral'!F:G,2,FALSE),"R$ ", "")))</f>
        <v>80</v>
      </c>
      <c r="I150" s="23"/>
      <c r="J150" s="18" t="str">
        <f>IF(I150="","",VALUE(SUBSTITUTE(VLOOKUP(I150,'Controle GEral'!H:I,2,FALSE),"R$ ", "")))</f>
        <v/>
      </c>
      <c r="K150" s="23" t="s">
        <v>18</v>
      </c>
      <c r="L150" s="23" t="s">
        <v>34</v>
      </c>
      <c r="M150" s="17"/>
      <c r="N150" s="16"/>
      <c r="O150" s="17"/>
      <c r="P150" s="18" t="e">
        <f t="shared" si="4"/>
        <v>#VALUE!</v>
      </c>
      <c r="Q150" s="22" t="e">
        <f t="shared" si="5"/>
        <v>#VALUE!</v>
      </c>
      <c r="R150" s="23"/>
    </row>
    <row r="151" spans="1:18" ht="12.75">
      <c r="A151" s="22">
        <v>46065</v>
      </c>
      <c r="B151" s="23" t="s">
        <v>14</v>
      </c>
      <c r="C151" s="23" t="s">
        <v>713</v>
      </c>
      <c r="D151" s="19"/>
      <c r="E151" s="23" t="s">
        <v>24</v>
      </c>
      <c r="G151" s="23" t="s">
        <v>16</v>
      </c>
      <c r="H151" s="18">
        <f>IF(G151="","",VALUE(SUBSTITUTE(VLOOKUP(G151,'Controle GEral'!F:G,2,FALSE),"R$ ", "")))</f>
        <v>45</v>
      </c>
      <c r="I151" s="23"/>
      <c r="J151" s="18" t="str">
        <f>IF(I151="","",VALUE(SUBSTITUTE(VLOOKUP(I151,'Controle GEral'!H:I,2,FALSE),"R$ ", "")))</f>
        <v/>
      </c>
      <c r="K151" s="23" t="s">
        <v>18</v>
      </c>
      <c r="L151" s="23" t="s">
        <v>34</v>
      </c>
      <c r="M151" s="17"/>
      <c r="N151" s="16"/>
      <c r="O151" s="17"/>
      <c r="P151" s="18" t="e">
        <f t="shared" si="4"/>
        <v>#VALUE!</v>
      </c>
      <c r="Q151" s="22" t="e">
        <f t="shared" si="5"/>
        <v>#VALUE!</v>
      </c>
      <c r="R151" s="23"/>
    </row>
    <row r="152" spans="1:18" ht="12.75">
      <c r="A152" s="22">
        <v>46065</v>
      </c>
      <c r="B152" s="23" t="s">
        <v>14</v>
      </c>
      <c r="C152" s="23" t="s">
        <v>604</v>
      </c>
      <c r="D152" s="19"/>
      <c r="E152" s="23" t="s">
        <v>24</v>
      </c>
      <c r="G152" s="23" t="s">
        <v>38</v>
      </c>
      <c r="H152" s="18">
        <f>IF(G152="","",VALUE(SUBSTITUTE(VLOOKUP(G152,'Controle GEral'!F:G,2,FALSE),"R$ ", "")))</f>
        <v>70</v>
      </c>
      <c r="I152" s="23"/>
      <c r="J152" s="18" t="str">
        <f>IF(I152="","",VALUE(SUBSTITUTE(VLOOKUP(I152,'Controle GEral'!H:I,2,FALSE),"R$ ", "")))</f>
        <v/>
      </c>
      <c r="K152" s="23" t="s">
        <v>18</v>
      </c>
      <c r="L152" s="23" t="s">
        <v>34</v>
      </c>
      <c r="M152" s="17"/>
      <c r="N152" s="16"/>
      <c r="O152" s="17"/>
      <c r="P152" s="18" t="e">
        <f t="shared" si="4"/>
        <v>#VALUE!</v>
      </c>
      <c r="Q152" s="22" t="e">
        <f t="shared" si="5"/>
        <v>#VALUE!</v>
      </c>
      <c r="R152" s="23"/>
    </row>
    <row r="153" spans="1:18" ht="12.75">
      <c r="A153" s="22">
        <v>46065</v>
      </c>
      <c r="B153" s="23" t="s">
        <v>14</v>
      </c>
      <c r="C153" s="23" t="s">
        <v>714</v>
      </c>
      <c r="D153" s="19"/>
      <c r="E153" s="23" t="s">
        <v>24</v>
      </c>
      <c r="G153" s="23" t="s">
        <v>16</v>
      </c>
      <c r="H153" s="18">
        <f>IF(G153="","",VALUE(SUBSTITUTE(VLOOKUP(G153,'Controle GEral'!F:G,2,FALSE),"R$ ", "")))</f>
        <v>45</v>
      </c>
      <c r="I153" s="23"/>
      <c r="J153" s="18" t="str">
        <f>IF(I153="","",VALUE(SUBSTITUTE(VLOOKUP(I153,'Controle GEral'!H:I,2,FALSE),"R$ ", "")))</f>
        <v/>
      </c>
      <c r="K153" s="23" t="s">
        <v>18</v>
      </c>
      <c r="L153" s="23" t="s">
        <v>34</v>
      </c>
      <c r="M153" s="17"/>
      <c r="N153" s="16"/>
      <c r="O153" s="17"/>
      <c r="P153" s="18" t="e">
        <f t="shared" si="4"/>
        <v>#VALUE!</v>
      </c>
      <c r="Q153" s="22" t="e">
        <f t="shared" si="5"/>
        <v>#VALUE!</v>
      </c>
      <c r="R153" s="23"/>
    </row>
    <row r="154" spans="1:18" ht="12.75">
      <c r="A154" s="22">
        <v>46065</v>
      </c>
      <c r="B154" s="23" t="s">
        <v>14</v>
      </c>
      <c r="C154" s="23" t="s">
        <v>715</v>
      </c>
      <c r="D154" s="19"/>
      <c r="E154" s="23" t="s">
        <v>24</v>
      </c>
      <c r="G154" s="23" t="s">
        <v>38</v>
      </c>
      <c r="H154" s="18">
        <f>IF(G154="","",VALUE(SUBSTITUTE(VLOOKUP(G154,'Controle GEral'!F:G,2,FALSE),"R$ ", "")))</f>
        <v>70</v>
      </c>
      <c r="I154" s="23"/>
      <c r="J154" s="18" t="str">
        <f>IF(I154="","",VALUE(SUBSTITUTE(VLOOKUP(I154,'Controle GEral'!H:I,2,FALSE),"R$ ", "")))</f>
        <v/>
      </c>
      <c r="K154" s="23" t="s">
        <v>18</v>
      </c>
      <c r="L154" s="23"/>
      <c r="M154" s="17"/>
      <c r="N154" s="16"/>
      <c r="O154" s="17"/>
      <c r="P154" s="18" t="e">
        <f t="shared" si="4"/>
        <v>#VALUE!</v>
      </c>
      <c r="Q154" s="22" t="e">
        <f t="shared" si="5"/>
        <v>#VALUE!</v>
      </c>
      <c r="R154" s="23"/>
    </row>
    <row r="155" spans="1:18" ht="12.75">
      <c r="A155" s="22">
        <v>46065</v>
      </c>
      <c r="B155" s="23" t="s">
        <v>23</v>
      </c>
      <c r="C155" s="23" t="s">
        <v>715</v>
      </c>
      <c r="D155" s="19"/>
      <c r="E155" s="23" t="s">
        <v>24</v>
      </c>
      <c r="G155" s="23" t="s">
        <v>45</v>
      </c>
      <c r="H155" s="18" t="e">
        <f>IF(G155="","",VALUE(SUBSTITUTE(VLOOKUP(G155,'Controle GEral'!F:G,2,FALSE),"R$ ", "")))</f>
        <v>#N/A</v>
      </c>
      <c r="I155" s="23" t="s">
        <v>41</v>
      </c>
      <c r="J155" s="18">
        <f>IF(I155="","",VALUE(SUBSTITUTE(VLOOKUP(I155,'Controle GEral'!H:I,2,FALSE),"R$ ", "")))</f>
        <v>25</v>
      </c>
      <c r="K155" s="23" t="s">
        <v>18</v>
      </c>
      <c r="L155" s="23" t="s">
        <v>19</v>
      </c>
      <c r="M155" s="17"/>
      <c r="N155" s="16"/>
      <c r="O155" s="17"/>
      <c r="P155" s="23" t="e">
        <f t="shared" si="4"/>
        <v>#N/A</v>
      </c>
      <c r="Q155" s="22" t="e">
        <f t="shared" si="5"/>
        <v>#VALUE!</v>
      </c>
      <c r="R155" s="23"/>
    </row>
    <row r="156" spans="1:18" ht="12.75">
      <c r="A156" s="22">
        <v>46065</v>
      </c>
      <c r="B156" s="23" t="s">
        <v>23</v>
      </c>
      <c r="C156" s="23" t="s">
        <v>716</v>
      </c>
      <c r="D156" s="19"/>
      <c r="E156" s="23" t="s">
        <v>24</v>
      </c>
      <c r="G156" s="23" t="s">
        <v>16</v>
      </c>
      <c r="H156" s="18">
        <f>IF(G156="","",VALUE(SUBSTITUTE(VLOOKUP(G156,'Controle GEral'!F:G,2,FALSE),"R$ ", "")))</f>
        <v>45</v>
      </c>
      <c r="I156" s="23" t="s">
        <v>21</v>
      </c>
      <c r="J156" s="18">
        <f>IF(I156="","",VALUE(SUBSTITUTE(VLOOKUP(I156,'Controle GEral'!H:I,2,FALSE),"R$ ", "")))</f>
        <v>10</v>
      </c>
      <c r="K156" s="23" t="s">
        <v>18</v>
      </c>
      <c r="L156" s="23" t="s">
        <v>28</v>
      </c>
      <c r="M156" s="17"/>
      <c r="N156" s="16"/>
      <c r="O156" s="17"/>
      <c r="P156" s="18">
        <f t="shared" si="4"/>
        <v>55</v>
      </c>
      <c r="Q156" s="22" t="e">
        <f t="shared" si="5"/>
        <v>#VALUE!</v>
      </c>
      <c r="R156" s="23"/>
    </row>
    <row r="157" spans="1:18" ht="12.75">
      <c r="A157" s="22">
        <v>46065</v>
      </c>
      <c r="B157" s="23" t="s">
        <v>23</v>
      </c>
      <c r="C157" s="23" t="s">
        <v>616</v>
      </c>
      <c r="D157" s="19"/>
      <c r="E157" s="23" t="s">
        <v>15</v>
      </c>
      <c r="G157" s="23" t="s">
        <v>16</v>
      </c>
      <c r="H157" s="18">
        <f>IF(G157="","",VALUE(SUBSTITUTE(VLOOKUP(G157,'Controle GEral'!F:G,2,FALSE),"R$ ", "")))</f>
        <v>45</v>
      </c>
      <c r="I157" s="23"/>
      <c r="J157" s="18" t="str">
        <f>IF(I157="","",VALUE(SUBSTITUTE(VLOOKUP(I157,'Controle GEral'!H:I,2,FALSE),"R$ ", "")))</f>
        <v/>
      </c>
      <c r="K157" s="23" t="s">
        <v>18</v>
      </c>
      <c r="L157" s="23" t="s">
        <v>28</v>
      </c>
      <c r="M157" s="17"/>
      <c r="N157" s="16"/>
      <c r="O157" s="17"/>
      <c r="P157" s="18" t="e">
        <f t="shared" si="4"/>
        <v>#VALUE!</v>
      </c>
      <c r="Q157" s="22" t="e">
        <f t="shared" si="5"/>
        <v>#VALUE!</v>
      </c>
      <c r="R157" s="23"/>
    </row>
    <row r="158" spans="1:18" ht="12.75">
      <c r="A158" s="22">
        <v>46065</v>
      </c>
      <c r="B158" s="23" t="s">
        <v>14</v>
      </c>
      <c r="C158" s="23" t="s">
        <v>717</v>
      </c>
      <c r="D158" s="19"/>
      <c r="E158" s="23" t="s">
        <v>24</v>
      </c>
      <c r="G158" s="23" t="s">
        <v>46</v>
      </c>
      <c r="H158" s="18">
        <f>IF(G158="","",VALUE(SUBSTITUTE(VLOOKUP(G158,'Controle GEral'!F:G,2,FALSE),"R$ ", "")))</f>
        <v>30</v>
      </c>
      <c r="I158" s="23"/>
      <c r="J158" s="18" t="str">
        <f>IF(I158="","",VALUE(SUBSTITUTE(VLOOKUP(I158,'Controle GEral'!H:I,2,FALSE),"R$ ", "")))</f>
        <v/>
      </c>
      <c r="K158" s="23" t="s">
        <v>18</v>
      </c>
      <c r="L158" s="23" t="s">
        <v>19</v>
      </c>
      <c r="M158" s="17"/>
      <c r="N158" s="16"/>
      <c r="O158" s="17"/>
      <c r="P158" s="18" t="e">
        <f t="shared" si="4"/>
        <v>#VALUE!</v>
      </c>
      <c r="Q158" s="22" t="e">
        <f t="shared" si="5"/>
        <v>#VALUE!</v>
      </c>
      <c r="R158" s="23"/>
    </row>
    <row r="159" spans="1:18" ht="12.75">
      <c r="A159" s="22">
        <v>46065</v>
      </c>
      <c r="B159" s="23" t="s">
        <v>23</v>
      </c>
      <c r="C159" s="23" t="s">
        <v>718</v>
      </c>
      <c r="D159" s="19"/>
      <c r="E159" s="23" t="s">
        <v>24</v>
      </c>
      <c r="G159" s="23" t="s">
        <v>38</v>
      </c>
      <c r="H159" s="18">
        <f>IF(G159="","",VALUE(SUBSTITUTE(VLOOKUP(G159,'Controle GEral'!F:G,2,FALSE),"R$ ", "")))</f>
        <v>70</v>
      </c>
      <c r="I159" s="23"/>
      <c r="J159" s="18" t="str">
        <f>IF(I159="","",VALUE(SUBSTITUTE(VLOOKUP(I159,'Controle GEral'!H:I,2,FALSE),"R$ ", "")))</f>
        <v/>
      </c>
      <c r="K159" s="23" t="s">
        <v>18</v>
      </c>
      <c r="L159" s="23" t="s">
        <v>34</v>
      </c>
      <c r="M159" s="17"/>
      <c r="N159" s="16"/>
      <c r="O159" s="17"/>
      <c r="P159" s="18" t="e">
        <f t="shared" si="4"/>
        <v>#VALUE!</v>
      </c>
      <c r="Q159" s="22" t="e">
        <f t="shared" si="5"/>
        <v>#VALUE!</v>
      </c>
      <c r="R159" s="23"/>
    </row>
    <row r="160" spans="1:18" ht="12.75">
      <c r="A160" s="22">
        <v>46066</v>
      </c>
      <c r="B160" s="23" t="s">
        <v>14</v>
      </c>
      <c r="C160" s="23" t="s">
        <v>599</v>
      </c>
      <c r="D160" s="19"/>
      <c r="E160" s="23" t="s">
        <v>24</v>
      </c>
      <c r="G160" s="23" t="s">
        <v>32</v>
      </c>
      <c r="H160" s="18">
        <f>IF(G160="","",VALUE(SUBSTITUTE(VLOOKUP(G160,'Controle GEral'!F:G,2,FALSE),"R$ ", "")))</f>
        <v>35</v>
      </c>
      <c r="I160" s="23"/>
      <c r="J160" s="18" t="str">
        <f>IF(I160="","",VALUE(SUBSTITUTE(VLOOKUP(I160,'Controle GEral'!H:I,2,FALSE),"R$ ", "")))</f>
        <v/>
      </c>
      <c r="K160" s="23" t="s">
        <v>18</v>
      </c>
      <c r="L160" s="23" t="s">
        <v>34</v>
      </c>
      <c r="M160" s="17"/>
      <c r="N160" s="16"/>
      <c r="O160" s="17"/>
      <c r="P160" s="18" t="e">
        <f t="shared" si="4"/>
        <v>#VALUE!</v>
      </c>
      <c r="Q160" s="22" t="e">
        <f t="shared" si="5"/>
        <v>#VALUE!</v>
      </c>
      <c r="R160" s="23"/>
    </row>
    <row r="161" spans="1:18" ht="12.75">
      <c r="A161" s="22">
        <v>46066</v>
      </c>
      <c r="B161" s="23" t="s">
        <v>14</v>
      </c>
      <c r="C161" s="23" t="s">
        <v>612</v>
      </c>
      <c r="D161" s="19"/>
      <c r="E161" s="23" t="s">
        <v>24</v>
      </c>
      <c r="G161" s="23" t="s">
        <v>38</v>
      </c>
      <c r="H161" s="18">
        <f>IF(G161="","",VALUE(SUBSTITUTE(VLOOKUP(G161,'Controle GEral'!F:G,2,FALSE),"R$ ", "")))</f>
        <v>70</v>
      </c>
      <c r="I161" s="23"/>
      <c r="J161" s="18" t="str">
        <f>IF(I161="","",VALUE(SUBSTITUTE(VLOOKUP(I161,'Controle GEral'!H:I,2,FALSE),"R$ ", "")))</f>
        <v/>
      </c>
      <c r="K161" s="23" t="s">
        <v>18</v>
      </c>
      <c r="L161" s="23" t="s">
        <v>34</v>
      </c>
      <c r="M161" s="17"/>
      <c r="N161" s="16"/>
      <c r="O161" s="17"/>
      <c r="P161" s="18" t="e">
        <f t="shared" si="4"/>
        <v>#VALUE!</v>
      </c>
      <c r="Q161" s="22" t="e">
        <f t="shared" si="5"/>
        <v>#VALUE!</v>
      </c>
      <c r="R161" s="23"/>
    </row>
    <row r="162" spans="1:18" ht="12.75">
      <c r="A162" s="22">
        <v>46066</v>
      </c>
      <c r="B162" s="23" t="s">
        <v>14</v>
      </c>
      <c r="C162" s="23" t="s">
        <v>601</v>
      </c>
      <c r="D162" s="19"/>
      <c r="E162" s="23" t="s">
        <v>24</v>
      </c>
      <c r="G162" s="23" t="s">
        <v>38</v>
      </c>
      <c r="H162" s="18">
        <f>IF(G162="","",VALUE(SUBSTITUTE(VLOOKUP(G162,'Controle GEral'!F:G,2,FALSE),"R$ ", "")))</f>
        <v>70</v>
      </c>
      <c r="I162" s="23"/>
      <c r="J162" s="18" t="str">
        <f>IF(I162="","",VALUE(SUBSTITUTE(VLOOKUP(I162,'Controle GEral'!H:I,2,FALSE),"R$ ", "")))</f>
        <v/>
      </c>
      <c r="K162" s="23" t="s">
        <v>18</v>
      </c>
      <c r="L162" s="23" t="s">
        <v>34</v>
      </c>
      <c r="M162" s="17"/>
      <c r="N162" s="16"/>
      <c r="O162" s="17"/>
      <c r="P162" s="18" t="e">
        <f t="shared" si="4"/>
        <v>#VALUE!</v>
      </c>
      <c r="Q162" s="22" t="e">
        <f t="shared" si="5"/>
        <v>#VALUE!</v>
      </c>
      <c r="R162" s="23"/>
    </row>
    <row r="163" spans="1:18" ht="12.75">
      <c r="A163" s="22">
        <v>46066</v>
      </c>
      <c r="B163" s="23" t="s">
        <v>14</v>
      </c>
      <c r="C163" s="23" t="s">
        <v>719</v>
      </c>
      <c r="D163" s="19"/>
      <c r="E163" s="23" t="s">
        <v>24</v>
      </c>
      <c r="G163" s="23"/>
      <c r="H163" s="18" t="str">
        <f>IF(G163="","",VALUE(SUBSTITUTE(VLOOKUP(G163,'Controle GEral'!F:G,2,FALSE),"R$ ", "")))</f>
        <v/>
      </c>
      <c r="I163" s="23"/>
      <c r="J163" s="18" t="str">
        <f>IF(I163="","",VALUE(SUBSTITUTE(VLOOKUP(I163,'Controle GEral'!H:I,2,FALSE),"R$ ", "")))</f>
        <v/>
      </c>
      <c r="K163" s="23"/>
      <c r="L163" s="23"/>
      <c r="M163" s="17"/>
      <c r="N163" s="16"/>
      <c r="O163" s="17"/>
      <c r="P163" s="18" t="e">
        <f t="shared" si="4"/>
        <v>#VALUE!</v>
      </c>
      <c r="Q163" s="22" t="e">
        <f t="shared" si="5"/>
        <v>#VALUE!</v>
      </c>
      <c r="R163" s="23"/>
    </row>
    <row r="164" spans="1:18" ht="12.75">
      <c r="A164" s="22">
        <v>46066</v>
      </c>
      <c r="B164" s="23" t="s">
        <v>14</v>
      </c>
      <c r="C164" s="23" t="s">
        <v>720</v>
      </c>
      <c r="D164" s="19"/>
      <c r="E164" s="23" t="s">
        <v>24</v>
      </c>
      <c r="G164" s="23" t="s">
        <v>38</v>
      </c>
      <c r="H164" s="18">
        <f>IF(G164="","",VALUE(SUBSTITUTE(VLOOKUP(G164,'Controle GEral'!F:G,2,FALSE),"R$ ", "")))</f>
        <v>70</v>
      </c>
      <c r="I164" s="23"/>
      <c r="J164" s="18" t="str">
        <f>IF(I164="","",VALUE(SUBSTITUTE(VLOOKUP(I164,'Controle GEral'!H:I,2,FALSE),"R$ ", "")))</f>
        <v/>
      </c>
      <c r="K164" s="23" t="s">
        <v>18</v>
      </c>
      <c r="L164" s="23" t="s">
        <v>34</v>
      </c>
      <c r="M164" s="17"/>
      <c r="N164" s="16"/>
      <c r="O164" s="17"/>
      <c r="P164" s="18" t="e">
        <f t="shared" si="4"/>
        <v>#VALUE!</v>
      </c>
      <c r="Q164" s="22" t="e">
        <f t="shared" si="5"/>
        <v>#VALUE!</v>
      </c>
      <c r="R164" s="23"/>
    </row>
    <row r="165" spans="1:18" ht="12.75">
      <c r="A165" s="22">
        <v>46066</v>
      </c>
      <c r="B165" s="23" t="s">
        <v>14</v>
      </c>
      <c r="C165" s="23" t="s">
        <v>602</v>
      </c>
      <c r="D165" s="19"/>
      <c r="E165" s="23" t="s">
        <v>24</v>
      </c>
      <c r="G165" s="23" t="s">
        <v>16</v>
      </c>
      <c r="H165" s="18">
        <f>IF(G165="","",VALUE(SUBSTITUTE(VLOOKUP(G165,'Controle GEral'!F:G,2,FALSE),"R$ ", "")))</f>
        <v>45</v>
      </c>
      <c r="I165" s="23" t="s">
        <v>21</v>
      </c>
      <c r="J165" s="18">
        <f>IF(I165="","",VALUE(SUBSTITUTE(VLOOKUP(I165,'Controle GEral'!H:I,2,FALSE),"R$ ", "")))</f>
        <v>10</v>
      </c>
      <c r="K165" s="23" t="s">
        <v>18</v>
      </c>
      <c r="L165" s="23" t="s">
        <v>34</v>
      </c>
      <c r="M165" s="17"/>
      <c r="N165" s="16"/>
      <c r="O165" s="17"/>
      <c r="P165" s="18">
        <f t="shared" si="4"/>
        <v>55</v>
      </c>
      <c r="Q165" s="22" t="e">
        <f t="shared" si="5"/>
        <v>#VALUE!</v>
      </c>
      <c r="R165" s="23"/>
    </row>
    <row r="166" spans="1:18" ht="12.75">
      <c r="A166" s="22">
        <v>46066</v>
      </c>
      <c r="B166" s="23" t="s">
        <v>14</v>
      </c>
      <c r="C166" s="23" t="s">
        <v>721</v>
      </c>
      <c r="D166" s="19"/>
      <c r="E166" s="23" t="s">
        <v>24</v>
      </c>
      <c r="G166" s="23"/>
      <c r="H166" s="18" t="str">
        <f>IF(G166="","",VALUE(SUBSTITUTE(VLOOKUP(G166,'Controle GEral'!F:G,2,FALSE),"R$ ", "")))</f>
        <v/>
      </c>
      <c r="I166" s="23"/>
      <c r="J166" s="18" t="str">
        <f>IF(I166="","",VALUE(SUBSTITUTE(VLOOKUP(I166,'Controle GEral'!H:I,2,FALSE),"R$ ", "")))</f>
        <v/>
      </c>
      <c r="K166" s="23"/>
      <c r="L166" s="23"/>
      <c r="M166" s="17"/>
      <c r="N166" s="16"/>
      <c r="O166" s="17"/>
      <c r="P166" s="18" t="e">
        <f t="shared" si="4"/>
        <v>#VALUE!</v>
      </c>
      <c r="Q166" s="22" t="e">
        <f t="shared" si="5"/>
        <v>#VALUE!</v>
      </c>
      <c r="R166" s="23"/>
    </row>
    <row r="167" spans="1:18" ht="12.75">
      <c r="A167" s="22">
        <v>46066</v>
      </c>
      <c r="B167" s="23" t="s">
        <v>14</v>
      </c>
      <c r="C167" s="23" t="s">
        <v>722</v>
      </c>
      <c r="D167" s="19"/>
      <c r="E167" s="23" t="s">
        <v>24</v>
      </c>
      <c r="G167" s="23"/>
      <c r="H167" s="18" t="str">
        <f>IF(G167="","",VALUE(SUBSTITUTE(VLOOKUP(G167,'Controle GEral'!F:G,2,FALSE),"R$ ", "")))</f>
        <v/>
      </c>
      <c r="I167" s="23"/>
      <c r="J167" s="18" t="str">
        <f>IF(I167="","",VALUE(SUBSTITUTE(VLOOKUP(I167,'Controle GEral'!H:I,2,FALSE),"R$ ", "")))</f>
        <v/>
      </c>
      <c r="K167" s="23"/>
      <c r="L167" s="23"/>
      <c r="M167" s="17"/>
      <c r="N167" s="16"/>
      <c r="O167" s="17"/>
      <c r="P167" s="18" t="e">
        <f t="shared" si="4"/>
        <v>#VALUE!</v>
      </c>
      <c r="Q167" s="22" t="e">
        <f t="shared" si="5"/>
        <v>#VALUE!</v>
      </c>
      <c r="R167" s="23"/>
    </row>
    <row r="168" spans="1:18" ht="12.75">
      <c r="A168" s="22">
        <v>46066</v>
      </c>
      <c r="B168" s="23" t="s">
        <v>14</v>
      </c>
      <c r="C168" s="23" t="s">
        <v>673</v>
      </c>
      <c r="D168" s="19"/>
      <c r="E168" s="23" t="s">
        <v>24</v>
      </c>
      <c r="G168" s="23" t="s">
        <v>12</v>
      </c>
      <c r="H168" s="18" t="e">
        <f>IF(G168="","",VALUE(SUBSTITUTE(VLOOKUP(G168,'Controle GEral'!F:G,2,FALSE),"R$ ", "")))</f>
        <v>#N/A</v>
      </c>
      <c r="I168" s="23"/>
      <c r="J168" s="18" t="str">
        <f>IF(I168="","",VALUE(SUBSTITUTE(VLOOKUP(I168,'Controle GEral'!H:I,2,FALSE),"R$ ", "")))</f>
        <v/>
      </c>
      <c r="K168" s="23" t="s">
        <v>18</v>
      </c>
      <c r="L168" s="23" t="s">
        <v>34</v>
      </c>
      <c r="M168" s="17"/>
      <c r="N168" s="16"/>
      <c r="O168" s="17"/>
      <c r="P168" s="23" t="e">
        <f t="shared" si="4"/>
        <v>#N/A</v>
      </c>
      <c r="Q168" s="22" t="e">
        <f t="shared" si="5"/>
        <v>#VALUE!</v>
      </c>
      <c r="R168" s="23"/>
    </row>
    <row r="169" spans="1:18" ht="12.75">
      <c r="A169" s="22">
        <v>46066</v>
      </c>
      <c r="B169" s="23" t="s">
        <v>14</v>
      </c>
      <c r="C169" s="23" t="s">
        <v>664</v>
      </c>
      <c r="D169" s="19"/>
      <c r="E169" s="23" t="s">
        <v>24</v>
      </c>
      <c r="G169" s="23" t="s">
        <v>38</v>
      </c>
      <c r="H169" s="18">
        <f>IF(G169="","",VALUE(SUBSTITUTE(VLOOKUP(G169,'Controle GEral'!F:G,2,FALSE),"R$ ", "")))</f>
        <v>70</v>
      </c>
      <c r="I169" s="23"/>
      <c r="J169" s="18" t="str">
        <f>IF(I169="","",VALUE(SUBSTITUTE(VLOOKUP(I169,'Controle GEral'!H:I,2,FALSE),"R$ ", "")))</f>
        <v/>
      </c>
      <c r="K169" s="23" t="s">
        <v>18</v>
      </c>
      <c r="L169" s="23" t="s">
        <v>34</v>
      </c>
      <c r="M169" s="17"/>
      <c r="N169" s="16"/>
      <c r="O169" s="17"/>
      <c r="P169" s="18" t="e">
        <f t="shared" si="4"/>
        <v>#VALUE!</v>
      </c>
      <c r="Q169" s="22" t="e">
        <f t="shared" si="5"/>
        <v>#VALUE!</v>
      </c>
      <c r="R169" s="23"/>
    </row>
    <row r="170" spans="1:18" ht="12.75">
      <c r="A170" s="22">
        <v>46066</v>
      </c>
      <c r="B170" s="23" t="s">
        <v>23</v>
      </c>
      <c r="C170" s="23" t="s">
        <v>723</v>
      </c>
      <c r="D170" s="19"/>
      <c r="E170" s="23" t="s">
        <v>24</v>
      </c>
      <c r="G170" s="23" t="s">
        <v>38</v>
      </c>
      <c r="H170" s="18">
        <f>IF(G170="","",VALUE(SUBSTITUTE(VLOOKUP(G170,'Controle GEral'!F:G,2,FALSE),"R$ ", "")))</f>
        <v>70</v>
      </c>
      <c r="I170" s="23" t="s">
        <v>21</v>
      </c>
      <c r="J170" s="18">
        <f>IF(I170="","",VALUE(SUBSTITUTE(VLOOKUP(I170,'Controle GEral'!H:I,2,FALSE),"R$ ", "")))</f>
        <v>10</v>
      </c>
      <c r="K170" s="23" t="s">
        <v>18</v>
      </c>
      <c r="L170" s="23" t="s">
        <v>34</v>
      </c>
      <c r="M170" s="17"/>
      <c r="N170" s="16"/>
      <c r="O170" s="17"/>
      <c r="P170" s="18">
        <f t="shared" si="4"/>
        <v>80</v>
      </c>
      <c r="Q170" s="22" t="e">
        <f t="shared" si="5"/>
        <v>#VALUE!</v>
      </c>
      <c r="R170" s="23"/>
    </row>
    <row r="171" spans="1:18" ht="12.75">
      <c r="A171" s="22">
        <v>46066</v>
      </c>
      <c r="B171" s="23" t="s">
        <v>23</v>
      </c>
      <c r="C171" s="23" t="s">
        <v>724</v>
      </c>
      <c r="D171" s="19"/>
      <c r="E171" s="23" t="s">
        <v>24</v>
      </c>
      <c r="G171" s="23" t="s">
        <v>12</v>
      </c>
      <c r="H171" s="18" t="e">
        <f>IF(G171="","",VALUE(SUBSTITUTE(VLOOKUP(G171,'Controle GEral'!F:G,2,FALSE),"R$ ", "")))</f>
        <v>#N/A</v>
      </c>
      <c r="I171" s="23"/>
      <c r="J171" s="18" t="str">
        <f>IF(I171="","",VALUE(SUBSTITUTE(VLOOKUP(I171,'Controle GEral'!H:I,2,FALSE),"R$ ", "")))</f>
        <v/>
      </c>
      <c r="K171" s="23" t="s">
        <v>18</v>
      </c>
      <c r="L171" s="23" t="s">
        <v>34</v>
      </c>
      <c r="M171" s="17"/>
      <c r="N171" s="16"/>
      <c r="O171" s="17"/>
      <c r="P171" s="23" t="e">
        <f t="shared" si="4"/>
        <v>#N/A</v>
      </c>
      <c r="Q171" s="22" t="e">
        <f t="shared" si="5"/>
        <v>#VALUE!</v>
      </c>
      <c r="R171" s="23"/>
    </row>
    <row r="172" spans="1:18" ht="12.75">
      <c r="A172" s="22">
        <v>46066</v>
      </c>
      <c r="B172" s="23" t="s">
        <v>23</v>
      </c>
      <c r="C172" s="23" t="s">
        <v>725</v>
      </c>
      <c r="D172" s="19"/>
      <c r="E172" s="23" t="s">
        <v>24</v>
      </c>
      <c r="G172" s="23" t="s">
        <v>16</v>
      </c>
      <c r="H172" s="18">
        <f>IF(G172="","",VALUE(SUBSTITUTE(VLOOKUP(G172,'Controle GEral'!F:G,2,FALSE),"R$ ", "")))</f>
        <v>45</v>
      </c>
      <c r="I172" s="23"/>
      <c r="J172" s="18" t="str">
        <f>IF(I172="","",VALUE(SUBSTITUTE(VLOOKUP(I172,'Controle GEral'!H:I,2,FALSE),"R$ ", "")))</f>
        <v/>
      </c>
      <c r="K172" s="23" t="s">
        <v>18</v>
      </c>
      <c r="L172" s="23" t="s">
        <v>34</v>
      </c>
      <c r="M172" s="17"/>
      <c r="N172" s="16"/>
      <c r="O172" s="17"/>
      <c r="P172" s="18" t="e">
        <f t="shared" si="4"/>
        <v>#VALUE!</v>
      </c>
      <c r="Q172" s="22" t="e">
        <f t="shared" si="5"/>
        <v>#VALUE!</v>
      </c>
      <c r="R172" s="23"/>
    </row>
    <row r="173" spans="1:18" ht="12.75">
      <c r="A173" s="22">
        <v>46066</v>
      </c>
      <c r="B173" s="23" t="s">
        <v>23</v>
      </c>
      <c r="C173" s="23" t="s">
        <v>726</v>
      </c>
      <c r="D173" s="19"/>
      <c r="E173" s="23" t="s">
        <v>24</v>
      </c>
      <c r="G173" s="23" t="s">
        <v>25</v>
      </c>
      <c r="H173" s="18">
        <f>IF(G173="","",VALUE(SUBSTITUTE(VLOOKUP(G173,'Controle GEral'!F:G,2,FALSE),"R$ ", "")))</f>
        <v>80</v>
      </c>
      <c r="I173" s="23"/>
      <c r="J173" s="18" t="str">
        <f>IF(I173="","",VALUE(SUBSTITUTE(VLOOKUP(I173,'Controle GEral'!H:I,2,FALSE),"R$ ", "")))</f>
        <v/>
      </c>
      <c r="K173" s="23" t="s">
        <v>18</v>
      </c>
      <c r="L173" s="23" t="s">
        <v>28</v>
      </c>
      <c r="M173" s="17"/>
      <c r="N173" s="16"/>
      <c r="O173" s="17"/>
      <c r="P173" s="18" t="e">
        <f t="shared" si="4"/>
        <v>#VALUE!</v>
      </c>
      <c r="Q173" s="22" t="e">
        <f t="shared" si="5"/>
        <v>#VALUE!</v>
      </c>
      <c r="R173" s="23"/>
    </row>
    <row r="174" spans="1:18" ht="12.75">
      <c r="A174" s="22">
        <v>46066</v>
      </c>
      <c r="B174" s="23" t="s">
        <v>23</v>
      </c>
      <c r="C174" s="23" t="s">
        <v>727</v>
      </c>
      <c r="D174" s="19"/>
      <c r="E174" s="23" t="s">
        <v>24</v>
      </c>
      <c r="G174" s="23" t="s">
        <v>16</v>
      </c>
      <c r="H174" s="18">
        <f>IF(G174="","",VALUE(SUBSTITUTE(VLOOKUP(G174,'Controle GEral'!F:G,2,FALSE),"R$ ", "")))</f>
        <v>45</v>
      </c>
      <c r="I174" s="23"/>
      <c r="J174" s="18" t="str">
        <f>IF(I174="","",VALUE(SUBSTITUTE(VLOOKUP(I174,'Controle GEral'!H:I,2,FALSE),"R$ ", "")))</f>
        <v/>
      </c>
      <c r="K174" s="23" t="s">
        <v>18</v>
      </c>
      <c r="L174" s="23" t="s">
        <v>28</v>
      </c>
      <c r="M174" s="17"/>
      <c r="N174" s="16"/>
      <c r="O174" s="17"/>
      <c r="P174" s="18" t="e">
        <f t="shared" si="4"/>
        <v>#VALUE!</v>
      </c>
      <c r="Q174" s="22" t="e">
        <f t="shared" si="5"/>
        <v>#VALUE!</v>
      </c>
      <c r="R174" s="23"/>
    </row>
    <row r="175" spans="1:18" ht="12.75">
      <c r="A175" s="22">
        <v>46066</v>
      </c>
      <c r="B175" s="23" t="s">
        <v>23</v>
      </c>
      <c r="C175" s="23" t="s">
        <v>728</v>
      </c>
      <c r="D175" s="19"/>
      <c r="E175" s="23" t="s">
        <v>24</v>
      </c>
      <c r="G175" s="23" t="s">
        <v>16</v>
      </c>
      <c r="H175" s="18">
        <f>IF(G175="","",VALUE(SUBSTITUTE(VLOOKUP(G175,'Controle GEral'!F:G,2,FALSE),"R$ ", "")))</f>
        <v>45</v>
      </c>
      <c r="I175" s="23" t="s">
        <v>21</v>
      </c>
      <c r="J175" s="18">
        <f>IF(I175="","",VALUE(SUBSTITUTE(VLOOKUP(I175,'Controle GEral'!H:I,2,FALSE),"R$ ", "")))</f>
        <v>10</v>
      </c>
      <c r="K175" s="23" t="s">
        <v>18</v>
      </c>
      <c r="L175" s="23" t="s">
        <v>34</v>
      </c>
      <c r="M175" s="17"/>
      <c r="N175" s="16"/>
      <c r="O175" s="17"/>
      <c r="P175" s="18">
        <f t="shared" si="4"/>
        <v>55</v>
      </c>
      <c r="Q175" s="22" t="e">
        <f t="shared" si="5"/>
        <v>#VALUE!</v>
      </c>
      <c r="R175" s="23"/>
    </row>
    <row r="176" spans="1:18" ht="12.75">
      <c r="A176" s="22">
        <v>46066</v>
      </c>
      <c r="B176" s="23" t="s">
        <v>23</v>
      </c>
      <c r="C176" s="23" t="s">
        <v>729</v>
      </c>
      <c r="D176" s="19"/>
      <c r="E176" s="23" t="s">
        <v>24</v>
      </c>
      <c r="G176" s="23" t="s">
        <v>16</v>
      </c>
      <c r="H176" s="18">
        <f>IF(G176="","",VALUE(SUBSTITUTE(VLOOKUP(G176,'Controle GEral'!F:G,2,FALSE),"R$ ", "")))</f>
        <v>45</v>
      </c>
      <c r="I176" s="23"/>
      <c r="J176" s="18" t="str">
        <f>IF(I176="","",VALUE(SUBSTITUTE(VLOOKUP(I176,'Controle GEral'!H:I,2,FALSE),"R$ ", "")))</f>
        <v/>
      </c>
      <c r="K176" s="23" t="s">
        <v>18</v>
      </c>
      <c r="L176" s="23" t="s">
        <v>34</v>
      </c>
      <c r="M176" s="17"/>
      <c r="N176" s="16"/>
      <c r="O176" s="17"/>
      <c r="P176" s="18" t="e">
        <f t="shared" si="4"/>
        <v>#VALUE!</v>
      </c>
      <c r="Q176" s="22" t="e">
        <f t="shared" si="5"/>
        <v>#VALUE!</v>
      </c>
      <c r="R176" s="23"/>
    </row>
    <row r="177" spans="1:18" ht="12.75">
      <c r="A177" s="22">
        <v>46066</v>
      </c>
      <c r="B177" s="23" t="s">
        <v>23</v>
      </c>
      <c r="C177" s="23" t="s">
        <v>656</v>
      </c>
      <c r="D177" s="19"/>
      <c r="E177" s="23" t="s">
        <v>24</v>
      </c>
      <c r="G177" s="23" t="s">
        <v>12</v>
      </c>
      <c r="H177" s="18" t="e">
        <f>IF(G177="","",VALUE(SUBSTITUTE(VLOOKUP(G177,'Controle GEral'!F:G,2,FALSE),"R$ ", "")))</f>
        <v>#N/A</v>
      </c>
      <c r="I177" s="23"/>
      <c r="J177" s="18" t="str">
        <f>IF(I177="","",VALUE(SUBSTITUTE(VLOOKUP(I177,'Controle GEral'!H:I,2,FALSE),"R$ ", "")))</f>
        <v/>
      </c>
      <c r="K177" s="23" t="s">
        <v>18</v>
      </c>
      <c r="L177" s="23" t="s">
        <v>28</v>
      </c>
      <c r="M177" s="17"/>
      <c r="N177" s="16"/>
      <c r="O177" s="17"/>
      <c r="P177" s="23" t="e">
        <f t="shared" si="4"/>
        <v>#N/A</v>
      </c>
      <c r="Q177" s="22" t="e">
        <f t="shared" si="5"/>
        <v>#VALUE!</v>
      </c>
      <c r="R177" s="23"/>
    </row>
    <row r="178" spans="1:18" ht="12.75">
      <c r="A178" s="22">
        <v>46066</v>
      </c>
      <c r="B178" s="23" t="s">
        <v>23</v>
      </c>
      <c r="C178" s="23" t="s">
        <v>669</v>
      </c>
      <c r="D178" s="19"/>
      <c r="E178" s="23" t="s">
        <v>24</v>
      </c>
      <c r="G178" s="23"/>
      <c r="H178" s="18" t="str">
        <f>IF(G178="","",VALUE(SUBSTITUTE(VLOOKUP(G178,'Controle GEral'!F:G,2,FALSE),"R$ ", "")))</f>
        <v/>
      </c>
      <c r="I178" s="23"/>
      <c r="J178" s="18" t="str">
        <f>IF(I178="","",VALUE(SUBSTITUTE(VLOOKUP(I178,'Controle GEral'!H:I,2,FALSE),"R$ ", "")))</f>
        <v/>
      </c>
      <c r="K178" s="23"/>
      <c r="L178" s="23"/>
      <c r="M178" s="17"/>
      <c r="N178" s="16"/>
      <c r="O178" s="17"/>
      <c r="P178" s="18" t="e">
        <f t="shared" si="4"/>
        <v>#VALUE!</v>
      </c>
      <c r="Q178" s="22" t="e">
        <f t="shared" si="5"/>
        <v>#VALUE!</v>
      </c>
      <c r="R178" s="23"/>
    </row>
    <row r="179" spans="1:18" ht="12.75">
      <c r="A179" s="22">
        <v>46066</v>
      </c>
      <c r="B179" s="23" t="s">
        <v>23</v>
      </c>
      <c r="C179" s="23" t="s">
        <v>730</v>
      </c>
      <c r="D179" s="19"/>
      <c r="E179" s="23" t="s">
        <v>24</v>
      </c>
      <c r="G179" s="23" t="s">
        <v>25</v>
      </c>
      <c r="H179" s="18">
        <f>IF(G179="","",VALUE(SUBSTITUTE(VLOOKUP(G179,'Controle GEral'!F:G,2,FALSE),"R$ ", "")))</f>
        <v>80</v>
      </c>
      <c r="I179" s="23" t="s">
        <v>30</v>
      </c>
      <c r="J179" s="18">
        <f>IF(I179="","",VALUE(SUBSTITUTE(VLOOKUP(I179,'Controle GEral'!H:I,2,FALSE),"R$ ", "")))</f>
        <v>40</v>
      </c>
      <c r="K179" s="23" t="s">
        <v>18</v>
      </c>
      <c r="L179" s="23" t="s">
        <v>28</v>
      </c>
      <c r="M179" s="17"/>
      <c r="N179" s="16"/>
      <c r="O179" s="17"/>
      <c r="P179" s="18">
        <f t="shared" si="4"/>
        <v>120</v>
      </c>
      <c r="Q179" s="22" t="e">
        <f t="shared" si="5"/>
        <v>#VALUE!</v>
      </c>
      <c r="R179" s="23"/>
    </row>
    <row r="180" spans="1:18" ht="12.75">
      <c r="A180" s="22">
        <v>46066</v>
      </c>
      <c r="B180" s="23" t="s">
        <v>23</v>
      </c>
      <c r="C180" s="23" t="s">
        <v>731</v>
      </c>
      <c r="D180" s="19"/>
      <c r="E180" s="23" t="s">
        <v>24</v>
      </c>
      <c r="G180" s="23" t="s">
        <v>16</v>
      </c>
      <c r="H180" s="18">
        <f>IF(G180="","",VALUE(SUBSTITUTE(VLOOKUP(G180,'Controle GEral'!F:G,2,FALSE),"R$ ", "")))</f>
        <v>45</v>
      </c>
      <c r="I180" s="23"/>
      <c r="J180" s="18" t="str">
        <f>IF(I180="","",VALUE(SUBSTITUTE(VLOOKUP(I180,'Controle GEral'!H:I,2,FALSE),"R$ ", "")))</f>
        <v/>
      </c>
      <c r="K180" s="23" t="s">
        <v>18</v>
      </c>
      <c r="L180" s="23" t="s">
        <v>34</v>
      </c>
      <c r="M180" s="17"/>
      <c r="N180" s="16"/>
      <c r="O180" s="17"/>
      <c r="P180" s="18" t="e">
        <f t="shared" si="4"/>
        <v>#VALUE!</v>
      </c>
      <c r="Q180" s="22" t="e">
        <f t="shared" si="5"/>
        <v>#VALUE!</v>
      </c>
      <c r="R180" s="23"/>
    </row>
    <row r="181" spans="1:18" ht="12.75">
      <c r="A181" s="22">
        <v>46067</v>
      </c>
      <c r="B181" s="23" t="s">
        <v>14</v>
      </c>
      <c r="C181" s="23" t="s">
        <v>615</v>
      </c>
      <c r="D181" s="19"/>
      <c r="E181" s="23" t="s">
        <v>24</v>
      </c>
      <c r="G181" s="23" t="s">
        <v>12</v>
      </c>
      <c r="H181" s="18" t="e">
        <f>IF(G181="","",VALUE(SUBSTITUTE(VLOOKUP(G181,'Controle GEral'!F:G,2,FALSE),"R$ ", "")))</f>
        <v>#N/A</v>
      </c>
      <c r="I181" s="23"/>
      <c r="J181" s="18" t="str">
        <f>IF(I181="","",VALUE(SUBSTITUTE(VLOOKUP(I181,'Controle GEral'!H:I,2,FALSE),"R$ ", "")))</f>
        <v/>
      </c>
      <c r="K181" s="23" t="s">
        <v>18</v>
      </c>
      <c r="L181" s="23" t="s">
        <v>34</v>
      </c>
      <c r="M181" s="17"/>
      <c r="N181" s="16"/>
      <c r="O181" s="17"/>
      <c r="P181" s="23" t="e">
        <f t="shared" si="4"/>
        <v>#N/A</v>
      </c>
      <c r="Q181" s="22" t="e">
        <f t="shared" si="5"/>
        <v>#VALUE!</v>
      </c>
      <c r="R181" s="23"/>
    </row>
    <row r="182" spans="1:18" ht="12.75">
      <c r="A182" s="22">
        <v>46067</v>
      </c>
      <c r="B182" s="23" t="s">
        <v>14</v>
      </c>
      <c r="C182" s="23" t="s">
        <v>732</v>
      </c>
      <c r="D182" s="19"/>
      <c r="E182" s="23" t="s">
        <v>24</v>
      </c>
      <c r="G182" s="23" t="s">
        <v>16</v>
      </c>
      <c r="H182" s="18">
        <f>IF(G182="","",VALUE(SUBSTITUTE(VLOOKUP(G182,'Controle GEral'!F:G,2,FALSE),"R$ ", "")))</f>
        <v>45</v>
      </c>
      <c r="I182" s="23"/>
      <c r="J182" s="18" t="str">
        <f>IF(I182="","",VALUE(SUBSTITUTE(VLOOKUP(I182,'Controle GEral'!H:I,2,FALSE),"R$ ", "")))</f>
        <v/>
      </c>
      <c r="K182" s="23" t="s">
        <v>18</v>
      </c>
      <c r="L182" s="23" t="s">
        <v>34</v>
      </c>
      <c r="M182" s="17"/>
      <c r="N182" s="16"/>
      <c r="O182" s="17"/>
      <c r="P182" s="18" t="e">
        <f t="shared" si="4"/>
        <v>#VALUE!</v>
      </c>
      <c r="Q182" s="22" t="e">
        <f t="shared" si="5"/>
        <v>#VALUE!</v>
      </c>
      <c r="R182" s="23"/>
    </row>
    <row r="183" spans="1:18" ht="12.75">
      <c r="A183" s="22">
        <v>46067</v>
      </c>
      <c r="B183" s="23" t="s">
        <v>14</v>
      </c>
      <c r="C183" s="23" t="s">
        <v>733</v>
      </c>
      <c r="D183" s="19"/>
      <c r="E183" s="23" t="s">
        <v>24</v>
      </c>
      <c r="G183" s="23" t="s">
        <v>25</v>
      </c>
      <c r="H183" s="18">
        <f>IF(G183="","",VALUE(SUBSTITUTE(VLOOKUP(G183,'Controle GEral'!F:G,2,FALSE),"R$ ", "")))</f>
        <v>80</v>
      </c>
      <c r="I183" s="23"/>
      <c r="J183" s="18" t="str">
        <f>IF(I183="","",VALUE(SUBSTITUTE(VLOOKUP(I183,'Controle GEral'!H:I,2,FALSE),"R$ ", "")))</f>
        <v/>
      </c>
      <c r="K183" s="23" t="s">
        <v>18</v>
      </c>
      <c r="L183" s="23" t="s">
        <v>34</v>
      </c>
      <c r="M183" s="17"/>
      <c r="N183" s="16"/>
      <c r="O183" s="17"/>
      <c r="P183" s="18" t="e">
        <f t="shared" si="4"/>
        <v>#VALUE!</v>
      </c>
      <c r="Q183" s="22" t="e">
        <f t="shared" si="5"/>
        <v>#VALUE!</v>
      </c>
      <c r="R183" s="23"/>
    </row>
    <row r="184" spans="1:18" ht="12.75">
      <c r="A184" s="22">
        <v>46067</v>
      </c>
      <c r="B184" s="23" t="s">
        <v>14</v>
      </c>
      <c r="C184" s="23" t="s">
        <v>569</v>
      </c>
      <c r="D184" s="19"/>
      <c r="E184" s="23" t="s">
        <v>24</v>
      </c>
      <c r="G184" s="23"/>
      <c r="H184" s="18" t="str">
        <f>IF(G184="","",VALUE(SUBSTITUTE(VLOOKUP(G184,'Controle GEral'!F:G,2,FALSE),"R$ ", "")))</f>
        <v/>
      </c>
      <c r="I184" s="23"/>
      <c r="J184" s="18" t="str">
        <f>IF(I184="","",VALUE(SUBSTITUTE(VLOOKUP(I184,'Controle GEral'!H:I,2,FALSE),"R$ ", "")))</f>
        <v/>
      </c>
      <c r="K184" s="23"/>
      <c r="L184" s="23"/>
      <c r="M184" s="17"/>
      <c r="N184" s="16"/>
      <c r="O184" s="17"/>
      <c r="P184" s="18" t="e">
        <f t="shared" si="4"/>
        <v>#VALUE!</v>
      </c>
      <c r="Q184" s="22" t="e">
        <f t="shared" si="5"/>
        <v>#VALUE!</v>
      </c>
      <c r="R184" s="23"/>
    </row>
    <row r="185" spans="1:18" ht="12.75">
      <c r="A185" s="22">
        <v>46067</v>
      </c>
      <c r="B185" s="23" t="s">
        <v>14</v>
      </c>
      <c r="C185" s="23" t="s">
        <v>734</v>
      </c>
      <c r="D185" s="19"/>
      <c r="E185" s="23" t="s">
        <v>24</v>
      </c>
      <c r="G185" s="23" t="s">
        <v>25</v>
      </c>
      <c r="H185" s="18">
        <f>IF(G185="","",VALUE(SUBSTITUTE(VLOOKUP(G185,'Controle GEral'!F:G,2,FALSE),"R$ ", "")))</f>
        <v>80</v>
      </c>
      <c r="I185" s="23"/>
      <c r="J185" s="18" t="str">
        <f>IF(I185="","",VALUE(SUBSTITUTE(VLOOKUP(I185,'Controle GEral'!H:I,2,FALSE),"R$ ", "")))</f>
        <v/>
      </c>
      <c r="K185" s="23" t="s">
        <v>18</v>
      </c>
      <c r="L185" s="23" t="s">
        <v>34</v>
      </c>
      <c r="M185" s="17"/>
      <c r="N185" s="16"/>
      <c r="O185" s="17"/>
      <c r="P185" s="18" t="e">
        <f t="shared" si="4"/>
        <v>#VALUE!</v>
      </c>
      <c r="Q185" s="22" t="e">
        <f t="shared" si="5"/>
        <v>#VALUE!</v>
      </c>
      <c r="R185" s="23"/>
    </row>
    <row r="186" spans="1:18" ht="12.75">
      <c r="A186" s="22">
        <v>46067</v>
      </c>
      <c r="B186" s="23" t="s">
        <v>14</v>
      </c>
      <c r="C186" s="23" t="s">
        <v>735</v>
      </c>
      <c r="D186" s="19"/>
      <c r="E186" s="23" t="s">
        <v>24</v>
      </c>
      <c r="G186" s="23" t="s">
        <v>16</v>
      </c>
      <c r="H186" s="18">
        <f>IF(G186="","",VALUE(SUBSTITUTE(VLOOKUP(G186,'Controle GEral'!F:G,2,FALSE),"R$ ", "")))</f>
        <v>45</v>
      </c>
      <c r="I186" s="23"/>
      <c r="J186" s="18" t="str">
        <f>IF(I186="","",VALUE(SUBSTITUTE(VLOOKUP(I186,'Controle GEral'!H:I,2,FALSE),"R$ ", "")))</f>
        <v/>
      </c>
      <c r="K186" s="23" t="s">
        <v>18</v>
      </c>
      <c r="L186" s="23" t="s">
        <v>34</v>
      </c>
      <c r="M186" s="17"/>
      <c r="N186" s="16"/>
      <c r="O186" s="17"/>
      <c r="P186" s="18" t="e">
        <f t="shared" si="4"/>
        <v>#VALUE!</v>
      </c>
      <c r="Q186" s="22" t="e">
        <f t="shared" si="5"/>
        <v>#VALUE!</v>
      </c>
      <c r="R186" s="23"/>
    </row>
    <row r="187" spans="1:18" ht="12.75">
      <c r="A187" s="22">
        <v>46067</v>
      </c>
      <c r="B187" s="23" t="s">
        <v>14</v>
      </c>
      <c r="C187" s="23" t="s">
        <v>576</v>
      </c>
      <c r="D187" s="19"/>
      <c r="E187" s="23" t="s">
        <v>24</v>
      </c>
      <c r="G187" s="23"/>
      <c r="H187" s="18" t="str">
        <f>IF(G187="","",VALUE(SUBSTITUTE(VLOOKUP(G187,'Controle GEral'!F:G,2,FALSE),"R$ ", "")))</f>
        <v/>
      </c>
      <c r="I187" s="23"/>
      <c r="J187" s="18" t="str">
        <f>IF(I187="","",VALUE(SUBSTITUTE(VLOOKUP(I187,'Controle GEral'!H:I,2,FALSE),"R$ ", "")))</f>
        <v/>
      </c>
      <c r="K187" s="23"/>
      <c r="L187" s="23"/>
      <c r="M187" s="17"/>
      <c r="N187" s="16"/>
      <c r="O187" s="17"/>
      <c r="P187" s="18" t="e">
        <f t="shared" si="4"/>
        <v>#VALUE!</v>
      </c>
      <c r="Q187" s="22" t="e">
        <f t="shared" si="5"/>
        <v>#VALUE!</v>
      </c>
      <c r="R187" s="23"/>
    </row>
    <row r="188" spans="1:18" ht="12.75">
      <c r="A188" s="22">
        <v>46067</v>
      </c>
      <c r="B188" s="23" t="s">
        <v>14</v>
      </c>
      <c r="C188" s="23" t="s">
        <v>609</v>
      </c>
      <c r="D188" s="19"/>
      <c r="E188" s="23" t="s">
        <v>24</v>
      </c>
      <c r="G188" s="23" t="s">
        <v>25</v>
      </c>
      <c r="H188" s="18">
        <f>IF(G188="","",VALUE(SUBSTITUTE(VLOOKUP(G188,'Controle GEral'!F:G,2,FALSE),"R$ ", "")))</f>
        <v>80</v>
      </c>
      <c r="I188" s="23" t="s">
        <v>41</v>
      </c>
      <c r="J188" s="18">
        <f>IF(I188="","",VALUE(SUBSTITUTE(VLOOKUP(I188,'Controle GEral'!H:I,2,FALSE),"R$ ", "")))</f>
        <v>25</v>
      </c>
      <c r="K188" s="23" t="s">
        <v>18</v>
      </c>
      <c r="L188" s="23" t="s">
        <v>34</v>
      </c>
      <c r="M188" s="17"/>
      <c r="N188" s="16"/>
      <c r="O188" s="17"/>
      <c r="P188" s="18">
        <f t="shared" si="4"/>
        <v>105</v>
      </c>
      <c r="Q188" s="22" t="e">
        <f t="shared" si="5"/>
        <v>#VALUE!</v>
      </c>
      <c r="R188" s="23"/>
    </row>
    <row r="189" spans="1:18" ht="12.75">
      <c r="A189" s="22">
        <v>46067</v>
      </c>
      <c r="B189" s="23" t="s">
        <v>14</v>
      </c>
      <c r="C189" s="23" t="s">
        <v>736</v>
      </c>
      <c r="D189" s="19"/>
      <c r="E189" s="23" t="s">
        <v>24</v>
      </c>
      <c r="G189" s="23"/>
      <c r="H189" s="18" t="str">
        <f>IF(G189="","",VALUE(SUBSTITUTE(VLOOKUP(G189,'Controle GEral'!F:G,2,FALSE),"R$ ", "")))</f>
        <v/>
      </c>
      <c r="I189" s="23"/>
      <c r="J189" s="18" t="str">
        <f>IF(I189="","",VALUE(SUBSTITUTE(VLOOKUP(I189,'Controle GEral'!H:I,2,FALSE),"R$ ", "")))</f>
        <v/>
      </c>
      <c r="K189" s="23"/>
      <c r="L189" s="23"/>
      <c r="M189" s="17"/>
      <c r="N189" s="16"/>
      <c r="O189" s="17"/>
      <c r="P189" s="18" t="e">
        <f t="shared" si="4"/>
        <v>#VALUE!</v>
      </c>
      <c r="Q189" s="22" t="e">
        <f t="shared" si="5"/>
        <v>#VALUE!</v>
      </c>
      <c r="R189" s="23"/>
    </row>
    <row r="190" spans="1:18" ht="12.75">
      <c r="A190" s="22">
        <v>46067</v>
      </c>
      <c r="B190" s="23" t="s">
        <v>23</v>
      </c>
      <c r="C190" s="23" t="s">
        <v>737</v>
      </c>
      <c r="D190" s="19"/>
      <c r="E190" s="23" t="s">
        <v>24</v>
      </c>
      <c r="G190" s="23" t="s">
        <v>16</v>
      </c>
      <c r="H190" s="18">
        <f>IF(G190="","",VALUE(SUBSTITUTE(VLOOKUP(G190,'Controle GEral'!F:G,2,FALSE),"R$ ", "")))</f>
        <v>45</v>
      </c>
      <c r="I190" s="23" t="s">
        <v>21</v>
      </c>
      <c r="J190" s="18">
        <f>IF(I190="","",VALUE(SUBSTITUTE(VLOOKUP(I190,'Controle GEral'!H:I,2,FALSE),"R$ ", "")))</f>
        <v>10</v>
      </c>
      <c r="K190" s="23" t="s">
        <v>18</v>
      </c>
      <c r="L190" s="23" t="s">
        <v>28</v>
      </c>
      <c r="M190" s="17"/>
      <c r="N190" s="16"/>
      <c r="O190" s="17"/>
      <c r="P190" s="18">
        <f t="shared" si="4"/>
        <v>55</v>
      </c>
      <c r="Q190" s="22" t="e">
        <f t="shared" si="5"/>
        <v>#VALUE!</v>
      </c>
      <c r="R190" s="23"/>
    </row>
    <row r="191" spans="1:18" ht="12.75">
      <c r="A191" s="22">
        <v>46067</v>
      </c>
      <c r="B191" s="23" t="s">
        <v>23</v>
      </c>
      <c r="C191" s="23" t="s">
        <v>738</v>
      </c>
      <c r="D191" s="19"/>
      <c r="E191" s="23" t="s">
        <v>24</v>
      </c>
      <c r="G191" s="23" t="s">
        <v>16</v>
      </c>
      <c r="H191" s="18">
        <f>IF(G191="","",VALUE(SUBSTITUTE(VLOOKUP(G191,'Controle GEral'!F:G,2,FALSE),"R$ ", "")))</f>
        <v>45</v>
      </c>
      <c r="I191" s="23"/>
      <c r="J191" s="18" t="str">
        <f>IF(I191="","",VALUE(SUBSTITUTE(VLOOKUP(I191,'Controle GEral'!H:I,2,FALSE),"R$ ", "")))</f>
        <v/>
      </c>
      <c r="K191" s="23" t="s">
        <v>18</v>
      </c>
      <c r="L191" s="23" t="s">
        <v>34</v>
      </c>
      <c r="M191" s="17"/>
      <c r="N191" s="16"/>
      <c r="O191" s="17"/>
      <c r="P191" s="18" t="e">
        <f t="shared" si="4"/>
        <v>#VALUE!</v>
      </c>
      <c r="Q191" s="22" t="e">
        <f t="shared" si="5"/>
        <v>#VALUE!</v>
      </c>
      <c r="R191" s="23"/>
    </row>
    <row r="192" spans="1:18" ht="12.75">
      <c r="A192" s="22">
        <v>46067</v>
      </c>
      <c r="B192" s="23" t="s">
        <v>23</v>
      </c>
      <c r="C192" s="23" t="s">
        <v>620</v>
      </c>
      <c r="D192" s="19"/>
      <c r="E192" s="23" t="s">
        <v>24</v>
      </c>
      <c r="G192" s="23" t="s">
        <v>16</v>
      </c>
      <c r="H192" s="18">
        <f>IF(G192="","",VALUE(SUBSTITUTE(VLOOKUP(G192,'Controle GEral'!F:G,2,FALSE),"R$ ", "")))</f>
        <v>45</v>
      </c>
      <c r="I192" s="23"/>
      <c r="J192" s="18" t="str">
        <f>IF(I192="","",VALUE(SUBSTITUTE(VLOOKUP(I192,'Controle GEral'!H:I,2,FALSE),"R$ ", "")))</f>
        <v/>
      </c>
      <c r="K192" s="23" t="s">
        <v>18</v>
      </c>
      <c r="L192" s="23" t="s">
        <v>34</v>
      </c>
      <c r="M192" s="17"/>
      <c r="N192" s="16"/>
      <c r="O192" s="17"/>
      <c r="P192" s="18" t="e">
        <f t="shared" si="4"/>
        <v>#VALUE!</v>
      </c>
      <c r="Q192" s="22" t="e">
        <f t="shared" si="5"/>
        <v>#VALUE!</v>
      </c>
      <c r="R192" s="23"/>
    </row>
    <row r="193" spans="1:18" ht="12.75">
      <c r="A193" s="22">
        <v>46067</v>
      </c>
      <c r="B193" s="23" t="s">
        <v>23</v>
      </c>
      <c r="C193" s="23" t="s">
        <v>739</v>
      </c>
      <c r="D193" s="19"/>
      <c r="E193" s="23" t="s">
        <v>24</v>
      </c>
      <c r="G193" s="23" t="s">
        <v>16</v>
      </c>
      <c r="H193" s="18">
        <f>IF(G193="","",VALUE(SUBSTITUTE(VLOOKUP(G193,'Controle GEral'!F:G,2,FALSE),"R$ ", "")))</f>
        <v>45</v>
      </c>
      <c r="I193" s="23" t="s">
        <v>21</v>
      </c>
      <c r="J193" s="18">
        <f>IF(I193="","",VALUE(SUBSTITUTE(VLOOKUP(I193,'Controle GEral'!H:I,2,FALSE),"R$ ", "")))</f>
        <v>10</v>
      </c>
      <c r="K193" s="23" t="s">
        <v>18</v>
      </c>
      <c r="L193" s="23" t="s">
        <v>34</v>
      </c>
      <c r="M193" s="17"/>
      <c r="N193" s="16"/>
      <c r="O193" s="17"/>
      <c r="P193" s="18">
        <f t="shared" si="4"/>
        <v>55</v>
      </c>
      <c r="Q193" s="22" t="e">
        <f t="shared" si="5"/>
        <v>#VALUE!</v>
      </c>
      <c r="R193" s="23"/>
    </row>
    <row r="194" spans="1:18" ht="12.75">
      <c r="A194" s="22">
        <v>46067</v>
      </c>
      <c r="B194" s="23" t="s">
        <v>23</v>
      </c>
      <c r="C194" s="23" t="s">
        <v>740</v>
      </c>
      <c r="D194" s="19"/>
      <c r="E194" s="23" t="s">
        <v>24</v>
      </c>
      <c r="G194" s="23" t="s">
        <v>16</v>
      </c>
      <c r="H194" s="18">
        <f>IF(G194="","",VALUE(SUBSTITUTE(VLOOKUP(G194,'Controle GEral'!F:G,2,FALSE),"R$ ", "")))</f>
        <v>45</v>
      </c>
      <c r="I194" s="23"/>
      <c r="J194" s="18" t="str">
        <f>IF(I194="","",VALUE(SUBSTITUTE(VLOOKUP(I194,'Controle GEral'!H:I,2,FALSE),"R$ ", "")))</f>
        <v/>
      </c>
      <c r="K194" s="23" t="s">
        <v>18</v>
      </c>
      <c r="L194" s="23" t="s">
        <v>34</v>
      </c>
      <c r="M194" s="17"/>
      <c r="N194" s="16"/>
      <c r="O194" s="17"/>
      <c r="P194" s="18" t="e">
        <f t="shared" ref="P194:P257" si="6">H194+J194+S194</f>
        <v>#VALUE!</v>
      </c>
      <c r="Q194" s="22" t="e">
        <f t="shared" ref="Q194:Q257" si="7">DATEVALUE(A194)</f>
        <v>#VALUE!</v>
      </c>
      <c r="R194" s="23"/>
    </row>
    <row r="195" spans="1:18" ht="12.75">
      <c r="A195" s="22">
        <v>46067</v>
      </c>
      <c r="B195" s="23" t="s">
        <v>23</v>
      </c>
      <c r="C195" s="23" t="s">
        <v>741</v>
      </c>
      <c r="D195" s="19"/>
      <c r="E195" s="23" t="s">
        <v>24</v>
      </c>
      <c r="G195" s="23" t="s">
        <v>16</v>
      </c>
      <c r="H195" s="18">
        <f>IF(G195="","",VALUE(SUBSTITUTE(VLOOKUP(G195,'Controle GEral'!F:G,2,FALSE),"R$ ", "")))</f>
        <v>45</v>
      </c>
      <c r="I195" s="23"/>
      <c r="J195" s="18" t="str">
        <f>IF(I195="","",VALUE(SUBSTITUTE(VLOOKUP(I195,'Controle GEral'!H:I,2,FALSE),"R$ ", "")))</f>
        <v/>
      </c>
      <c r="K195" s="23" t="s">
        <v>18</v>
      </c>
      <c r="L195" s="23" t="s">
        <v>34</v>
      </c>
      <c r="M195" s="17"/>
      <c r="N195" s="16"/>
      <c r="O195" s="17"/>
      <c r="P195" s="18" t="e">
        <f t="shared" si="6"/>
        <v>#VALUE!</v>
      </c>
      <c r="Q195" s="22" t="e">
        <f t="shared" si="7"/>
        <v>#VALUE!</v>
      </c>
      <c r="R195" s="23"/>
    </row>
    <row r="196" spans="1:18" ht="12.75">
      <c r="A196" s="22">
        <v>46067</v>
      </c>
      <c r="B196" s="23" t="s">
        <v>23</v>
      </c>
      <c r="C196" s="23" t="s">
        <v>589</v>
      </c>
      <c r="D196" s="19"/>
      <c r="E196" s="23" t="s">
        <v>24</v>
      </c>
      <c r="G196" s="23" t="s">
        <v>16</v>
      </c>
      <c r="H196" s="18">
        <f>IF(G196="","",VALUE(SUBSTITUTE(VLOOKUP(G196,'Controle GEral'!F:G,2,FALSE),"R$ ", "")))</f>
        <v>45</v>
      </c>
      <c r="I196" s="23"/>
      <c r="J196" s="18" t="str">
        <f>IF(I196="","",VALUE(SUBSTITUTE(VLOOKUP(I196,'Controle GEral'!H:I,2,FALSE),"R$ ", "")))</f>
        <v/>
      </c>
      <c r="K196" s="23" t="s">
        <v>18</v>
      </c>
      <c r="L196" s="23" t="s">
        <v>34</v>
      </c>
      <c r="M196" s="17"/>
      <c r="N196" s="16"/>
      <c r="O196" s="17"/>
      <c r="P196" s="18" t="e">
        <f t="shared" si="6"/>
        <v>#VALUE!</v>
      </c>
      <c r="Q196" s="22" t="e">
        <f t="shared" si="7"/>
        <v>#VALUE!</v>
      </c>
      <c r="R196" s="23"/>
    </row>
    <row r="197" spans="1:18" ht="12.75">
      <c r="A197" s="22">
        <v>46067</v>
      </c>
      <c r="B197" s="23" t="s">
        <v>23</v>
      </c>
      <c r="C197" s="23" t="s">
        <v>570</v>
      </c>
      <c r="D197" s="19"/>
      <c r="E197" s="23" t="s">
        <v>24</v>
      </c>
      <c r="G197" s="23" t="s">
        <v>25</v>
      </c>
      <c r="H197" s="18">
        <f>IF(G197="","",VALUE(SUBSTITUTE(VLOOKUP(G197,'Controle GEral'!F:G,2,FALSE),"R$ ", "")))</f>
        <v>80</v>
      </c>
      <c r="I197" s="23"/>
      <c r="J197" s="18" t="str">
        <f>IF(I197="","",VALUE(SUBSTITUTE(VLOOKUP(I197,'Controle GEral'!H:I,2,FALSE),"R$ ", "")))</f>
        <v/>
      </c>
      <c r="K197" s="23" t="s">
        <v>18</v>
      </c>
      <c r="L197" s="23" t="s">
        <v>34</v>
      </c>
      <c r="M197" s="17"/>
      <c r="N197" s="16"/>
      <c r="O197" s="17"/>
      <c r="P197" s="18" t="e">
        <f t="shared" si="6"/>
        <v>#VALUE!</v>
      </c>
      <c r="Q197" s="22" t="e">
        <f t="shared" si="7"/>
        <v>#VALUE!</v>
      </c>
      <c r="R197" s="23"/>
    </row>
    <row r="198" spans="1:18" ht="12.75">
      <c r="A198" s="22">
        <v>46068</v>
      </c>
      <c r="B198" s="23" t="s">
        <v>14</v>
      </c>
      <c r="C198" s="23" t="s">
        <v>585</v>
      </c>
      <c r="D198" s="19"/>
      <c r="E198" s="23" t="s">
        <v>24</v>
      </c>
      <c r="G198" s="23" t="s">
        <v>16</v>
      </c>
      <c r="H198" s="18">
        <f>IF(G198="","",VALUE(SUBSTITUTE(VLOOKUP(G198,'Controle GEral'!F:G,2,FALSE),"R$ ", "")))</f>
        <v>45</v>
      </c>
      <c r="I198" s="23"/>
      <c r="J198" s="18" t="str">
        <f>IF(I198="","",VALUE(SUBSTITUTE(VLOOKUP(I198,'Controle GEral'!H:I,2,FALSE),"R$ ", "")))</f>
        <v/>
      </c>
      <c r="K198" s="23" t="s">
        <v>18</v>
      </c>
      <c r="L198" s="23" t="s">
        <v>34</v>
      </c>
      <c r="M198" s="17"/>
      <c r="N198" s="16"/>
      <c r="O198" s="17"/>
      <c r="P198" s="18" t="e">
        <f t="shared" si="6"/>
        <v>#VALUE!</v>
      </c>
      <c r="Q198" s="22" t="e">
        <f t="shared" si="7"/>
        <v>#VALUE!</v>
      </c>
      <c r="R198" s="23"/>
    </row>
    <row r="199" spans="1:18" ht="12.75">
      <c r="A199" s="22">
        <v>46068</v>
      </c>
      <c r="B199" s="23" t="s">
        <v>14</v>
      </c>
      <c r="C199" s="23" t="s">
        <v>742</v>
      </c>
      <c r="D199" s="19"/>
      <c r="E199" s="23" t="s">
        <v>24</v>
      </c>
      <c r="G199" s="23" t="s">
        <v>25</v>
      </c>
      <c r="H199" s="18">
        <f>IF(G199="","",VALUE(SUBSTITUTE(VLOOKUP(G199,'Controle GEral'!F:G,2,FALSE),"R$ ", "")))</f>
        <v>80</v>
      </c>
      <c r="I199" s="23"/>
      <c r="J199" s="18" t="str">
        <f>IF(I199="","",VALUE(SUBSTITUTE(VLOOKUP(I199,'Controle GEral'!H:I,2,FALSE),"R$ ", "")))</f>
        <v/>
      </c>
      <c r="K199" s="23" t="s">
        <v>18</v>
      </c>
      <c r="L199" s="23" t="s">
        <v>34</v>
      </c>
      <c r="M199" s="17"/>
      <c r="N199" s="16"/>
      <c r="O199" s="17"/>
      <c r="P199" s="18" t="e">
        <f t="shared" si="6"/>
        <v>#VALUE!</v>
      </c>
      <c r="Q199" s="22" t="e">
        <f t="shared" si="7"/>
        <v>#VALUE!</v>
      </c>
      <c r="R199" s="23"/>
    </row>
    <row r="200" spans="1:18" ht="12.75">
      <c r="A200" s="22">
        <v>46068</v>
      </c>
      <c r="B200" s="23" t="s">
        <v>14</v>
      </c>
      <c r="C200" s="23" t="s">
        <v>614</v>
      </c>
      <c r="D200" s="19"/>
      <c r="E200" s="23" t="s">
        <v>24</v>
      </c>
      <c r="G200" s="23" t="s">
        <v>16</v>
      </c>
      <c r="H200" s="18">
        <f>IF(G200="","",VALUE(SUBSTITUTE(VLOOKUP(G200,'Controle GEral'!F:G,2,FALSE),"R$ ", "")))</f>
        <v>45</v>
      </c>
      <c r="I200" s="23" t="s">
        <v>21</v>
      </c>
      <c r="J200" s="18">
        <f>IF(I200="","",VALUE(SUBSTITUTE(VLOOKUP(I200,'Controle GEral'!H:I,2,FALSE),"R$ ", "")))</f>
        <v>10</v>
      </c>
      <c r="K200" s="23" t="s">
        <v>18</v>
      </c>
      <c r="L200" s="23" t="s">
        <v>34</v>
      </c>
      <c r="M200" s="17"/>
      <c r="N200" s="16"/>
      <c r="O200" s="17"/>
      <c r="P200" s="18">
        <f t="shared" si="6"/>
        <v>55</v>
      </c>
      <c r="Q200" s="22" t="e">
        <f t="shared" si="7"/>
        <v>#VALUE!</v>
      </c>
      <c r="R200" s="23"/>
    </row>
    <row r="201" spans="1:18" ht="12.75">
      <c r="A201" s="22">
        <v>46068</v>
      </c>
      <c r="B201" s="23" t="s">
        <v>14</v>
      </c>
      <c r="C201" s="23" t="s">
        <v>743</v>
      </c>
      <c r="D201" s="19"/>
      <c r="E201" s="23" t="s">
        <v>24</v>
      </c>
      <c r="G201" s="23" t="s">
        <v>16</v>
      </c>
      <c r="H201" s="18">
        <f>IF(G201="","",VALUE(SUBSTITUTE(VLOOKUP(G201,'Controle GEral'!F:G,2,FALSE),"R$ ", "")))</f>
        <v>45</v>
      </c>
      <c r="I201" s="23"/>
      <c r="J201" s="18" t="str">
        <f>IF(I201="","",VALUE(SUBSTITUTE(VLOOKUP(I201,'Controle GEral'!H:I,2,FALSE),"R$ ", "")))</f>
        <v/>
      </c>
      <c r="K201" s="23" t="s">
        <v>18</v>
      </c>
      <c r="L201" s="23" t="s">
        <v>34</v>
      </c>
      <c r="M201" s="17"/>
      <c r="N201" s="16"/>
      <c r="O201" s="17"/>
      <c r="P201" s="18" t="e">
        <f t="shared" si="6"/>
        <v>#VALUE!</v>
      </c>
      <c r="Q201" s="22" t="e">
        <f t="shared" si="7"/>
        <v>#VALUE!</v>
      </c>
      <c r="R201" s="23"/>
    </row>
    <row r="202" spans="1:18" ht="12.75">
      <c r="A202" s="22">
        <v>46068</v>
      </c>
      <c r="B202" s="23" t="s">
        <v>14</v>
      </c>
      <c r="C202" s="23" t="s">
        <v>744</v>
      </c>
      <c r="D202" s="19"/>
      <c r="E202" s="23" t="s">
        <v>24</v>
      </c>
      <c r="G202" s="23" t="s">
        <v>32</v>
      </c>
      <c r="H202" s="18">
        <f>IF(G202="","",VALUE(SUBSTITUTE(VLOOKUP(G202,'Controle GEral'!F:G,2,FALSE),"R$ ", "")))</f>
        <v>35</v>
      </c>
      <c r="I202" s="23"/>
      <c r="J202" s="18" t="str">
        <f>IF(I202="","",VALUE(SUBSTITUTE(VLOOKUP(I202,'Controle GEral'!H:I,2,FALSE),"R$ ", "")))</f>
        <v/>
      </c>
      <c r="K202" s="23" t="s">
        <v>18</v>
      </c>
      <c r="L202" s="23" t="s">
        <v>34</v>
      </c>
      <c r="M202" s="17"/>
      <c r="N202" s="16"/>
      <c r="O202" s="17"/>
      <c r="P202" s="18" t="e">
        <f t="shared" si="6"/>
        <v>#VALUE!</v>
      </c>
      <c r="Q202" s="22" t="e">
        <f t="shared" si="7"/>
        <v>#VALUE!</v>
      </c>
      <c r="R202" s="23"/>
    </row>
    <row r="203" spans="1:18" ht="12.75">
      <c r="A203" s="22">
        <v>46068</v>
      </c>
      <c r="B203" s="23" t="s">
        <v>14</v>
      </c>
      <c r="C203" s="23" t="s">
        <v>639</v>
      </c>
      <c r="D203" s="19"/>
      <c r="E203" s="23" t="s">
        <v>24</v>
      </c>
      <c r="G203" s="23" t="s">
        <v>16</v>
      </c>
      <c r="H203" s="18">
        <f>IF(G203="","",VALUE(SUBSTITUTE(VLOOKUP(G203,'Controle GEral'!F:G,2,FALSE),"R$ ", "")))</f>
        <v>45</v>
      </c>
      <c r="I203" s="23"/>
      <c r="J203" s="18" t="str">
        <f>IF(I203="","",VALUE(SUBSTITUTE(VLOOKUP(I203,'Controle GEral'!H:I,2,FALSE),"R$ ", "")))</f>
        <v/>
      </c>
      <c r="K203" s="23" t="s">
        <v>18</v>
      </c>
      <c r="L203" s="23" t="s">
        <v>34</v>
      </c>
      <c r="M203" s="17"/>
      <c r="N203" s="16"/>
      <c r="O203" s="17"/>
      <c r="P203" s="18" t="e">
        <f t="shared" si="6"/>
        <v>#VALUE!</v>
      </c>
      <c r="Q203" s="22" t="e">
        <f t="shared" si="7"/>
        <v>#VALUE!</v>
      </c>
      <c r="R203" s="23"/>
    </row>
    <row r="204" spans="1:18" ht="12.75">
      <c r="A204" s="22">
        <v>46069</v>
      </c>
      <c r="B204" s="23" t="s">
        <v>23</v>
      </c>
      <c r="C204" s="23" t="s">
        <v>745</v>
      </c>
      <c r="D204" s="19"/>
      <c r="E204" s="23" t="s">
        <v>24</v>
      </c>
      <c r="G204" s="23"/>
      <c r="H204" s="18" t="str">
        <f>IF(G204="","",VALUE(SUBSTITUTE(VLOOKUP(G204,'Controle GEral'!F:G,2,FALSE),"R$ ", "")))</f>
        <v/>
      </c>
      <c r="I204" s="23"/>
      <c r="J204" s="18" t="str">
        <f>IF(I204="","",VALUE(SUBSTITUTE(VLOOKUP(I204,'Controle GEral'!H:I,2,FALSE),"R$ ", "")))</f>
        <v/>
      </c>
      <c r="K204" s="23"/>
      <c r="L204" s="23"/>
      <c r="M204" s="17"/>
      <c r="N204" s="16"/>
      <c r="O204" s="17"/>
      <c r="P204" s="18" t="e">
        <f t="shared" si="6"/>
        <v>#VALUE!</v>
      </c>
      <c r="Q204" s="22" t="e">
        <f t="shared" si="7"/>
        <v>#VALUE!</v>
      </c>
      <c r="R204" s="23"/>
    </row>
    <row r="205" spans="1:18" ht="12.75">
      <c r="A205" s="22">
        <v>46069</v>
      </c>
      <c r="B205" s="23" t="s">
        <v>23</v>
      </c>
      <c r="C205" s="23" t="s">
        <v>746</v>
      </c>
      <c r="D205" s="19"/>
      <c r="E205" s="23" t="s">
        <v>15</v>
      </c>
      <c r="G205" s="23" t="s">
        <v>16</v>
      </c>
      <c r="H205" s="18">
        <f>IF(G205="","",VALUE(SUBSTITUTE(VLOOKUP(G205,'Controle GEral'!F:G,2,FALSE),"R$ ", "")))</f>
        <v>45</v>
      </c>
      <c r="I205" s="23"/>
      <c r="J205" s="18" t="str">
        <f>IF(I205="","",VALUE(SUBSTITUTE(VLOOKUP(I205,'Controle GEral'!H:I,2,FALSE),"R$ ", "")))</f>
        <v/>
      </c>
      <c r="K205" s="23"/>
      <c r="L205" s="23"/>
      <c r="M205" s="17"/>
      <c r="N205" s="16"/>
      <c r="O205" s="17"/>
      <c r="P205" s="18" t="e">
        <f t="shared" si="6"/>
        <v>#VALUE!</v>
      </c>
      <c r="Q205" s="22" t="e">
        <f t="shared" si="7"/>
        <v>#VALUE!</v>
      </c>
      <c r="R205" s="23"/>
    </row>
    <row r="206" spans="1:18" ht="12.75">
      <c r="A206" s="22">
        <v>46069</v>
      </c>
      <c r="B206" s="23" t="s">
        <v>23</v>
      </c>
      <c r="C206" s="23" t="s">
        <v>747</v>
      </c>
      <c r="D206" s="19"/>
      <c r="E206" s="23" t="s">
        <v>15</v>
      </c>
      <c r="G206" s="23" t="s">
        <v>16</v>
      </c>
      <c r="H206" s="18">
        <f>IF(G206="","",VALUE(SUBSTITUTE(VLOOKUP(G206,'Controle GEral'!F:G,2,FALSE),"R$ ", "")))</f>
        <v>45</v>
      </c>
      <c r="I206" s="23" t="s">
        <v>21</v>
      </c>
      <c r="J206" s="18">
        <f>IF(I206="","",VALUE(SUBSTITUTE(VLOOKUP(I206,'Controle GEral'!H:I,2,FALSE),"R$ ", "")))</f>
        <v>10</v>
      </c>
      <c r="K206" s="23" t="s">
        <v>18</v>
      </c>
      <c r="L206" s="23" t="s">
        <v>34</v>
      </c>
      <c r="M206" s="17"/>
      <c r="N206" s="16"/>
      <c r="O206" s="17"/>
      <c r="P206" s="18">
        <f t="shared" si="6"/>
        <v>55</v>
      </c>
      <c r="Q206" s="22" t="e">
        <f t="shared" si="7"/>
        <v>#VALUE!</v>
      </c>
      <c r="R206" s="23"/>
    </row>
    <row r="207" spans="1:18" ht="12.75">
      <c r="A207" s="22">
        <v>46069</v>
      </c>
      <c r="B207" s="23" t="s">
        <v>23</v>
      </c>
      <c r="C207" s="23" t="s">
        <v>748</v>
      </c>
      <c r="D207" s="19"/>
      <c r="E207" s="23" t="s">
        <v>24</v>
      </c>
      <c r="G207" s="23" t="s">
        <v>16</v>
      </c>
      <c r="H207" s="18">
        <f>IF(G207="","",VALUE(SUBSTITUTE(VLOOKUP(G207,'Controle GEral'!F:G,2,FALSE),"R$ ", "")))</f>
        <v>45</v>
      </c>
      <c r="I207" s="23"/>
      <c r="J207" s="18" t="str">
        <f>IF(I207="","",VALUE(SUBSTITUTE(VLOOKUP(I207,'Controle GEral'!H:I,2,FALSE),"R$ ", "")))</f>
        <v/>
      </c>
      <c r="K207" s="23" t="s">
        <v>18</v>
      </c>
      <c r="L207" s="23" t="s">
        <v>34</v>
      </c>
      <c r="M207" s="17"/>
      <c r="N207" s="16"/>
      <c r="O207" s="17"/>
      <c r="P207" s="18" t="e">
        <f t="shared" si="6"/>
        <v>#VALUE!</v>
      </c>
      <c r="Q207" s="22" t="e">
        <f t="shared" si="7"/>
        <v>#VALUE!</v>
      </c>
      <c r="R207" s="23"/>
    </row>
    <row r="208" spans="1:18" ht="12.75">
      <c r="A208" s="22">
        <v>46071</v>
      </c>
      <c r="B208" s="23" t="s">
        <v>23</v>
      </c>
      <c r="C208" s="23" t="s">
        <v>749</v>
      </c>
      <c r="D208" s="19"/>
      <c r="E208" s="23" t="s">
        <v>24</v>
      </c>
      <c r="G208" s="23" t="s">
        <v>16</v>
      </c>
      <c r="H208" s="18">
        <f>IF(G208="","",VALUE(SUBSTITUTE(VLOOKUP(G208,'Controle GEral'!F:G,2,FALSE),"R$ ", "")))</f>
        <v>45</v>
      </c>
      <c r="I208" s="23"/>
      <c r="J208" s="18" t="str">
        <f>IF(I208="","",VALUE(SUBSTITUTE(VLOOKUP(I208,'Controle GEral'!H:I,2,FALSE),"R$ ", "")))</f>
        <v/>
      </c>
      <c r="K208" s="23" t="s">
        <v>18</v>
      </c>
      <c r="L208" s="23" t="s">
        <v>34</v>
      </c>
      <c r="M208" s="17"/>
      <c r="N208" s="16"/>
      <c r="O208" s="17"/>
      <c r="P208" s="18" t="e">
        <f t="shared" si="6"/>
        <v>#VALUE!</v>
      </c>
      <c r="Q208" s="22" t="e">
        <f t="shared" si="7"/>
        <v>#VALUE!</v>
      </c>
      <c r="R208" s="23"/>
    </row>
    <row r="209" spans="1:18" ht="12.75">
      <c r="A209" s="22">
        <v>46071</v>
      </c>
      <c r="B209" s="23" t="s">
        <v>23</v>
      </c>
      <c r="C209" s="23" t="s">
        <v>610</v>
      </c>
      <c r="D209" s="19"/>
      <c r="E209" s="23" t="s">
        <v>15</v>
      </c>
      <c r="G209" s="23" t="s">
        <v>25</v>
      </c>
      <c r="H209" s="18">
        <f>IF(G209="","",VALUE(SUBSTITUTE(VLOOKUP(G209,'Controle GEral'!F:G,2,FALSE),"R$ ", "")))</f>
        <v>80</v>
      </c>
      <c r="I209" s="23" t="s">
        <v>21</v>
      </c>
      <c r="J209" s="18">
        <f>IF(I209="","",VALUE(SUBSTITUTE(VLOOKUP(I209,'Controle GEral'!H:I,2,FALSE),"R$ ", "")))</f>
        <v>10</v>
      </c>
      <c r="K209" s="23" t="s">
        <v>18</v>
      </c>
      <c r="L209" s="23" t="s">
        <v>34</v>
      </c>
      <c r="M209" s="17"/>
      <c r="N209" s="16"/>
      <c r="O209" s="17"/>
      <c r="P209" s="18">
        <f t="shared" si="6"/>
        <v>90</v>
      </c>
      <c r="Q209" s="22" t="e">
        <f t="shared" si="7"/>
        <v>#VALUE!</v>
      </c>
      <c r="R209" s="23"/>
    </row>
    <row r="210" spans="1:18" ht="12.75">
      <c r="A210" s="22">
        <v>46071</v>
      </c>
      <c r="B210" s="23" t="s">
        <v>14</v>
      </c>
      <c r="C210" s="23" t="s">
        <v>750</v>
      </c>
      <c r="D210" s="19"/>
      <c r="E210" s="23" t="s">
        <v>24</v>
      </c>
      <c r="G210" s="23" t="s">
        <v>12</v>
      </c>
      <c r="H210" s="18" t="e">
        <f>IF(G210="","",VALUE(SUBSTITUTE(VLOOKUP(G210,'Controle GEral'!F:G,2,FALSE),"R$ ", "")))</f>
        <v>#N/A</v>
      </c>
      <c r="I210" s="23"/>
      <c r="J210" s="18" t="str">
        <f>IF(I210="","",VALUE(SUBSTITUTE(VLOOKUP(I210,'Controle GEral'!H:I,2,FALSE),"R$ ", "")))</f>
        <v/>
      </c>
      <c r="K210" s="23" t="s">
        <v>18</v>
      </c>
      <c r="L210" s="23" t="s">
        <v>34</v>
      </c>
      <c r="M210" s="17"/>
      <c r="N210" s="16"/>
      <c r="O210" s="17"/>
      <c r="P210" s="23" t="e">
        <f t="shared" si="6"/>
        <v>#N/A</v>
      </c>
      <c r="Q210" s="22" t="e">
        <f t="shared" si="7"/>
        <v>#VALUE!</v>
      </c>
      <c r="R210" s="23"/>
    </row>
    <row r="211" spans="1:18" ht="12.75">
      <c r="A211" s="22">
        <v>46071</v>
      </c>
      <c r="B211" s="23" t="s">
        <v>14</v>
      </c>
      <c r="C211" s="23" t="s">
        <v>596</v>
      </c>
      <c r="D211" s="19"/>
      <c r="E211" s="23" t="s">
        <v>24</v>
      </c>
      <c r="G211" s="23" t="s">
        <v>16</v>
      </c>
      <c r="H211" s="18">
        <f>IF(G211="","",VALUE(SUBSTITUTE(VLOOKUP(G211,'Controle GEral'!F:G,2,FALSE),"R$ ", "")))</f>
        <v>45</v>
      </c>
      <c r="I211" s="23"/>
      <c r="J211" s="18" t="str">
        <f>IF(I211="","",VALUE(SUBSTITUTE(VLOOKUP(I211,'Controle GEral'!H:I,2,FALSE),"R$ ", "")))</f>
        <v/>
      </c>
      <c r="K211" s="23" t="s">
        <v>18</v>
      </c>
      <c r="L211" s="23" t="s">
        <v>19</v>
      </c>
      <c r="M211" s="17"/>
      <c r="N211" s="16"/>
      <c r="O211" s="17"/>
      <c r="P211" s="18" t="e">
        <f t="shared" si="6"/>
        <v>#VALUE!</v>
      </c>
      <c r="Q211" s="22" t="e">
        <f t="shared" si="7"/>
        <v>#VALUE!</v>
      </c>
      <c r="R211" s="23"/>
    </row>
    <row r="212" spans="1:18" ht="12.75">
      <c r="A212" s="22">
        <v>46071</v>
      </c>
      <c r="B212" s="23" t="s">
        <v>14</v>
      </c>
      <c r="C212" s="23" t="s">
        <v>751</v>
      </c>
      <c r="D212" s="19"/>
      <c r="E212" s="23" t="s">
        <v>15</v>
      </c>
      <c r="G212" s="23" t="s">
        <v>25</v>
      </c>
      <c r="H212" s="18">
        <f>IF(G212="","",VALUE(SUBSTITUTE(VLOOKUP(G212,'Controle GEral'!F:G,2,FALSE),"R$ ", "")))</f>
        <v>80</v>
      </c>
      <c r="I212" s="23" t="s">
        <v>30</v>
      </c>
      <c r="J212" s="18">
        <f>IF(I212="","",VALUE(SUBSTITUTE(VLOOKUP(I212,'Controle GEral'!H:I,2,FALSE),"R$ ", "")))</f>
        <v>40</v>
      </c>
      <c r="K212" s="23" t="s">
        <v>18</v>
      </c>
      <c r="L212" s="23" t="s">
        <v>28</v>
      </c>
      <c r="M212" s="17"/>
      <c r="N212" s="16"/>
      <c r="O212" s="17"/>
      <c r="P212" s="18">
        <f t="shared" si="6"/>
        <v>120</v>
      </c>
      <c r="Q212" s="22" t="e">
        <f t="shared" si="7"/>
        <v>#VALUE!</v>
      </c>
      <c r="R212" s="23"/>
    </row>
    <row r="213" spans="1:18" ht="12.75">
      <c r="A213" s="22">
        <v>46071</v>
      </c>
      <c r="B213" s="23" t="s">
        <v>14</v>
      </c>
      <c r="C213" s="23" t="s">
        <v>752</v>
      </c>
      <c r="D213" s="19"/>
      <c r="E213" s="23" t="s">
        <v>24</v>
      </c>
      <c r="G213" s="23" t="s">
        <v>16</v>
      </c>
      <c r="H213" s="18">
        <f>IF(G213="","",VALUE(SUBSTITUTE(VLOOKUP(G213,'Controle GEral'!F:G,2,FALSE),"R$ ", "")))</f>
        <v>45</v>
      </c>
      <c r="I213" s="23" t="s">
        <v>21</v>
      </c>
      <c r="J213" s="18">
        <f>IF(I213="","",VALUE(SUBSTITUTE(VLOOKUP(I213,'Controle GEral'!H:I,2,FALSE),"R$ ", "")))</f>
        <v>10</v>
      </c>
      <c r="K213" s="23" t="s">
        <v>18</v>
      </c>
      <c r="L213" s="23" t="s">
        <v>19</v>
      </c>
      <c r="M213" s="17"/>
      <c r="N213" s="16"/>
      <c r="O213" s="17"/>
      <c r="P213" s="18">
        <f t="shared" si="6"/>
        <v>55</v>
      </c>
      <c r="Q213" s="22" t="e">
        <f t="shared" si="7"/>
        <v>#VALUE!</v>
      </c>
      <c r="R213" s="23"/>
    </row>
    <row r="214" spans="1:18" ht="12.75">
      <c r="A214" s="22">
        <v>46071</v>
      </c>
      <c r="B214" s="23" t="s">
        <v>14</v>
      </c>
      <c r="C214" s="23" t="s">
        <v>753</v>
      </c>
      <c r="D214" s="19"/>
      <c r="E214" s="23" t="s">
        <v>24</v>
      </c>
      <c r="G214" s="23" t="s">
        <v>16</v>
      </c>
      <c r="H214" s="18">
        <f>IF(G214="","",VALUE(SUBSTITUTE(VLOOKUP(G214,'Controle GEral'!F:G,2,FALSE),"R$ ", "")))</f>
        <v>45</v>
      </c>
      <c r="I214" s="23"/>
      <c r="J214" s="18" t="str">
        <f>IF(I214="","",VALUE(SUBSTITUTE(VLOOKUP(I214,'Controle GEral'!H:I,2,FALSE),"R$ ", "")))</f>
        <v/>
      </c>
      <c r="K214" s="23" t="s">
        <v>18</v>
      </c>
      <c r="L214" s="23" t="s">
        <v>34</v>
      </c>
      <c r="M214" s="17"/>
      <c r="N214" s="16"/>
      <c r="O214" s="17"/>
      <c r="P214" s="18" t="e">
        <f t="shared" si="6"/>
        <v>#VALUE!</v>
      </c>
      <c r="Q214" s="22" t="e">
        <f t="shared" si="7"/>
        <v>#VALUE!</v>
      </c>
      <c r="R214" s="23"/>
    </row>
    <row r="215" spans="1:18" ht="12.75">
      <c r="A215" s="22">
        <v>46071</v>
      </c>
      <c r="B215" s="23" t="s">
        <v>23</v>
      </c>
      <c r="C215" s="23" t="s">
        <v>616</v>
      </c>
      <c r="D215" s="19"/>
      <c r="E215" s="23" t="s">
        <v>24</v>
      </c>
      <c r="G215" s="23" t="s">
        <v>16</v>
      </c>
      <c r="H215" s="18">
        <f>IF(G215="","",VALUE(SUBSTITUTE(VLOOKUP(G215,'Controle GEral'!F:G,2,FALSE),"R$ ", "")))</f>
        <v>45</v>
      </c>
      <c r="I215" s="23"/>
      <c r="J215" s="18" t="str">
        <f>IF(I215="","",VALUE(SUBSTITUTE(VLOOKUP(I215,'Controle GEral'!H:I,2,FALSE),"R$ ", "")))</f>
        <v/>
      </c>
      <c r="K215" s="23" t="s">
        <v>18</v>
      </c>
      <c r="L215" s="23" t="s">
        <v>34</v>
      </c>
      <c r="M215" s="17"/>
      <c r="N215" s="16"/>
      <c r="O215" s="17"/>
      <c r="P215" s="18" t="e">
        <f t="shared" si="6"/>
        <v>#VALUE!</v>
      </c>
      <c r="Q215" s="22" t="e">
        <f t="shared" si="7"/>
        <v>#VALUE!</v>
      </c>
      <c r="R215" s="23"/>
    </row>
    <row r="216" spans="1:18" ht="12.75">
      <c r="A216" s="22">
        <v>46071</v>
      </c>
      <c r="B216" s="23" t="s">
        <v>23</v>
      </c>
      <c r="C216" s="23" t="s">
        <v>754</v>
      </c>
      <c r="D216" s="19"/>
      <c r="E216" s="23" t="s">
        <v>24</v>
      </c>
      <c r="G216" s="23" t="s">
        <v>16</v>
      </c>
      <c r="H216" s="18">
        <f>IF(G216="","",VALUE(SUBSTITUTE(VLOOKUP(G216,'Controle GEral'!F:G,2,FALSE),"R$ ", "")))</f>
        <v>45</v>
      </c>
      <c r="I216" s="23"/>
      <c r="J216" s="18" t="str">
        <f>IF(I216="","",VALUE(SUBSTITUTE(VLOOKUP(I216,'Controle GEral'!H:I,2,FALSE),"R$ ", "")))</f>
        <v/>
      </c>
      <c r="K216" s="23" t="s">
        <v>18</v>
      </c>
      <c r="L216" s="23" t="s">
        <v>34</v>
      </c>
      <c r="M216" s="17"/>
      <c r="N216" s="16"/>
      <c r="O216" s="17"/>
      <c r="P216" s="18" t="e">
        <f t="shared" si="6"/>
        <v>#VALUE!</v>
      </c>
      <c r="Q216" s="22" t="e">
        <f t="shared" si="7"/>
        <v>#VALUE!</v>
      </c>
      <c r="R216" s="23"/>
    </row>
    <row r="217" spans="1:18" ht="12.75">
      <c r="A217" s="22">
        <v>46071</v>
      </c>
      <c r="B217" s="23" t="s">
        <v>23</v>
      </c>
      <c r="C217" s="23" t="s">
        <v>755</v>
      </c>
      <c r="D217" s="19"/>
      <c r="E217" s="23" t="s">
        <v>15</v>
      </c>
      <c r="G217" s="23" t="s">
        <v>16</v>
      </c>
      <c r="H217" s="18">
        <f>IF(G217="","",VALUE(SUBSTITUTE(VLOOKUP(G217,'Controle GEral'!F:G,2,FALSE),"R$ ", "")))</f>
        <v>45</v>
      </c>
      <c r="I217" s="23"/>
      <c r="J217" s="18" t="str">
        <f>IF(I217="","",VALUE(SUBSTITUTE(VLOOKUP(I217,'Controle GEral'!H:I,2,FALSE),"R$ ", "")))</f>
        <v/>
      </c>
      <c r="K217" s="23" t="s">
        <v>18</v>
      </c>
      <c r="L217" s="23" t="s">
        <v>34</v>
      </c>
      <c r="M217" s="17"/>
      <c r="N217" s="16"/>
      <c r="O217" s="17"/>
      <c r="P217" s="18" t="e">
        <f t="shared" si="6"/>
        <v>#VALUE!</v>
      </c>
      <c r="Q217" s="22" t="e">
        <f t="shared" si="7"/>
        <v>#VALUE!</v>
      </c>
      <c r="R217" s="23"/>
    </row>
    <row r="218" spans="1:18" ht="12.75">
      <c r="A218" s="22">
        <v>46071</v>
      </c>
      <c r="B218" s="23" t="s">
        <v>23</v>
      </c>
      <c r="C218" s="23" t="s">
        <v>756</v>
      </c>
      <c r="D218" s="19"/>
      <c r="E218" s="23" t="s">
        <v>24</v>
      </c>
      <c r="G218" s="23" t="s">
        <v>16</v>
      </c>
      <c r="H218" s="18">
        <f>IF(G218="","",VALUE(SUBSTITUTE(VLOOKUP(G218,'Controle GEral'!F:G,2,FALSE),"R$ ", "")))</f>
        <v>45</v>
      </c>
      <c r="I218" s="23"/>
      <c r="J218" s="18" t="str">
        <f>IF(I218="","",VALUE(SUBSTITUTE(VLOOKUP(I218,'Controle GEral'!H:I,2,FALSE),"R$ ", "")))</f>
        <v/>
      </c>
      <c r="K218" s="23" t="s">
        <v>18</v>
      </c>
      <c r="L218" s="23" t="s">
        <v>34</v>
      </c>
      <c r="M218" s="17"/>
      <c r="N218" s="16"/>
      <c r="O218" s="17"/>
      <c r="P218" s="18" t="e">
        <f t="shared" si="6"/>
        <v>#VALUE!</v>
      </c>
      <c r="Q218" s="22" t="e">
        <f t="shared" si="7"/>
        <v>#VALUE!</v>
      </c>
      <c r="R218" s="23"/>
    </row>
    <row r="219" spans="1:18" ht="12.75">
      <c r="A219" s="22">
        <v>46072</v>
      </c>
      <c r="B219" s="23" t="s">
        <v>14</v>
      </c>
      <c r="C219" s="23" t="s">
        <v>565</v>
      </c>
      <c r="D219" s="19"/>
      <c r="E219" s="23" t="s">
        <v>24</v>
      </c>
      <c r="G219" s="23" t="s">
        <v>25</v>
      </c>
      <c r="H219" s="18">
        <f>IF(G219="","",VALUE(SUBSTITUTE(VLOOKUP(G219,'Controle GEral'!F:G,2,FALSE),"R$ ", "")))</f>
        <v>80</v>
      </c>
      <c r="I219" s="23"/>
      <c r="J219" s="18" t="str">
        <f>IF(I219="","",VALUE(SUBSTITUTE(VLOOKUP(I219,'Controle GEral'!H:I,2,FALSE),"R$ ", "")))</f>
        <v/>
      </c>
      <c r="K219" s="23" t="s">
        <v>18</v>
      </c>
      <c r="L219" s="23" t="s">
        <v>19</v>
      </c>
      <c r="M219" s="17"/>
      <c r="N219" s="16"/>
      <c r="O219" s="17"/>
      <c r="P219" s="18" t="e">
        <f t="shared" si="6"/>
        <v>#VALUE!</v>
      </c>
      <c r="Q219" s="22" t="e">
        <f t="shared" si="7"/>
        <v>#VALUE!</v>
      </c>
      <c r="R219" s="23"/>
    </row>
    <row r="220" spans="1:18" ht="12.75">
      <c r="A220" s="22">
        <v>46072</v>
      </c>
      <c r="B220" s="23" t="s">
        <v>14</v>
      </c>
      <c r="C220" s="23" t="s">
        <v>757</v>
      </c>
      <c r="D220" s="19"/>
      <c r="E220" s="23" t="s">
        <v>24</v>
      </c>
      <c r="G220" s="23" t="s">
        <v>16</v>
      </c>
      <c r="H220" s="18">
        <f>IF(G220="","",VALUE(SUBSTITUTE(VLOOKUP(G220,'Controle GEral'!F:G,2,FALSE),"R$ ", "")))</f>
        <v>45</v>
      </c>
      <c r="I220" s="23" t="s">
        <v>21</v>
      </c>
      <c r="J220" s="18">
        <f>IF(I220="","",VALUE(SUBSTITUTE(VLOOKUP(I220,'Controle GEral'!H:I,2,FALSE),"R$ ", "")))</f>
        <v>10</v>
      </c>
      <c r="K220" s="23" t="s">
        <v>18</v>
      </c>
      <c r="L220" s="23"/>
      <c r="M220" s="17"/>
      <c r="N220" s="16"/>
      <c r="O220" s="17"/>
      <c r="P220" s="18">
        <f t="shared" si="6"/>
        <v>55</v>
      </c>
      <c r="Q220" s="22" t="e">
        <f t="shared" si="7"/>
        <v>#VALUE!</v>
      </c>
      <c r="R220" s="23"/>
    </row>
    <row r="221" spans="1:18" ht="12.75">
      <c r="A221" s="22">
        <v>46072</v>
      </c>
      <c r="B221" s="23" t="s">
        <v>14</v>
      </c>
      <c r="C221" s="23" t="s">
        <v>758</v>
      </c>
      <c r="D221" s="19"/>
      <c r="E221" s="23" t="s">
        <v>15</v>
      </c>
      <c r="G221" s="23" t="s">
        <v>16</v>
      </c>
      <c r="H221" s="18">
        <f>IF(G221="","",VALUE(SUBSTITUTE(VLOOKUP(G221,'Controle GEral'!F:G,2,FALSE),"R$ ", "")))</f>
        <v>45</v>
      </c>
      <c r="I221" s="23"/>
      <c r="J221" s="18" t="str">
        <f>IF(I221="","",VALUE(SUBSTITUTE(VLOOKUP(I221,'Controle GEral'!H:I,2,FALSE),"R$ ", "")))</f>
        <v/>
      </c>
      <c r="K221" s="23" t="s">
        <v>18</v>
      </c>
      <c r="L221" s="23"/>
      <c r="M221" s="17"/>
      <c r="N221" s="16"/>
      <c r="O221" s="17"/>
      <c r="P221" s="18" t="e">
        <f t="shared" si="6"/>
        <v>#VALUE!</v>
      </c>
      <c r="Q221" s="22" t="e">
        <f t="shared" si="7"/>
        <v>#VALUE!</v>
      </c>
      <c r="R221" s="23"/>
    </row>
    <row r="222" spans="1:18" ht="12.75">
      <c r="A222" s="22">
        <v>46072</v>
      </c>
      <c r="B222" s="23" t="s">
        <v>14</v>
      </c>
      <c r="C222" s="23" t="s">
        <v>645</v>
      </c>
      <c r="D222" s="19"/>
      <c r="E222" s="23" t="s">
        <v>24</v>
      </c>
      <c r="G222" s="23" t="s">
        <v>25</v>
      </c>
      <c r="H222" s="18">
        <f>IF(G222="","",VALUE(SUBSTITUTE(VLOOKUP(G222,'Controle GEral'!F:G,2,FALSE),"R$ ", "")))</f>
        <v>80</v>
      </c>
      <c r="I222" s="23"/>
      <c r="J222" s="18" t="str">
        <f>IF(I222="","",VALUE(SUBSTITUTE(VLOOKUP(I222,'Controle GEral'!H:I,2,FALSE),"R$ ", "")))</f>
        <v/>
      </c>
      <c r="K222" s="23" t="s">
        <v>18</v>
      </c>
      <c r="L222" s="23"/>
      <c r="M222" s="17"/>
      <c r="N222" s="16"/>
      <c r="O222" s="17"/>
      <c r="P222" s="18" t="e">
        <f t="shared" si="6"/>
        <v>#VALUE!</v>
      </c>
      <c r="Q222" s="22" t="e">
        <f t="shared" si="7"/>
        <v>#VALUE!</v>
      </c>
      <c r="R222" s="23"/>
    </row>
    <row r="223" spans="1:18" ht="12.75">
      <c r="A223" s="22">
        <v>46072</v>
      </c>
      <c r="B223" s="23" t="s">
        <v>14</v>
      </c>
      <c r="C223" s="23" t="s">
        <v>646</v>
      </c>
      <c r="D223" s="19"/>
      <c r="E223" s="23" t="s">
        <v>24</v>
      </c>
      <c r="G223" s="23"/>
      <c r="H223" s="18" t="str">
        <f>IF(G223="","",VALUE(SUBSTITUTE(VLOOKUP(G223,'Controle GEral'!F:G,2,FALSE),"R$ ", "")))</f>
        <v/>
      </c>
      <c r="I223" s="23"/>
      <c r="J223" s="18" t="str">
        <f>IF(I223="","",VALUE(SUBSTITUTE(VLOOKUP(I223,'Controle GEral'!H:I,2,FALSE),"R$ ", "")))</f>
        <v/>
      </c>
      <c r="K223" s="23"/>
      <c r="L223" s="23"/>
      <c r="M223" s="17"/>
      <c r="N223" s="16"/>
      <c r="O223" s="17"/>
      <c r="P223" s="18" t="e">
        <f t="shared" si="6"/>
        <v>#VALUE!</v>
      </c>
      <c r="Q223" s="22" t="e">
        <f t="shared" si="7"/>
        <v>#VALUE!</v>
      </c>
      <c r="R223" s="23"/>
    </row>
    <row r="224" spans="1:18" ht="12.75">
      <c r="A224" s="22">
        <v>46072</v>
      </c>
      <c r="B224" s="23" t="s">
        <v>14</v>
      </c>
      <c r="C224" s="23" t="s">
        <v>759</v>
      </c>
      <c r="D224" s="19"/>
      <c r="E224" s="23" t="s">
        <v>24</v>
      </c>
      <c r="G224" s="23" t="s">
        <v>16</v>
      </c>
      <c r="H224" s="18">
        <f>IF(G224="","",VALUE(SUBSTITUTE(VLOOKUP(G224,'Controle GEral'!F:G,2,FALSE),"R$ ", "")))</f>
        <v>45</v>
      </c>
      <c r="I224" s="23"/>
      <c r="J224" s="18" t="str">
        <f>IF(I224="","",VALUE(SUBSTITUTE(VLOOKUP(I224,'Controle GEral'!H:I,2,FALSE),"R$ ", "")))</f>
        <v/>
      </c>
      <c r="K224" s="23" t="s">
        <v>18</v>
      </c>
      <c r="L224" s="23"/>
      <c r="M224" s="17"/>
      <c r="N224" s="16"/>
      <c r="O224" s="17"/>
      <c r="P224" s="18" t="e">
        <f t="shared" si="6"/>
        <v>#VALUE!</v>
      </c>
      <c r="Q224" s="22" t="e">
        <f t="shared" si="7"/>
        <v>#VALUE!</v>
      </c>
      <c r="R224" s="23"/>
    </row>
    <row r="225" spans="1:18" ht="12.75">
      <c r="A225" s="22">
        <v>46072</v>
      </c>
      <c r="B225" s="23" t="s">
        <v>14</v>
      </c>
      <c r="C225" s="23" t="s">
        <v>652</v>
      </c>
      <c r="D225" s="19"/>
      <c r="E225" s="23" t="s">
        <v>24</v>
      </c>
      <c r="G225" s="23" t="s">
        <v>25</v>
      </c>
      <c r="H225" s="18">
        <f>IF(G225="","",VALUE(SUBSTITUTE(VLOOKUP(G225,'Controle GEral'!F:G,2,FALSE),"R$ ", "")))</f>
        <v>80</v>
      </c>
      <c r="I225" s="23"/>
      <c r="J225" s="18" t="str">
        <f>IF(I225="","",VALUE(SUBSTITUTE(VLOOKUP(I225,'Controle GEral'!H:I,2,FALSE),"R$ ", "")))</f>
        <v/>
      </c>
      <c r="K225" s="23" t="s">
        <v>18</v>
      </c>
      <c r="L225" s="23"/>
      <c r="M225" s="17"/>
      <c r="N225" s="16"/>
      <c r="O225" s="17"/>
      <c r="P225" s="18" t="e">
        <f t="shared" si="6"/>
        <v>#VALUE!</v>
      </c>
      <c r="Q225" s="22" t="e">
        <f t="shared" si="7"/>
        <v>#VALUE!</v>
      </c>
      <c r="R225" s="23"/>
    </row>
    <row r="226" spans="1:18" ht="12.75">
      <c r="A226" s="22">
        <v>46072</v>
      </c>
      <c r="B226" s="23" t="s">
        <v>14</v>
      </c>
      <c r="C226" s="23" t="s">
        <v>760</v>
      </c>
      <c r="D226" s="19"/>
      <c r="E226" s="23" t="s">
        <v>24</v>
      </c>
      <c r="G226" s="23" t="s">
        <v>16</v>
      </c>
      <c r="H226" s="18">
        <f>IF(G226="","",VALUE(SUBSTITUTE(VLOOKUP(G226,'Controle GEral'!F:G,2,FALSE),"R$ ", "")))</f>
        <v>45</v>
      </c>
      <c r="I226" s="23"/>
      <c r="J226" s="18" t="str">
        <f>IF(I226="","",VALUE(SUBSTITUTE(VLOOKUP(I226,'Controle GEral'!H:I,2,FALSE),"R$ ", "")))</f>
        <v/>
      </c>
      <c r="K226" s="23" t="s">
        <v>18</v>
      </c>
      <c r="L226" s="23"/>
      <c r="M226" s="17"/>
      <c r="N226" s="16"/>
      <c r="O226" s="17"/>
      <c r="P226" s="18" t="e">
        <f t="shared" si="6"/>
        <v>#VALUE!</v>
      </c>
      <c r="Q226" s="22" t="e">
        <f t="shared" si="7"/>
        <v>#VALUE!</v>
      </c>
      <c r="R226" s="23"/>
    </row>
    <row r="227" spans="1:18" ht="12.75">
      <c r="A227" s="22">
        <v>46072</v>
      </c>
      <c r="B227" s="23" t="s">
        <v>23</v>
      </c>
      <c r="C227" s="23" t="s">
        <v>761</v>
      </c>
      <c r="D227" s="19"/>
      <c r="E227" s="23" t="s">
        <v>24</v>
      </c>
      <c r="G227" s="23" t="s">
        <v>16</v>
      </c>
      <c r="H227" s="18">
        <f>IF(G227="","",VALUE(SUBSTITUTE(VLOOKUP(G227,'Controle GEral'!F:G,2,FALSE),"R$ ", "")))</f>
        <v>45</v>
      </c>
      <c r="I227" s="23"/>
      <c r="J227" s="18" t="str">
        <f>IF(I227="","",VALUE(SUBSTITUTE(VLOOKUP(I227,'Controle GEral'!H:I,2,FALSE),"R$ ", "")))</f>
        <v/>
      </c>
      <c r="K227" s="23" t="s">
        <v>18</v>
      </c>
      <c r="L227" s="23" t="s">
        <v>28</v>
      </c>
      <c r="M227" s="17"/>
      <c r="N227" s="16"/>
      <c r="O227" s="17"/>
      <c r="P227" s="18" t="e">
        <f t="shared" si="6"/>
        <v>#VALUE!</v>
      </c>
      <c r="Q227" s="22" t="e">
        <f t="shared" si="7"/>
        <v>#VALUE!</v>
      </c>
      <c r="R227" s="23"/>
    </row>
    <row r="228" spans="1:18" ht="12.75">
      <c r="A228" s="22">
        <v>46072</v>
      </c>
      <c r="B228" s="23" t="s">
        <v>23</v>
      </c>
      <c r="C228" s="23" t="s">
        <v>578</v>
      </c>
      <c r="D228" s="19"/>
      <c r="E228" s="23" t="s">
        <v>24</v>
      </c>
      <c r="G228" s="23"/>
      <c r="H228" s="18" t="str">
        <f>IF(G228="","",VALUE(SUBSTITUTE(VLOOKUP(G228,'Controle GEral'!F:G,2,FALSE),"R$ ", "")))</f>
        <v/>
      </c>
      <c r="I228" s="23"/>
      <c r="J228" s="18" t="str">
        <f>IF(I228="","",VALUE(SUBSTITUTE(VLOOKUP(I228,'Controle GEral'!H:I,2,FALSE),"R$ ", "")))</f>
        <v/>
      </c>
      <c r="K228" s="23"/>
      <c r="L228" s="23"/>
      <c r="M228" s="17"/>
      <c r="N228" s="16"/>
      <c r="O228" s="17"/>
      <c r="P228" s="18" t="e">
        <f t="shared" si="6"/>
        <v>#VALUE!</v>
      </c>
      <c r="Q228" s="22" t="e">
        <f t="shared" si="7"/>
        <v>#VALUE!</v>
      </c>
      <c r="R228" s="23"/>
    </row>
    <row r="229" spans="1:18" ht="12.75">
      <c r="A229" s="22">
        <v>46072</v>
      </c>
      <c r="B229" s="23" t="s">
        <v>23</v>
      </c>
      <c r="C229" s="23" t="s">
        <v>701</v>
      </c>
      <c r="D229" s="19"/>
      <c r="E229" s="23" t="s">
        <v>24</v>
      </c>
      <c r="G229" s="23" t="s">
        <v>16</v>
      </c>
      <c r="H229" s="18">
        <f>IF(G229="","",VALUE(SUBSTITUTE(VLOOKUP(G229,'Controle GEral'!F:G,2,FALSE),"R$ ", "")))</f>
        <v>45</v>
      </c>
      <c r="I229" s="23"/>
      <c r="J229" s="18" t="str">
        <f>IF(I229="","",VALUE(SUBSTITUTE(VLOOKUP(I229,'Controle GEral'!H:I,2,FALSE),"R$ ", "")))</f>
        <v/>
      </c>
      <c r="K229" s="23" t="s">
        <v>18</v>
      </c>
      <c r="L229" s="23" t="s">
        <v>28</v>
      </c>
      <c r="M229" s="17"/>
      <c r="N229" s="16"/>
      <c r="O229" s="17"/>
      <c r="P229" s="18" t="e">
        <f t="shared" si="6"/>
        <v>#VALUE!</v>
      </c>
      <c r="Q229" s="22" t="e">
        <f t="shared" si="7"/>
        <v>#VALUE!</v>
      </c>
      <c r="R229" s="23"/>
    </row>
    <row r="230" spans="1:18" ht="12.75">
      <c r="A230" s="22">
        <v>46072</v>
      </c>
      <c r="B230" s="23" t="s">
        <v>23</v>
      </c>
      <c r="C230" s="23" t="s">
        <v>762</v>
      </c>
      <c r="D230" s="19"/>
      <c r="E230" s="23" t="s">
        <v>24</v>
      </c>
      <c r="G230" s="23" t="s">
        <v>16</v>
      </c>
      <c r="H230" s="18">
        <f>IF(G230="","",VALUE(SUBSTITUTE(VLOOKUP(G230,'Controle GEral'!F:G,2,FALSE),"R$ ", "")))</f>
        <v>45</v>
      </c>
      <c r="I230" s="23"/>
      <c r="J230" s="18" t="str">
        <f>IF(I230="","",VALUE(SUBSTITUTE(VLOOKUP(I230,'Controle GEral'!H:I,2,FALSE),"R$ ", "")))</f>
        <v/>
      </c>
      <c r="K230" s="23" t="s">
        <v>18</v>
      </c>
      <c r="L230" s="23" t="s">
        <v>34</v>
      </c>
      <c r="M230" s="17"/>
      <c r="N230" s="16"/>
      <c r="O230" s="17"/>
      <c r="P230" s="18" t="e">
        <f t="shared" si="6"/>
        <v>#VALUE!</v>
      </c>
      <c r="Q230" s="22" t="e">
        <f t="shared" si="7"/>
        <v>#VALUE!</v>
      </c>
      <c r="R230" s="23"/>
    </row>
    <row r="231" spans="1:18" ht="12.75">
      <c r="A231" s="22">
        <v>46072</v>
      </c>
      <c r="B231" s="23" t="s">
        <v>23</v>
      </c>
      <c r="C231" s="23" t="s">
        <v>763</v>
      </c>
      <c r="D231" s="19"/>
      <c r="E231" s="23" t="s">
        <v>15</v>
      </c>
      <c r="G231" s="23" t="s">
        <v>16</v>
      </c>
      <c r="H231" s="18">
        <f>IF(G231="","",VALUE(SUBSTITUTE(VLOOKUP(G231,'Controle GEral'!F:G,2,FALSE),"R$ ", "")))</f>
        <v>45</v>
      </c>
      <c r="I231" s="23"/>
      <c r="J231" s="18" t="str">
        <f>IF(I231="","",VALUE(SUBSTITUTE(VLOOKUP(I231,'Controle GEral'!H:I,2,FALSE),"R$ ", "")))</f>
        <v/>
      </c>
      <c r="K231" s="23" t="s">
        <v>18</v>
      </c>
      <c r="L231" s="23" t="s">
        <v>34</v>
      </c>
      <c r="M231" s="17"/>
      <c r="N231" s="16"/>
      <c r="O231" s="17"/>
      <c r="P231" s="18" t="e">
        <f t="shared" si="6"/>
        <v>#VALUE!</v>
      </c>
      <c r="Q231" s="22" t="e">
        <f t="shared" si="7"/>
        <v>#VALUE!</v>
      </c>
      <c r="R231" s="23"/>
    </row>
    <row r="232" spans="1:18" ht="12.75">
      <c r="A232" s="22">
        <v>46072</v>
      </c>
      <c r="B232" s="23" t="s">
        <v>23</v>
      </c>
      <c r="C232" s="23" t="s">
        <v>764</v>
      </c>
      <c r="D232" s="19"/>
      <c r="E232" s="23" t="s">
        <v>15</v>
      </c>
      <c r="G232" s="23" t="s">
        <v>16</v>
      </c>
      <c r="H232" s="18">
        <f>IF(G232="","",VALUE(SUBSTITUTE(VLOOKUP(G232,'Controle GEral'!F:G,2,FALSE),"R$ ", "")))</f>
        <v>45</v>
      </c>
      <c r="I232" s="23"/>
      <c r="J232" s="18" t="str">
        <f>IF(I232="","",VALUE(SUBSTITUTE(VLOOKUP(I232,'Controle GEral'!H:I,2,FALSE),"R$ ", "")))</f>
        <v/>
      </c>
      <c r="K232" s="23" t="s">
        <v>18</v>
      </c>
      <c r="L232" s="23" t="s">
        <v>39</v>
      </c>
      <c r="M232" s="17"/>
      <c r="N232" s="16"/>
      <c r="O232" s="17"/>
      <c r="P232" s="18" t="e">
        <f t="shared" si="6"/>
        <v>#VALUE!</v>
      </c>
      <c r="Q232" s="22" t="e">
        <f t="shared" si="7"/>
        <v>#VALUE!</v>
      </c>
      <c r="R232" s="23"/>
    </row>
    <row r="233" spans="1:18" ht="12.75">
      <c r="A233" s="22">
        <v>46073</v>
      </c>
      <c r="B233" s="23" t="s">
        <v>14</v>
      </c>
      <c r="C233" s="23" t="s">
        <v>705</v>
      </c>
      <c r="D233" s="19"/>
      <c r="E233" s="23" t="s">
        <v>15</v>
      </c>
      <c r="G233" s="23" t="s">
        <v>16</v>
      </c>
      <c r="H233" s="18">
        <f>IF(G233="","",VALUE(SUBSTITUTE(VLOOKUP(G233,'Controle GEral'!F:G,2,FALSE),"R$ ", "")))</f>
        <v>45</v>
      </c>
      <c r="I233" s="23"/>
      <c r="J233" s="18" t="str">
        <f>IF(I233="","",VALUE(SUBSTITUTE(VLOOKUP(I233,'Controle GEral'!H:I,2,FALSE),"R$ ", "")))</f>
        <v/>
      </c>
      <c r="K233" s="23" t="s">
        <v>18</v>
      </c>
      <c r="L233" s="23" t="s">
        <v>34</v>
      </c>
      <c r="M233" s="17"/>
      <c r="N233" s="16"/>
      <c r="O233" s="17"/>
      <c r="P233" s="18" t="e">
        <f t="shared" si="6"/>
        <v>#VALUE!</v>
      </c>
      <c r="Q233" s="22" t="e">
        <f t="shared" si="7"/>
        <v>#VALUE!</v>
      </c>
      <c r="R233" s="23"/>
    </row>
    <row r="234" spans="1:18" ht="12.75">
      <c r="A234" s="22">
        <v>46073</v>
      </c>
      <c r="B234" s="23" t="s">
        <v>14</v>
      </c>
      <c r="C234" s="23" t="s">
        <v>570</v>
      </c>
      <c r="D234" s="19"/>
      <c r="E234" s="23" t="s">
        <v>24</v>
      </c>
      <c r="G234" s="23"/>
      <c r="H234" s="18" t="str">
        <f>IF(G234="","",VALUE(SUBSTITUTE(VLOOKUP(G234,'Controle GEral'!F:G,2,FALSE),"R$ ", "")))</f>
        <v/>
      </c>
      <c r="I234" s="23"/>
      <c r="J234" s="18" t="str">
        <f>IF(I234="","",VALUE(SUBSTITUTE(VLOOKUP(I234,'Controle GEral'!H:I,2,FALSE),"R$ ", "")))</f>
        <v/>
      </c>
      <c r="K234" s="23"/>
      <c r="L234" s="23"/>
      <c r="M234" s="17"/>
      <c r="N234" s="16"/>
      <c r="O234" s="17"/>
      <c r="P234" s="18" t="e">
        <f t="shared" si="6"/>
        <v>#VALUE!</v>
      </c>
      <c r="Q234" s="22" t="e">
        <f t="shared" si="7"/>
        <v>#VALUE!</v>
      </c>
      <c r="R234" s="23"/>
    </row>
    <row r="235" spans="1:18" ht="12.75">
      <c r="A235" s="22">
        <v>46073</v>
      </c>
      <c r="B235" s="23" t="s">
        <v>14</v>
      </c>
      <c r="C235" s="23" t="s">
        <v>765</v>
      </c>
      <c r="D235" s="19"/>
      <c r="E235" s="23" t="s">
        <v>24</v>
      </c>
      <c r="G235" s="23"/>
      <c r="H235" s="18" t="str">
        <f>IF(G235="","",VALUE(SUBSTITUTE(VLOOKUP(G235,'Controle GEral'!F:G,2,FALSE),"R$ ", "")))</f>
        <v/>
      </c>
      <c r="I235" s="23"/>
      <c r="J235" s="18" t="str">
        <f>IF(I235="","",VALUE(SUBSTITUTE(VLOOKUP(I235,'Controle GEral'!H:I,2,FALSE),"R$ ", "")))</f>
        <v/>
      </c>
      <c r="K235" s="23"/>
      <c r="L235" s="23"/>
      <c r="M235" s="17"/>
      <c r="N235" s="16"/>
      <c r="O235" s="17"/>
      <c r="P235" s="18" t="e">
        <f t="shared" si="6"/>
        <v>#VALUE!</v>
      </c>
      <c r="Q235" s="22" t="e">
        <f t="shared" si="7"/>
        <v>#VALUE!</v>
      </c>
      <c r="R235" s="23"/>
    </row>
    <row r="236" spans="1:18" ht="12.75">
      <c r="A236" s="22">
        <v>46073</v>
      </c>
      <c r="B236" s="23" t="s">
        <v>14</v>
      </c>
      <c r="C236" s="23" t="s">
        <v>653</v>
      </c>
      <c r="D236" s="19"/>
      <c r="E236" s="23" t="s">
        <v>24</v>
      </c>
      <c r="G236" s="23" t="s">
        <v>16</v>
      </c>
      <c r="H236" s="18">
        <f>IF(G236="","",VALUE(SUBSTITUTE(VLOOKUP(G236,'Controle GEral'!F:G,2,FALSE),"R$ ", "")))</f>
        <v>45</v>
      </c>
      <c r="I236" s="23"/>
      <c r="J236" s="18" t="str">
        <f>IF(I236="","",VALUE(SUBSTITUTE(VLOOKUP(I236,'Controle GEral'!H:I,2,FALSE),"R$ ", "")))</f>
        <v/>
      </c>
      <c r="K236" s="23" t="s">
        <v>18</v>
      </c>
      <c r="L236" s="23" t="s">
        <v>34</v>
      </c>
      <c r="M236" s="17"/>
      <c r="N236" s="16"/>
      <c r="O236" s="17"/>
      <c r="P236" s="18" t="e">
        <f t="shared" si="6"/>
        <v>#VALUE!</v>
      </c>
      <c r="Q236" s="22" t="e">
        <f t="shared" si="7"/>
        <v>#VALUE!</v>
      </c>
      <c r="R236" s="23"/>
    </row>
    <row r="237" spans="1:18" ht="12.75">
      <c r="A237" s="22">
        <v>46073</v>
      </c>
      <c r="B237" s="23" t="s">
        <v>14</v>
      </c>
      <c r="C237" s="23" t="s">
        <v>766</v>
      </c>
      <c r="D237" s="19"/>
      <c r="E237" s="23" t="s">
        <v>24</v>
      </c>
      <c r="G237" s="23" t="s">
        <v>38</v>
      </c>
      <c r="H237" s="18">
        <f>IF(G237="","",VALUE(SUBSTITUTE(VLOOKUP(G237,'Controle GEral'!F:G,2,FALSE),"R$ ", "")))</f>
        <v>70</v>
      </c>
      <c r="I237" s="23"/>
      <c r="J237" s="18" t="str">
        <f>IF(I237="","",VALUE(SUBSTITUTE(VLOOKUP(I237,'Controle GEral'!H:I,2,FALSE),"R$ ", "")))</f>
        <v/>
      </c>
      <c r="K237" s="23" t="s">
        <v>18</v>
      </c>
      <c r="L237" s="23" t="s">
        <v>34</v>
      </c>
      <c r="M237" s="17"/>
      <c r="N237" s="16"/>
      <c r="O237" s="17"/>
      <c r="P237" s="18" t="e">
        <f t="shared" si="6"/>
        <v>#VALUE!</v>
      </c>
      <c r="Q237" s="22" t="e">
        <f t="shared" si="7"/>
        <v>#VALUE!</v>
      </c>
      <c r="R237" s="23"/>
    </row>
    <row r="238" spans="1:18" ht="12.75">
      <c r="A238" s="22">
        <v>46073</v>
      </c>
      <c r="B238" s="23" t="s">
        <v>14</v>
      </c>
      <c r="C238" s="23" t="s">
        <v>633</v>
      </c>
      <c r="D238" s="19"/>
      <c r="E238" s="23" t="s">
        <v>24</v>
      </c>
      <c r="G238" s="23" t="s">
        <v>16</v>
      </c>
      <c r="H238" s="18">
        <f>IF(G238="","",VALUE(SUBSTITUTE(VLOOKUP(G238,'Controle GEral'!F:G,2,FALSE),"R$ ", "")))</f>
        <v>45</v>
      </c>
      <c r="I238" s="23"/>
      <c r="J238" s="18" t="str">
        <f>IF(I238="","",VALUE(SUBSTITUTE(VLOOKUP(I238,'Controle GEral'!H:I,2,FALSE),"R$ ", "")))</f>
        <v/>
      </c>
      <c r="K238" s="23" t="s">
        <v>18</v>
      </c>
      <c r="L238" s="23" t="s">
        <v>34</v>
      </c>
      <c r="M238" s="17"/>
      <c r="N238" s="16"/>
      <c r="O238" s="17"/>
      <c r="P238" s="18" t="e">
        <f t="shared" si="6"/>
        <v>#VALUE!</v>
      </c>
      <c r="Q238" s="22" t="e">
        <f t="shared" si="7"/>
        <v>#VALUE!</v>
      </c>
      <c r="R238" s="23"/>
    </row>
    <row r="239" spans="1:18" ht="12.75">
      <c r="A239" s="22">
        <v>46073</v>
      </c>
      <c r="B239" s="23" t="s">
        <v>14</v>
      </c>
      <c r="C239" s="23" t="s">
        <v>767</v>
      </c>
      <c r="D239" s="19"/>
      <c r="E239" s="23" t="s">
        <v>24</v>
      </c>
      <c r="G239" s="23" t="s">
        <v>16</v>
      </c>
      <c r="H239" s="18">
        <f>IF(G239="","",VALUE(SUBSTITUTE(VLOOKUP(G239,'Controle GEral'!F:G,2,FALSE),"R$ ", "")))</f>
        <v>45</v>
      </c>
      <c r="I239" s="23"/>
      <c r="J239" s="18" t="str">
        <f>IF(I239="","",VALUE(SUBSTITUTE(VLOOKUP(I239,'Controle GEral'!H:I,2,FALSE),"R$ ", "")))</f>
        <v/>
      </c>
      <c r="K239" s="23" t="s">
        <v>18</v>
      </c>
      <c r="L239" s="23" t="s">
        <v>34</v>
      </c>
      <c r="M239" s="17"/>
      <c r="N239" s="16"/>
      <c r="O239" s="17"/>
      <c r="P239" s="18" t="e">
        <f t="shared" si="6"/>
        <v>#VALUE!</v>
      </c>
      <c r="Q239" s="22" t="e">
        <f t="shared" si="7"/>
        <v>#VALUE!</v>
      </c>
      <c r="R239" s="23"/>
    </row>
    <row r="240" spans="1:18" ht="12.75">
      <c r="A240" s="22">
        <v>46073</v>
      </c>
      <c r="B240" s="23" t="s">
        <v>14</v>
      </c>
      <c r="C240" s="23" t="s">
        <v>597</v>
      </c>
      <c r="D240" s="19"/>
      <c r="E240" s="23" t="s">
        <v>24</v>
      </c>
      <c r="G240" s="23"/>
      <c r="H240" s="18" t="str">
        <f>IF(G240="","",VALUE(SUBSTITUTE(VLOOKUP(G240,'Controle GEral'!F:G,2,FALSE),"R$ ", "")))</f>
        <v/>
      </c>
      <c r="I240" s="23"/>
      <c r="J240" s="18" t="str">
        <f>IF(I240="","",VALUE(SUBSTITUTE(VLOOKUP(I240,'Controle GEral'!H:I,2,FALSE),"R$ ", "")))</f>
        <v/>
      </c>
      <c r="K240" s="23"/>
      <c r="L240" s="23"/>
      <c r="M240" s="17"/>
      <c r="N240" s="16"/>
      <c r="O240" s="17"/>
      <c r="P240" s="18" t="e">
        <f t="shared" si="6"/>
        <v>#VALUE!</v>
      </c>
      <c r="Q240" s="22" t="e">
        <f t="shared" si="7"/>
        <v>#VALUE!</v>
      </c>
      <c r="R240" s="23"/>
    </row>
    <row r="241" spans="1:18" ht="12.75">
      <c r="A241" s="22">
        <v>46073</v>
      </c>
      <c r="B241" s="23" t="s">
        <v>14</v>
      </c>
      <c r="C241" s="23" t="s">
        <v>566</v>
      </c>
      <c r="D241" s="19"/>
      <c r="E241" s="23" t="s">
        <v>24</v>
      </c>
      <c r="G241" s="23"/>
      <c r="H241" s="18" t="str">
        <f>IF(G241="","",VALUE(SUBSTITUTE(VLOOKUP(G241,'Controle GEral'!F:G,2,FALSE),"R$ ", "")))</f>
        <v/>
      </c>
      <c r="I241" s="23"/>
      <c r="J241" s="18" t="str">
        <f>IF(I241="","",VALUE(SUBSTITUTE(VLOOKUP(I241,'Controle GEral'!H:I,2,FALSE),"R$ ", "")))</f>
        <v/>
      </c>
      <c r="K241" s="23"/>
      <c r="L241" s="23"/>
      <c r="M241" s="17"/>
      <c r="N241" s="16"/>
      <c r="O241" s="17"/>
      <c r="P241" s="18" t="e">
        <f t="shared" si="6"/>
        <v>#VALUE!</v>
      </c>
      <c r="Q241" s="22" t="e">
        <f t="shared" si="7"/>
        <v>#VALUE!</v>
      </c>
      <c r="R241" s="23"/>
    </row>
    <row r="242" spans="1:18" ht="12.75">
      <c r="A242" s="22">
        <v>46073</v>
      </c>
      <c r="B242" s="23" t="s">
        <v>14</v>
      </c>
      <c r="C242" s="23" t="s">
        <v>768</v>
      </c>
      <c r="D242" s="19"/>
      <c r="E242" s="23" t="s">
        <v>24</v>
      </c>
      <c r="G242" s="23"/>
      <c r="H242" s="18" t="str">
        <f>IF(G242="","",VALUE(SUBSTITUTE(VLOOKUP(G242,'Controle GEral'!F:G,2,FALSE),"R$ ", "")))</f>
        <v/>
      </c>
      <c r="I242" s="23"/>
      <c r="J242" s="18" t="str">
        <f>IF(I242="","",VALUE(SUBSTITUTE(VLOOKUP(I242,'Controle GEral'!H:I,2,FALSE),"R$ ", "")))</f>
        <v/>
      </c>
      <c r="K242" s="23"/>
      <c r="L242" s="23"/>
      <c r="M242" s="17"/>
      <c r="N242" s="16"/>
      <c r="O242" s="17"/>
      <c r="P242" s="18" t="e">
        <f t="shared" si="6"/>
        <v>#VALUE!</v>
      </c>
      <c r="Q242" s="22" t="e">
        <f t="shared" si="7"/>
        <v>#VALUE!</v>
      </c>
      <c r="R242" s="23"/>
    </row>
    <row r="243" spans="1:18" ht="12.75">
      <c r="A243" s="22">
        <v>46073</v>
      </c>
      <c r="B243" s="23" t="s">
        <v>14</v>
      </c>
      <c r="C243" s="23" t="s">
        <v>664</v>
      </c>
      <c r="D243" s="19"/>
      <c r="E243" s="23" t="s">
        <v>24</v>
      </c>
      <c r="G243" s="23" t="s">
        <v>38</v>
      </c>
      <c r="H243" s="18">
        <f>IF(G243="","",VALUE(SUBSTITUTE(VLOOKUP(G243,'Controle GEral'!F:G,2,FALSE),"R$ ", "")))</f>
        <v>70</v>
      </c>
      <c r="I243" s="23"/>
      <c r="J243" s="18" t="str">
        <f>IF(I243="","",VALUE(SUBSTITUTE(VLOOKUP(I243,'Controle GEral'!H:I,2,FALSE),"R$ ", "")))</f>
        <v/>
      </c>
      <c r="K243" s="23" t="s">
        <v>18</v>
      </c>
      <c r="L243" s="23" t="s">
        <v>34</v>
      </c>
      <c r="M243" s="17"/>
      <c r="N243" s="16"/>
      <c r="O243" s="17"/>
      <c r="P243" s="18" t="e">
        <f t="shared" si="6"/>
        <v>#VALUE!</v>
      </c>
      <c r="Q243" s="22" t="e">
        <f t="shared" si="7"/>
        <v>#VALUE!</v>
      </c>
      <c r="R243" s="23"/>
    </row>
    <row r="244" spans="1:18" ht="12.75">
      <c r="A244" s="22">
        <v>46073</v>
      </c>
      <c r="B244" s="23" t="s">
        <v>23</v>
      </c>
      <c r="C244" s="23" t="s">
        <v>769</v>
      </c>
      <c r="D244" s="19"/>
      <c r="E244" s="23" t="s">
        <v>15</v>
      </c>
      <c r="G244" s="23" t="s">
        <v>16</v>
      </c>
      <c r="H244" s="18">
        <f>IF(G244="","",VALUE(SUBSTITUTE(VLOOKUP(G244,'Controle GEral'!F:G,2,FALSE),"R$ ", "")))</f>
        <v>45</v>
      </c>
      <c r="I244" s="23"/>
      <c r="J244" s="18" t="str">
        <f>IF(I244="","",VALUE(SUBSTITUTE(VLOOKUP(I244,'Controle GEral'!H:I,2,FALSE),"R$ ", "")))</f>
        <v/>
      </c>
      <c r="K244" s="23" t="s">
        <v>18</v>
      </c>
      <c r="L244" s="23" t="s">
        <v>34</v>
      </c>
      <c r="M244" s="17"/>
      <c r="N244" s="16"/>
      <c r="O244" s="17"/>
      <c r="P244" s="18" t="e">
        <f t="shared" si="6"/>
        <v>#VALUE!</v>
      </c>
      <c r="Q244" s="22" t="e">
        <f t="shared" si="7"/>
        <v>#VALUE!</v>
      </c>
      <c r="R244" s="23"/>
    </row>
    <row r="245" spans="1:18" ht="12.75">
      <c r="A245" s="22">
        <v>46073</v>
      </c>
      <c r="B245" s="23" t="s">
        <v>23</v>
      </c>
      <c r="C245" s="23" t="s">
        <v>770</v>
      </c>
      <c r="D245" s="19"/>
      <c r="E245" s="23" t="s">
        <v>24</v>
      </c>
      <c r="G245" s="23" t="s">
        <v>12</v>
      </c>
      <c r="H245" s="18" t="e">
        <f>IF(G245="","",VALUE(SUBSTITUTE(VLOOKUP(G245,'Controle GEral'!F:G,2,FALSE),"R$ ", "")))</f>
        <v>#N/A</v>
      </c>
      <c r="I245" s="23"/>
      <c r="J245" s="18" t="str">
        <f>IF(I245="","",VALUE(SUBSTITUTE(VLOOKUP(I245,'Controle GEral'!H:I,2,FALSE),"R$ ", "")))</f>
        <v/>
      </c>
      <c r="K245" s="23" t="s">
        <v>18</v>
      </c>
      <c r="L245" s="23" t="s">
        <v>34</v>
      </c>
      <c r="M245" s="17"/>
      <c r="N245" s="16"/>
      <c r="O245" s="17"/>
      <c r="P245" s="23" t="e">
        <f t="shared" si="6"/>
        <v>#N/A</v>
      </c>
      <c r="Q245" s="22" t="e">
        <f t="shared" si="7"/>
        <v>#VALUE!</v>
      </c>
      <c r="R245" s="23"/>
    </row>
    <row r="246" spans="1:18" ht="12.75">
      <c r="A246" s="22">
        <v>46073</v>
      </c>
      <c r="B246" s="23" t="s">
        <v>23</v>
      </c>
      <c r="C246" s="23" t="s">
        <v>616</v>
      </c>
      <c r="D246" s="19"/>
      <c r="E246" s="23" t="s">
        <v>24</v>
      </c>
      <c r="G246" s="23" t="s">
        <v>16</v>
      </c>
      <c r="H246" s="18">
        <f>IF(G246="","",VALUE(SUBSTITUTE(VLOOKUP(G246,'Controle GEral'!F:G,2,FALSE),"R$ ", "")))</f>
        <v>45</v>
      </c>
      <c r="I246" s="23"/>
      <c r="J246" s="18" t="str">
        <f>IF(I246="","",VALUE(SUBSTITUTE(VLOOKUP(I246,'Controle GEral'!H:I,2,FALSE),"R$ ", "")))</f>
        <v/>
      </c>
      <c r="K246" s="23" t="s">
        <v>18</v>
      </c>
      <c r="L246" s="23" t="s">
        <v>39</v>
      </c>
      <c r="M246" s="17"/>
      <c r="N246" s="16"/>
      <c r="O246" s="17"/>
      <c r="P246" s="18" t="e">
        <f t="shared" si="6"/>
        <v>#VALUE!</v>
      </c>
      <c r="Q246" s="22" t="e">
        <f t="shared" si="7"/>
        <v>#VALUE!</v>
      </c>
      <c r="R246" s="23"/>
    </row>
    <row r="247" spans="1:18" ht="12.75">
      <c r="A247" s="22">
        <v>46073</v>
      </c>
      <c r="B247" s="23" t="s">
        <v>23</v>
      </c>
      <c r="C247" s="23" t="s">
        <v>751</v>
      </c>
      <c r="D247" s="19"/>
      <c r="E247" s="23" t="s">
        <v>15</v>
      </c>
      <c r="G247" s="23" t="s">
        <v>16</v>
      </c>
      <c r="H247" s="18">
        <f>IF(G247="","",VALUE(SUBSTITUTE(VLOOKUP(G247,'Controle GEral'!F:G,2,FALSE),"R$ ", "")))</f>
        <v>45</v>
      </c>
      <c r="I247" s="23"/>
      <c r="J247" s="18" t="str">
        <f>IF(I247="","",VALUE(SUBSTITUTE(VLOOKUP(I247,'Controle GEral'!H:I,2,FALSE),"R$ ", "")))</f>
        <v/>
      </c>
      <c r="K247" s="23" t="s">
        <v>18</v>
      </c>
      <c r="L247" s="23" t="s">
        <v>34</v>
      </c>
      <c r="M247" s="17"/>
      <c r="N247" s="16"/>
      <c r="O247" s="17"/>
      <c r="P247" s="18" t="e">
        <f t="shared" si="6"/>
        <v>#VALUE!</v>
      </c>
      <c r="Q247" s="22" t="e">
        <f t="shared" si="7"/>
        <v>#VALUE!</v>
      </c>
      <c r="R247" s="23"/>
    </row>
    <row r="248" spans="1:18" ht="12.75">
      <c r="A248" s="22">
        <v>46073</v>
      </c>
      <c r="B248" s="23" t="s">
        <v>23</v>
      </c>
      <c r="C248" s="23" t="s">
        <v>669</v>
      </c>
      <c r="D248" s="19"/>
      <c r="E248" s="23" t="s">
        <v>24</v>
      </c>
      <c r="G248" s="23"/>
      <c r="H248" s="18" t="str">
        <f>IF(G248="","",VALUE(SUBSTITUTE(VLOOKUP(G248,'Controle GEral'!F:G,2,FALSE),"R$ ", "")))</f>
        <v/>
      </c>
      <c r="I248" s="23"/>
      <c r="J248" s="18" t="str">
        <f>IF(I248="","",VALUE(SUBSTITUTE(VLOOKUP(I248,'Controle GEral'!H:I,2,FALSE),"R$ ", "")))</f>
        <v/>
      </c>
      <c r="K248" s="23"/>
      <c r="L248" s="23"/>
      <c r="M248" s="17"/>
      <c r="N248" s="16"/>
      <c r="O248" s="17"/>
      <c r="P248" s="18" t="e">
        <f t="shared" si="6"/>
        <v>#VALUE!</v>
      </c>
      <c r="Q248" s="22" t="e">
        <f t="shared" si="7"/>
        <v>#VALUE!</v>
      </c>
      <c r="R248" s="23"/>
    </row>
    <row r="249" spans="1:18" ht="12.75">
      <c r="A249" s="22">
        <v>46073</v>
      </c>
      <c r="B249" s="23" t="s">
        <v>23</v>
      </c>
      <c r="C249" s="23" t="s">
        <v>731</v>
      </c>
      <c r="D249" s="19"/>
      <c r="E249" s="23" t="s">
        <v>24</v>
      </c>
      <c r="G249" s="23" t="s">
        <v>16</v>
      </c>
      <c r="H249" s="18">
        <f>IF(G249="","",VALUE(SUBSTITUTE(VLOOKUP(G249,'Controle GEral'!F:G,2,FALSE),"R$ ", "")))</f>
        <v>45</v>
      </c>
      <c r="I249" s="23"/>
      <c r="J249" s="18" t="str">
        <f>IF(I249="","",VALUE(SUBSTITUTE(VLOOKUP(I249,'Controle GEral'!H:I,2,FALSE),"R$ ", "")))</f>
        <v/>
      </c>
      <c r="K249" s="23" t="s">
        <v>18</v>
      </c>
      <c r="L249" s="23" t="s">
        <v>34</v>
      </c>
      <c r="M249" s="17"/>
      <c r="N249" s="16"/>
      <c r="O249" s="17"/>
      <c r="P249" s="18" t="e">
        <f t="shared" si="6"/>
        <v>#VALUE!</v>
      </c>
      <c r="Q249" s="22" t="e">
        <f t="shared" si="7"/>
        <v>#VALUE!</v>
      </c>
      <c r="R249" s="23"/>
    </row>
    <row r="250" spans="1:18" ht="12.75">
      <c r="A250" s="22">
        <v>46073</v>
      </c>
      <c r="B250" s="23" t="s">
        <v>23</v>
      </c>
      <c r="C250" s="23" t="s">
        <v>771</v>
      </c>
      <c r="D250" s="19"/>
      <c r="E250" s="23" t="s">
        <v>24</v>
      </c>
      <c r="G250" s="23" t="s">
        <v>16</v>
      </c>
      <c r="H250" s="18">
        <f>IF(G250="","",VALUE(SUBSTITUTE(VLOOKUP(G250,'Controle GEral'!F:G,2,FALSE),"R$ ", "")))</f>
        <v>45</v>
      </c>
      <c r="I250" s="23"/>
      <c r="J250" s="18" t="str">
        <f>IF(I250="","",VALUE(SUBSTITUTE(VLOOKUP(I250,'Controle GEral'!H:I,2,FALSE),"R$ ", "")))</f>
        <v/>
      </c>
      <c r="K250" s="23" t="s">
        <v>18</v>
      </c>
      <c r="L250" s="23" t="s">
        <v>34</v>
      </c>
      <c r="M250" s="17"/>
      <c r="N250" s="16"/>
      <c r="O250" s="17"/>
      <c r="P250" s="18" t="e">
        <f t="shared" si="6"/>
        <v>#VALUE!</v>
      </c>
      <c r="Q250" s="22" t="e">
        <f t="shared" si="7"/>
        <v>#VALUE!</v>
      </c>
      <c r="R250" s="23"/>
    </row>
    <row r="251" spans="1:18" ht="12.75">
      <c r="A251" s="22">
        <v>46073</v>
      </c>
      <c r="B251" s="23" t="s">
        <v>23</v>
      </c>
      <c r="C251" s="23" t="s">
        <v>668</v>
      </c>
      <c r="D251" s="19"/>
      <c r="E251" s="23" t="s">
        <v>24</v>
      </c>
      <c r="G251" s="23" t="s">
        <v>16</v>
      </c>
      <c r="H251" s="18">
        <f>IF(G251="","",VALUE(SUBSTITUTE(VLOOKUP(G251,'Controle GEral'!F:G,2,FALSE),"R$ ", "")))</f>
        <v>45</v>
      </c>
      <c r="I251" s="23"/>
      <c r="J251" s="18" t="str">
        <f>IF(I251="","",VALUE(SUBSTITUTE(VLOOKUP(I251,'Controle GEral'!H:I,2,FALSE),"R$ ", "")))</f>
        <v/>
      </c>
      <c r="K251" s="23" t="s">
        <v>18</v>
      </c>
      <c r="L251" s="23" t="s">
        <v>34</v>
      </c>
      <c r="M251" s="17"/>
      <c r="N251" s="16"/>
      <c r="O251" s="17"/>
      <c r="P251" s="18" t="e">
        <f t="shared" si="6"/>
        <v>#VALUE!</v>
      </c>
      <c r="Q251" s="22" t="e">
        <f t="shared" si="7"/>
        <v>#VALUE!</v>
      </c>
      <c r="R251" s="23"/>
    </row>
    <row r="252" spans="1:18" ht="12.75">
      <c r="A252" s="22">
        <v>46074</v>
      </c>
      <c r="B252" s="23" t="s">
        <v>14</v>
      </c>
      <c r="C252" s="23" t="s">
        <v>672</v>
      </c>
      <c r="D252" s="19"/>
      <c r="E252" s="23" t="s">
        <v>24</v>
      </c>
      <c r="G252" s="23" t="s">
        <v>16</v>
      </c>
      <c r="H252" s="18">
        <f>IF(G252="","",VALUE(SUBSTITUTE(VLOOKUP(G252,'Controle GEral'!F:G,2,FALSE),"R$ ", "")))</f>
        <v>45</v>
      </c>
      <c r="I252" s="23"/>
      <c r="J252" s="18" t="str">
        <f>IF(I252="","",VALUE(SUBSTITUTE(VLOOKUP(I252,'Controle GEral'!H:I,2,FALSE),"R$ ", "")))</f>
        <v/>
      </c>
      <c r="K252" s="23" t="s">
        <v>18</v>
      </c>
      <c r="L252" s="23" t="s">
        <v>19</v>
      </c>
      <c r="M252" s="17"/>
      <c r="N252" s="16"/>
      <c r="O252" s="17"/>
      <c r="P252" s="18" t="e">
        <f t="shared" si="6"/>
        <v>#VALUE!</v>
      </c>
      <c r="Q252" s="22" t="e">
        <f t="shared" si="7"/>
        <v>#VALUE!</v>
      </c>
      <c r="R252" s="23"/>
    </row>
    <row r="253" spans="1:18" ht="12.75">
      <c r="A253" s="22">
        <v>46074</v>
      </c>
      <c r="B253" s="23" t="s">
        <v>14</v>
      </c>
      <c r="C253" s="23" t="s">
        <v>772</v>
      </c>
      <c r="D253" s="19"/>
      <c r="E253" s="23" t="s">
        <v>24</v>
      </c>
      <c r="G253" s="23" t="s">
        <v>12</v>
      </c>
      <c r="H253" s="18" t="e">
        <f>IF(G253="","",VALUE(SUBSTITUTE(VLOOKUP(G253,'Controle GEral'!F:G,2,FALSE),"R$ ", "")))</f>
        <v>#N/A</v>
      </c>
      <c r="I253" s="23"/>
      <c r="J253" s="18" t="str">
        <f>IF(I253="","",VALUE(SUBSTITUTE(VLOOKUP(I253,'Controle GEral'!H:I,2,FALSE),"R$ ", "")))</f>
        <v/>
      </c>
      <c r="K253" s="23" t="s">
        <v>18</v>
      </c>
      <c r="L253" s="23" t="s">
        <v>19</v>
      </c>
      <c r="M253" s="17"/>
      <c r="N253" s="16"/>
      <c r="O253" s="17"/>
      <c r="P253" s="23" t="e">
        <f t="shared" si="6"/>
        <v>#N/A</v>
      </c>
      <c r="Q253" s="22" t="e">
        <f t="shared" si="7"/>
        <v>#VALUE!</v>
      </c>
      <c r="R253" s="23"/>
    </row>
    <row r="254" spans="1:18" ht="12.75">
      <c r="A254" s="22">
        <v>46074</v>
      </c>
      <c r="B254" s="23" t="s">
        <v>14</v>
      </c>
      <c r="C254" s="23" t="s">
        <v>604</v>
      </c>
      <c r="D254" s="19"/>
      <c r="E254" s="23" t="s">
        <v>24</v>
      </c>
      <c r="G254" s="23" t="s">
        <v>38</v>
      </c>
      <c r="H254" s="18">
        <f>IF(G254="","",VALUE(SUBSTITUTE(VLOOKUP(G254,'Controle GEral'!F:G,2,FALSE),"R$ ", "")))</f>
        <v>70</v>
      </c>
      <c r="I254" s="23"/>
      <c r="J254" s="18" t="str">
        <f>IF(I254="","",VALUE(SUBSTITUTE(VLOOKUP(I254,'Controle GEral'!H:I,2,FALSE),"R$ ", "")))</f>
        <v/>
      </c>
      <c r="K254" s="23" t="s">
        <v>18</v>
      </c>
      <c r="L254" s="23" t="s">
        <v>34</v>
      </c>
      <c r="M254" s="17"/>
      <c r="N254" s="16"/>
      <c r="O254" s="17"/>
      <c r="P254" s="18" t="e">
        <f t="shared" si="6"/>
        <v>#VALUE!</v>
      </c>
      <c r="Q254" s="22" t="e">
        <f t="shared" si="7"/>
        <v>#VALUE!</v>
      </c>
      <c r="R254" s="23"/>
    </row>
    <row r="255" spans="1:18" ht="12.75">
      <c r="A255" s="22">
        <v>46074</v>
      </c>
      <c r="B255" s="23" t="s">
        <v>14</v>
      </c>
      <c r="C255" s="23" t="s">
        <v>659</v>
      </c>
      <c r="D255" s="19"/>
      <c r="E255" s="23" t="s">
        <v>24</v>
      </c>
      <c r="G255" s="23" t="s">
        <v>16</v>
      </c>
      <c r="H255" s="18">
        <f>IF(G255="","",VALUE(SUBSTITUTE(VLOOKUP(G255,'Controle GEral'!F:G,2,FALSE),"R$ ", "")))</f>
        <v>45</v>
      </c>
      <c r="I255" s="23"/>
      <c r="J255" s="18" t="str">
        <f>IF(I255="","",VALUE(SUBSTITUTE(VLOOKUP(I255,'Controle GEral'!H:I,2,FALSE),"R$ ", "")))</f>
        <v/>
      </c>
      <c r="K255" s="23" t="s">
        <v>18</v>
      </c>
      <c r="L255" s="23" t="s">
        <v>34</v>
      </c>
      <c r="M255" s="17"/>
      <c r="N255" s="16"/>
      <c r="O255" s="17"/>
      <c r="P255" s="18" t="e">
        <f t="shared" si="6"/>
        <v>#VALUE!</v>
      </c>
      <c r="Q255" s="22" t="e">
        <f t="shared" si="7"/>
        <v>#VALUE!</v>
      </c>
      <c r="R255" s="23"/>
    </row>
    <row r="256" spans="1:18" ht="12.75">
      <c r="A256" s="22">
        <v>46074</v>
      </c>
      <c r="B256" s="23" t="s">
        <v>14</v>
      </c>
      <c r="C256" s="23" t="s">
        <v>773</v>
      </c>
      <c r="D256" s="19"/>
      <c r="E256" s="23" t="s">
        <v>24</v>
      </c>
      <c r="G256" s="23" t="s">
        <v>12</v>
      </c>
      <c r="H256" s="18" t="e">
        <f>IF(G256="","",VALUE(SUBSTITUTE(VLOOKUP(G256,'Controle GEral'!F:G,2,FALSE),"R$ ", "")))</f>
        <v>#N/A</v>
      </c>
      <c r="I256" s="23"/>
      <c r="J256" s="18" t="str">
        <f>IF(I256="","",VALUE(SUBSTITUTE(VLOOKUP(I256,'Controle GEral'!H:I,2,FALSE),"R$ ", "")))</f>
        <v/>
      </c>
      <c r="K256" s="23" t="s">
        <v>18</v>
      </c>
      <c r="L256" s="23" t="s">
        <v>28</v>
      </c>
      <c r="M256" s="17"/>
      <c r="N256" s="16"/>
      <c r="O256" s="17"/>
      <c r="P256" s="23" t="e">
        <f t="shared" si="6"/>
        <v>#N/A</v>
      </c>
      <c r="Q256" s="22" t="e">
        <f t="shared" si="7"/>
        <v>#VALUE!</v>
      </c>
      <c r="R256" s="23"/>
    </row>
    <row r="257" spans="1:18" ht="12.75">
      <c r="A257" s="22">
        <v>46074</v>
      </c>
      <c r="B257" s="23" t="s">
        <v>14</v>
      </c>
      <c r="C257" s="23" t="s">
        <v>676</v>
      </c>
      <c r="D257" s="19"/>
      <c r="E257" s="23" t="s">
        <v>24</v>
      </c>
      <c r="G257" s="23" t="s">
        <v>38</v>
      </c>
      <c r="H257" s="18">
        <f>IF(G257="","",VALUE(SUBSTITUTE(VLOOKUP(G257,'Controle GEral'!F:G,2,FALSE),"R$ ", "")))</f>
        <v>70</v>
      </c>
      <c r="I257" s="23"/>
      <c r="J257" s="18" t="str">
        <f>IF(I257="","",VALUE(SUBSTITUTE(VLOOKUP(I257,'Controle GEral'!H:I,2,FALSE),"R$ ", "")))</f>
        <v/>
      </c>
      <c r="K257" s="23" t="s">
        <v>18</v>
      </c>
      <c r="L257" s="23" t="s">
        <v>19</v>
      </c>
      <c r="M257" s="17"/>
      <c r="N257" s="16"/>
      <c r="O257" s="17"/>
      <c r="P257" s="18" t="e">
        <f t="shared" si="6"/>
        <v>#VALUE!</v>
      </c>
      <c r="Q257" s="22" t="e">
        <f t="shared" si="7"/>
        <v>#VALUE!</v>
      </c>
      <c r="R257" s="23"/>
    </row>
    <row r="258" spans="1:18" ht="12.75">
      <c r="A258" s="22">
        <v>46074</v>
      </c>
      <c r="B258" s="23" t="s">
        <v>14</v>
      </c>
      <c r="C258" s="23" t="s">
        <v>678</v>
      </c>
      <c r="D258" s="19"/>
      <c r="E258" s="23" t="s">
        <v>24</v>
      </c>
      <c r="G258" s="23" t="s">
        <v>16</v>
      </c>
      <c r="H258" s="18">
        <f>IF(G258="","",VALUE(SUBSTITUTE(VLOOKUP(G258,'Controle GEral'!F:G,2,FALSE),"R$ ", "")))</f>
        <v>45</v>
      </c>
      <c r="I258" s="23" t="s">
        <v>21</v>
      </c>
      <c r="J258" s="18">
        <f>IF(I258="","",VALUE(SUBSTITUTE(VLOOKUP(I258,'Controle GEral'!H:I,2,FALSE),"R$ ", "")))</f>
        <v>10</v>
      </c>
      <c r="K258" s="23" t="s">
        <v>18</v>
      </c>
      <c r="L258" s="23" t="s">
        <v>34</v>
      </c>
      <c r="M258" s="17"/>
      <c r="N258" s="16"/>
      <c r="O258" s="17"/>
      <c r="P258" s="18">
        <f t="shared" ref="P258:P321" si="8">H258+J258+S258</f>
        <v>55</v>
      </c>
      <c r="Q258" s="22" t="e">
        <f t="shared" ref="Q258:Q321" si="9">DATEVALUE(A258)</f>
        <v>#VALUE!</v>
      </c>
      <c r="R258" s="23"/>
    </row>
    <row r="259" spans="1:18" ht="12.75">
      <c r="A259" s="22">
        <v>46074</v>
      </c>
      <c r="B259" s="23" t="s">
        <v>14</v>
      </c>
      <c r="C259" s="23" t="s">
        <v>586</v>
      </c>
      <c r="D259" s="19"/>
      <c r="E259" s="23" t="s">
        <v>24</v>
      </c>
      <c r="G259" s="23"/>
      <c r="H259" s="18" t="str">
        <f>IF(G259="","",VALUE(SUBSTITUTE(VLOOKUP(G259,'Controle GEral'!F:G,2,FALSE),"R$ ", "")))</f>
        <v/>
      </c>
      <c r="I259" s="23"/>
      <c r="J259" s="18" t="str">
        <f>IF(I259="","",VALUE(SUBSTITUTE(VLOOKUP(I259,'Controle GEral'!H:I,2,FALSE),"R$ ", "")))</f>
        <v/>
      </c>
      <c r="K259" s="23"/>
      <c r="L259" s="23"/>
      <c r="M259" s="17"/>
      <c r="N259" s="16"/>
      <c r="O259" s="17"/>
      <c r="P259" s="18" t="e">
        <f t="shared" si="8"/>
        <v>#VALUE!</v>
      </c>
      <c r="Q259" s="22" t="e">
        <f t="shared" si="9"/>
        <v>#VALUE!</v>
      </c>
      <c r="R259" s="23"/>
    </row>
    <row r="260" spans="1:18" ht="12.75">
      <c r="A260" s="22">
        <v>46074</v>
      </c>
      <c r="B260" s="23" t="s">
        <v>14</v>
      </c>
      <c r="C260" s="23" t="s">
        <v>774</v>
      </c>
      <c r="D260" s="19"/>
      <c r="E260" s="23" t="s">
        <v>24</v>
      </c>
      <c r="G260" s="23" t="s">
        <v>32</v>
      </c>
      <c r="H260" s="18">
        <f>IF(G260="","",VALUE(SUBSTITUTE(VLOOKUP(G260,'Controle GEral'!F:G,2,FALSE),"R$ ", "")))</f>
        <v>35</v>
      </c>
      <c r="I260" s="23" t="s">
        <v>21</v>
      </c>
      <c r="J260" s="18">
        <f>IF(I260="","",VALUE(SUBSTITUTE(VLOOKUP(I260,'Controle GEral'!H:I,2,FALSE),"R$ ", "")))</f>
        <v>10</v>
      </c>
      <c r="K260" s="23" t="s">
        <v>18</v>
      </c>
      <c r="L260" s="23" t="s">
        <v>34</v>
      </c>
      <c r="M260" s="17"/>
      <c r="N260" s="16"/>
      <c r="O260" s="17"/>
      <c r="P260" s="18">
        <f t="shared" si="8"/>
        <v>45</v>
      </c>
      <c r="Q260" s="22" t="e">
        <f t="shared" si="9"/>
        <v>#VALUE!</v>
      </c>
      <c r="R260" s="23"/>
    </row>
    <row r="261" spans="1:18" ht="12.75">
      <c r="A261" s="22">
        <v>46074</v>
      </c>
      <c r="B261" s="23" t="s">
        <v>14</v>
      </c>
      <c r="C261" s="23" t="s">
        <v>599</v>
      </c>
      <c r="D261" s="19"/>
      <c r="E261" s="23" t="s">
        <v>24</v>
      </c>
      <c r="G261" s="23" t="s">
        <v>16</v>
      </c>
      <c r="H261" s="18">
        <f>IF(G261="","",VALUE(SUBSTITUTE(VLOOKUP(G261,'Controle GEral'!F:G,2,FALSE),"R$ ", "")))</f>
        <v>45</v>
      </c>
      <c r="I261" s="23"/>
      <c r="J261" s="18" t="str">
        <f>IF(I261="","",VALUE(SUBSTITUTE(VLOOKUP(I261,'Controle GEral'!H:I,2,FALSE),"R$ ", "")))</f>
        <v/>
      </c>
      <c r="K261" s="23"/>
      <c r="L261" s="23"/>
      <c r="M261" s="17"/>
      <c r="N261" s="16"/>
      <c r="O261" s="17"/>
      <c r="P261" s="18" t="e">
        <f t="shared" si="8"/>
        <v>#VALUE!</v>
      </c>
      <c r="Q261" s="22" t="e">
        <f t="shared" si="9"/>
        <v>#VALUE!</v>
      </c>
      <c r="R261" s="23"/>
    </row>
    <row r="262" spans="1:18" ht="12.75">
      <c r="A262" s="22">
        <v>46074</v>
      </c>
      <c r="B262" s="23" t="s">
        <v>14</v>
      </c>
      <c r="C262" s="23" t="s">
        <v>736</v>
      </c>
      <c r="D262" s="19"/>
      <c r="E262" s="23" t="s">
        <v>24</v>
      </c>
      <c r="G262" s="23"/>
      <c r="H262" s="18" t="str">
        <f>IF(G262="","",VALUE(SUBSTITUTE(VLOOKUP(G262,'Controle GEral'!F:G,2,FALSE),"R$ ", "")))</f>
        <v/>
      </c>
      <c r="I262" s="23"/>
      <c r="J262" s="18" t="str">
        <f>IF(I262="","",VALUE(SUBSTITUTE(VLOOKUP(I262,'Controle GEral'!H:I,2,FALSE),"R$ ", "")))</f>
        <v/>
      </c>
      <c r="K262" s="23"/>
      <c r="L262" s="23"/>
      <c r="M262" s="17"/>
      <c r="N262" s="16"/>
      <c r="O262" s="17"/>
      <c r="P262" s="18" t="e">
        <f t="shared" si="8"/>
        <v>#VALUE!</v>
      </c>
      <c r="Q262" s="22" t="e">
        <f t="shared" si="9"/>
        <v>#VALUE!</v>
      </c>
      <c r="R262" s="23"/>
    </row>
    <row r="263" spans="1:18" ht="12.75">
      <c r="A263" s="22">
        <v>46074</v>
      </c>
      <c r="B263" s="23" t="s">
        <v>23</v>
      </c>
      <c r="C263" s="23" t="s">
        <v>674</v>
      </c>
      <c r="D263" s="19"/>
      <c r="E263" s="23" t="s">
        <v>24</v>
      </c>
      <c r="G263" s="23" t="s">
        <v>16</v>
      </c>
      <c r="H263" s="18">
        <f>IF(G263="","",VALUE(SUBSTITUTE(VLOOKUP(G263,'Controle GEral'!F:G,2,FALSE),"R$ ", "")))</f>
        <v>45</v>
      </c>
      <c r="I263" s="23"/>
      <c r="J263" s="18" t="str">
        <f>IF(I263="","",VALUE(SUBSTITUTE(VLOOKUP(I263,'Controle GEral'!H:I,2,FALSE),"R$ ", "")))</f>
        <v/>
      </c>
      <c r="K263" s="23" t="s">
        <v>18</v>
      </c>
      <c r="L263" s="23" t="s">
        <v>28</v>
      </c>
      <c r="M263" s="17"/>
      <c r="N263" s="16"/>
      <c r="O263" s="17"/>
      <c r="P263" s="18" t="e">
        <f t="shared" si="8"/>
        <v>#VALUE!</v>
      </c>
      <c r="Q263" s="22" t="e">
        <f t="shared" si="9"/>
        <v>#VALUE!</v>
      </c>
      <c r="R263" s="23"/>
    </row>
    <row r="264" spans="1:18" ht="12.75">
      <c r="A264" s="22">
        <v>46074</v>
      </c>
      <c r="B264" s="23" t="s">
        <v>23</v>
      </c>
      <c r="C264" s="23" t="s">
        <v>654</v>
      </c>
      <c r="D264" s="19"/>
      <c r="E264" s="23" t="s">
        <v>24</v>
      </c>
      <c r="G264" s="23" t="s">
        <v>16</v>
      </c>
      <c r="H264" s="18">
        <f>IF(G264="","",VALUE(SUBSTITUTE(VLOOKUP(G264,'Controle GEral'!F:G,2,FALSE),"R$ ", "")))</f>
        <v>45</v>
      </c>
      <c r="I264" s="23"/>
      <c r="J264" s="18" t="str">
        <f>IF(I264="","",VALUE(SUBSTITUTE(VLOOKUP(I264,'Controle GEral'!H:I,2,FALSE),"R$ ", "")))</f>
        <v/>
      </c>
      <c r="K264" s="23" t="s">
        <v>18</v>
      </c>
      <c r="L264" s="23" t="s">
        <v>28</v>
      </c>
      <c r="M264" s="17"/>
      <c r="N264" s="16"/>
      <c r="O264" s="17"/>
      <c r="P264" s="18" t="e">
        <f t="shared" si="8"/>
        <v>#VALUE!</v>
      </c>
      <c r="Q264" s="22" t="e">
        <f t="shared" si="9"/>
        <v>#VALUE!</v>
      </c>
      <c r="R264" s="23"/>
    </row>
    <row r="265" spans="1:18" ht="12.75">
      <c r="A265" s="22">
        <v>46074</v>
      </c>
      <c r="B265" s="23" t="s">
        <v>23</v>
      </c>
      <c r="C265" s="23" t="s">
        <v>775</v>
      </c>
      <c r="D265" s="19"/>
      <c r="E265" s="23" t="s">
        <v>15</v>
      </c>
      <c r="G265" s="23" t="s">
        <v>16</v>
      </c>
      <c r="H265" s="18">
        <f>IF(G265="","",VALUE(SUBSTITUTE(VLOOKUP(G265,'Controle GEral'!F:G,2,FALSE),"R$ ", "")))</f>
        <v>45</v>
      </c>
      <c r="I265" s="23"/>
      <c r="J265" s="18" t="str">
        <f>IF(I265="","",VALUE(SUBSTITUTE(VLOOKUP(I265,'Controle GEral'!H:I,2,FALSE),"R$ ", "")))</f>
        <v/>
      </c>
      <c r="K265" s="23" t="s">
        <v>18</v>
      </c>
      <c r="L265" s="23" t="s">
        <v>28</v>
      </c>
      <c r="M265" s="17"/>
      <c r="N265" s="16"/>
      <c r="O265" s="17"/>
      <c r="P265" s="18" t="e">
        <f t="shared" si="8"/>
        <v>#VALUE!</v>
      </c>
      <c r="Q265" s="22" t="e">
        <f t="shared" si="9"/>
        <v>#VALUE!</v>
      </c>
      <c r="R265" s="23"/>
    </row>
    <row r="266" spans="1:18" ht="12.75">
      <c r="A266" s="22">
        <v>46074</v>
      </c>
      <c r="B266" s="23" t="s">
        <v>23</v>
      </c>
      <c r="C266" s="23" t="s">
        <v>716</v>
      </c>
      <c r="D266" s="19"/>
      <c r="E266" s="23" t="s">
        <v>24</v>
      </c>
      <c r="G266" s="23" t="s">
        <v>16</v>
      </c>
      <c r="H266" s="18">
        <f>IF(G266="","",VALUE(SUBSTITUTE(VLOOKUP(G266,'Controle GEral'!F:G,2,FALSE),"R$ ", "")))</f>
        <v>45</v>
      </c>
      <c r="I266" s="23"/>
      <c r="J266" s="18" t="str">
        <f>IF(I266="","",VALUE(SUBSTITUTE(VLOOKUP(I266,'Controle GEral'!H:I,2,FALSE),"R$ ", "")))</f>
        <v/>
      </c>
      <c r="K266" s="23" t="s">
        <v>18</v>
      </c>
      <c r="L266" s="23" t="s">
        <v>19</v>
      </c>
      <c r="M266" s="17"/>
      <c r="N266" s="16"/>
      <c r="O266" s="17"/>
      <c r="P266" s="18" t="e">
        <f t="shared" si="8"/>
        <v>#VALUE!</v>
      </c>
      <c r="Q266" s="22" t="e">
        <f t="shared" si="9"/>
        <v>#VALUE!</v>
      </c>
      <c r="R266" s="23"/>
    </row>
    <row r="267" spans="1:18" ht="12.75">
      <c r="A267" s="22">
        <v>46074</v>
      </c>
      <c r="B267" s="23" t="s">
        <v>23</v>
      </c>
      <c r="C267" s="23" t="s">
        <v>653</v>
      </c>
      <c r="D267" s="19"/>
      <c r="E267" s="23" t="s">
        <v>24</v>
      </c>
      <c r="G267" s="23" t="s">
        <v>16</v>
      </c>
      <c r="H267" s="18">
        <f>IF(G267="","",VALUE(SUBSTITUTE(VLOOKUP(G267,'Controle GEral'!F:G,2,FALSE),"R$ ", "")))</f>
        <v>45</v>
      </c>
      <c r="I267" s="23"/>
      <c r="J267" s="18" t="str">
        <f>IF(I267="","",VALUE(SUBSTITUTE(VLOOKUP(I267,'Controle GEral'!H:I,2,FALSE),"R$ ", "")))</f>
        <v/>
      </c>
      <c r="K267" s="23" t="s">
        <v>18</v>
      </c>
      <c r="L267" s="23" t="s">
        <v>34</v>
      </c>
      <c r="M267" s="17"/>
      <c r="N267" s="16"/>
      <c r="O267" s="17"/>
      <c r="P267" s="18" t="e">
        <f t="shared" si="8"/>
        <v>#VALUE!</v>
      </c>
      <c r="Q267" s="22" t="e">
        <f t="shared" si="9"/>
        <v>#VALUE!</v>
      </c>
      <c r="R267" s="23"/>
    </row>
    <row r="268" spans="1:18" ht="12.75">
      <c r="A268" s="22">
        <v>46074</v>
      </c>
      <c r="B268" s="23" t="s">
        <v>23</v>
      </c>
      <c r="C268" s="23" t="s">
        <v>593</v>
      </c>
      <c r="D268" s="19"/>
      <c r="E268" s="23" t="s">
        <v>15</v>
      </c>
      <c r="G268" s="23" t="s">
        <v>32</v>
      </c>
      <c r="H268" s="18">
        <f>IF(G268="","",VALUE(SUBSTITUTE(VLOOKUP(G268,'Controle GEral'!F:G,2,FALSE),"R$ ", "")))</f>
        <v>35</v>
      </c>
      <c r="I268" s="23" t="s">
        <v>12</v>
      </c>
      <c r="J268" s="18">
        <f>IF(I268="","",VALUE(SUBSTITUTE(VLOOKUP(I268,'Controle GEral'!H:I,2,FALSE),"R$ ", "")))</f>
        <v>20</v>
      </c>
      <c r="K268" s="23" t="s">
        <v>18</v>
      </c>
      <c r="L268" s="23" t="s">
        <v>34</v>
      </c>
      <c r="M268" s="17"/>
      <c r="N268" s="16"/>
      <c r="O268" s="17"/>
      <c r="P268" s="18">
        <f t="shared" si="8"/>
        <v>55</v>
      </c>
      <c r="Q268" s="22" t="e">
        <f t="shared" si="9"/>
        <v>#VALUE!</v>
      </c>
      <c r="R268" s="23"/>
    </row>
    <row r="269" spans="1:18" ht="12.75">
      <c r="A269" s="22">
        <v>46074</v>
      </c>
      <c r="B269" s="23" t="s">
        <v>23</v>
      </c>
      <c r="C269" s="23" t="s">
        <v>776</v>
      </c>
      <c r="D269" s="19"/>
      <c r="E269" s="23" t="s">
        <v>24</v>
      </c>
      <c r="G269" s="23" t="s">
        <v>25</v>
      </c>
      <c r="H269" s="18">
        <f>IF(G269="","",VALUE(SUBSTITUTE(VLOOKUP(G269,'Controle GEral'!F:G,2,FALSE),"R$ ", "")))</f>
        <v>80</v>
      </c>
      <c r="I269" s="23"/>
      <c r="J269" s="18" t="str">
        <f>IF(I269="","",VALUE(SUBSTITUTE(VLOOKUP(I269,'Controle GEral'!H:I,2,FALSE),"R$ ", "")))</f>
        <v/>
      </c>
      <c r="K269" s="23" t="s">
        <v>18</v>
      </c>
      <c r="L269" s="23" t="s">
        <v>34</v>
      </c>
      <c r="M269" s="17"/>
      <c r="N269" s="16"/>
      <c r="O269" s="17"/>
      <c r="P269" s="18" t="e">
        <f t="shared" si="8"/>
        <v>#VALUE!</v>
      </c>
      <c r="Q269" s="22" t="e">
        <f t="shared" si="9"/>
        <v>#VALUE!</v>
      </c>
      <c r="R269" s="23"/>
    </row>
    <row r="270" spans="1:18" ht="12.75">
      <c r="A270" s="22">
        <v>46074</v>
      </c>
      <c r="B270" s="23" t="s">
        <v>23</v>
      </c>
      <c r="C270" s="23" t="s">
        <v>777</v>
      </c>
      <c r="D270" s="19"/>
      <c r="E270" s="23" t="s">
        <v>15</v>
      </c>
      <c r="G270" s="23" t="s">
        <v>16</v>
      </c>
      <c r="H270" s="18">
        <f>IF(G270="","",VALUE(SUBSTITUTE(VLOOKUP(G270,'Controle GEral'!F:G,2,FALSE),"R$ ", "")))</f>
        <v>45</v>
      </c>
      <c r="I270" s="23"/>
      <c r="J270" s="18" t="str">
        <f>IF(I270="","",VALUE(SUBSTITUTE(VLOOKUP(I270,'Controle GEral'!H:I,2,FALSE),"R$ ", "")))</f>
        <v/>
      </c>
      <c r="K270" s="23" t="s">
        <v>18</v>
      </c>
      <c r="L270" s="23" t="s">
        <v>34</v>
      </c>
      <c r="M270" s="17"/>
      <c r="N270" s="16"/>
      <c r="O270" s="17"/>
      <c r="P270" s="18" t="e">
        <f t="shared" si="8"/>
        <v>#VALUE!</v>
      </c>
      <c r="Q270" s="22" t="e">
        <f t="shared" si="9"/>
        <v>#VALUE!</v>
      </c>
      <c r="R270" s="23"/>
    </row>
    <row r="271" spans="1:18" ht="12.75">
      <c r="A271" s="22">
        <v>46076</v>
      </c>
      <c r="B271" s="23" t="s">
        <v>14</v>
      </c>
      <c r="C271" s="23" t="s">
        <v>778</v>
      </c>
      <c r="D271" s="19"/>
      <c r="E271" s="23" t="s">
        <v>15</v>
      </c>
      <c r="G271" s="23" t="s">
        <v>16</v>
      </c>
      <c r="H271" s="18">
        <f>IF(G271="","",VALUE(SUBSTITUTE(VLOOKUP(G271,'Controle GEral'!F:G,2,FALSE),"R$ ", "")))</f>
        <v>45</v>
      </c>
      <c r="I271" s="23"/>
      <c r="J271" s="18" t="str">
        <f>IF(I271="","",VALUE(SUBSTITUTE(VLOOKUP(I271,'Controle GEral'!H:I,2,FALSE),"R$ ", "")))</f>
        <v/>
      </c>
      <c r="K271" s="23" t="s">
        <v>18</v>
      </c>
      <c r="L271" s="23" t="s">
        <v>28</v>
      </c>
      <c r="M271" s="17"/>
      <c r="N271" s="16"/>
      <c r="O271" s="17"/>
      <c r="P271" s="18" t="e">
        <f t="shared" si="8"/>
        <v>#VALUE!</v>
      </c>
      <c r="Q271" s="22" t="e">
        <f t="shared" si="9"/>
        <v>#VALUE!</v>
      </c>
      <c r="R271" s="23"/>
    </row>
    <row r="272" spans="1:18" ht="12.75">
      <c r="A272" s="22">
        <v>46076</v>
      </c>
      <c r="B272" s="23" t="s">
        <v>23</v>
      </c>
      <c r="C272" s="23" t="s">
        <v>704</v>
      </c>
      <c r="D272" s="19"/>
      <c r="E272" s="23" t="s">
        <v>24</v>
      </c>
      <c r="G272" s="23" t="s">
        <v>16</v>
      </c>
      <c r="H272" s="18">
        <f>IF(G272="","",VALUE(SUBSTITUTE(VLOOKUP(G272,'Controle GEral'!F:G,2,FALSE),"R$ ", "")))</f>
        <v>45</v>
      </c>
      <c r="I272" s="23" t="s">
        <v>21</v>
      </c>
      <c r="J272" s="18">
        <f>IF(I272="","",VALUE(SUBSTITUTE(VLOOKUP(I272,'Controle GEral'!H:I,2,FALSE),"R$ ", "")))</f>
        <v>10</v>
      </c>
      <c r="K272" s="23" t="s">
        <v>18</v>
      </c>
      <c r="L272" s="23" t="s">
        <v>34</v>
      </c>
      <c r="M272" s="17"/>
      <c r="N272" s="16"/>
      <c r="O272" s="17"/>
      <c r="P272" s="18">
        <f t="shared" si="8"/>
        <v>55</v>
      </c>
      <c r="Q272" s="22" t="e">
        <f t="shared" si="9"/>
        <v>#VALUE!</v>
      </c>
      <c r="R272" s="23"/>
    </row>
    <row r="273" spans="1:18" ht="12.75">
      <c r="A273" s="22">
        <v>46076</v>
      </c>
      <c r="B273" s="23" t="s">
        <v>23</v>
      </c>
      <c r="C273" s="23" t="s">
        <v>779</v>
      </c>
      <c r="D273" s="19"/>
      <c r="E273" s="23" t="s">
        <v>24</v>
      </c>
      <c r="G273" s="23" t="s">
        <v>16</v>
      </c>
      <c r="H273" s="18">
        <f>IF(G273="","",VALUE(SUBSTITUTE(VLOOKUP(G273,'Controle GEral'!F:G,2,FALSE),"R$ ", "")))</f>
        <v>45</v>
      </c>
      <c r="I273" s="23"/>
      <c r="J273" s="18" t="str">
        <f>IF(I273="","",VALUE(SUBSTITUTE(VLOOKUP(I273,'Controle GEral'!H:I,2,FALSE),"R$ ", "")))</f>
        <v/>
      </c>
      <c r="K273" s="23" t="s">
        <v>18</v>
      </c>
      <c r="L273" s="23" t="s">
        <v>19</v>
      </c>
      <c r="M273" s="17"/>
      <c r="N273" s="16"/>
      <c r="O273" s="17"/>
      <c r="P273" s="18" t="e">
        <f t="shared" si="8"/>
        <v>#VALUE!</v>
      </c>
      <c r="Q273" s="22" t="e">
        <f t="shared" si="9"/>
        <v>#VALUE!</v>
      </c>
      <c r="R273" s="23"/>
    </row>
    <row r="274" spans="1:18" ht="12.75">
      <c r="A274" s="22">
        <v>46076</v>
      </c>
      <c r="B274" s="23" t="s">
        <v>23</v>
      </c>
      <c r="C274" s="23" t="s">
        <v>780</v>
      </c>
      <c r="D274" s="19"/>
      <c r="E274" s="23" t="s">
        <v>24</v>
      </c>
      <c r="G274" s="23"/>
      <c r="H274" s="18" t="str">
        <f>IF(G274="","",VALUE(SUBSTITUTE(VLOOKUP(G274,'Controle GEral'!F:G,2,FALSE),"R$ ", "")))</f>
        <v/>
      </c>
      <c r="I274" s="23"/>
      <c r="J274" s="18" t="str">
        <f>IF(I274="","",VALUE(SUBSTITUTE(VLOOKUP(I274,'Controle GEral'!H:I,2,FALSE),"R$ ", "")))</f>
        <v/>
      </c>
      <c r="K274" s="23"/>
      <c r="L274" s="23"/>
      <c r="M274" s="17"/>
      <c r="N274" s="16"/>
      <c r="O274" s="17"/>
      <c r="P274" s="18" t="e">
        <f t="shared" si="8"/>
        <v>#VALUE!</v>
      </c>
      <c r="Q274" s="22" t="e">
        <f t="shared" si="9"/>
        <v>#VALUE!</v>
      </c>
      <c r="R274" s="23"/>
    </row>
    <row r="275" spans="1:18" ht="12.75">
      <c r="A275" s="22">
        <v>46077</v>
      </c>
      <c r="B275" s="23" t="s">
        <v>14</v>
      </c>
      <c r="C275" s="23" t="s">
        <v>781</v>
      </c>
      <c r="D275" s="19"/>
      <c r="E275" s="23" t="s">
        <v>15</v>
      </c>
      <c r="G275" s="23" t="s">
        <v>16</v>
      </c>
      <c r="H275" s="18">
        <f>IF(G275="","",VALUE(SUBSTITUTE(VLOOKUP(G275,'Controle GEral'!F:G,2,FALSE),"R$ ", "")))</f>
        <v>45</v>
      </c>
      <c r="I275" s="23"/>
      <c r="J275" s="18" t="str">
        <f>IF(I275="","",VALUE(SUBSTITUTE(VLOOKUP(I275,'Controle GEral'!H:I,2,FALSE),"R$ ", "")))</f>
        <v/>
      </c>
      <c r="K275" s="23" t="s">
        <v>18</v>
      </c>
      <c r="L275" s="23" t="s">
        <v>34</v>
      </c>
      <c r="M275" s="17"/>
      <c r="N275" s="16"/>
      <c r="O275" s="17"/>
      <c r="P275" s="18" t="e">
        <f t="shared" si="8"/>
        <v>#VALUE!</v>
      </c>
      <c r="Q275" s="22" t="e">
        <f t="shared" si="9"/>
        <v>#VALUE!</v>
      </c>
      <c r="R275" s="23"/>
    </row>
    <row r="276" spans="1:18" ht="12.75">
      <c r="A276" s="22">
        <v>46077</v>
      </c>
      <c r="B276" s="23" t="s">
        <v>14</v>
      </c>
      <c r="C276" s="23" t="s">
        <v>782</v>
      </c>
      <c r="D276" s="19"/>
      <c r="E276" s="23" t="s">
        <v>24</v>
      </c>
      <c r="G276" s="23" t="s">
        <v>16</v>
      </c>
      <c r="H276" s="18">
        <f>IF(G276="","",VALUE(SUBSTITUTE(VLOOKUP(G276,'Controle GEral'!F:G,2,FALSE),"R$ ", "")))</f>
        <v>45</v>
      </c>
      <c r="I276" s="23"/>
      <c r="J276" s="18" t="str">
        <f>IF(I276="","",VALUE(SUBSTITUTE(VLOOKUP(I276,'Controle GEral'!H:I,2,FALSE),"R$ ", "")))</f>
        <v/>
      </c>
      <c r="K276" s="23" t="s">
        <v>18</v>
      </c>
      <c r="L276" s="23" t="s">
        <v>34</v>
      </c>
      <c r="M276" s="17"/>
      <c r="N276" s="16"/>
      <c r="O276" s="17"/>
      <c r="P276" s="18" t="e">
        <f t="shared" si="8"/>
        <v>#VALUE!</v>
      </c>
      <c r="Q276" s="22" t="e">
        <f t="shared" si="9"/>
        <v>#VALUE!</v>
      </c>
      <c r="R276" s="23"/>
    </row>
    <row r="277" spans="1:18" ht="12.75">
      <c r="A277" s="22">
        <v>46077</v>
      </c>
      <c r="B277" s="23" t="s">
        <v>23</v>
      </c>
      <c r="C277" s="23" t="s">
        <v>783</v>
      </c>
      <c r="D277" s="19"/>
      <c r="E277" s="23" t="s">
        <v>24</v>
      </c>
      <c r="G277" s="23" t="s">
        <v>25</v>
      </c>
      <c r="H277" s="18">
        <f>IF(G277="","",VALUE(SUBSTITUTE(VLOOKUP(G277,'Controle GEral'!F:G,2,FALSE),"R$ ", "")))</f>
        <v>80</v>
      </c>
      <c r="I277" s="23" t="s">
        <v>21</v>
      </c>
      <c r="J277" s="18">
        <f>IF(I277="","",VALUE(SUBSTITUTE(VLOOKUP(I277,'Controle GEral'!H:I,2,FALSE),"R$ ", "")))</f>
        <v>10</v>
      </c>
      <c r="K277" s="23" t="s">
        <v>18</v>
      </c>
      <c r="L277" s="23" t="s">
        <v>28</v>
      </c>
      <c r="M277" s="17"/>
      <c r="N277" s="16"/>
      <c r="O277" s="17"/>
      <c r="P277" s="18">
        <f t="shared" si="8"/>
        <v>90</v>
      </c>
      <c r="Q277" s="22" t="e">
        <f t="shared" si="9"/>
        <v>#VALUE!</v>
      </c>
      <c r="R277" s="23"/>
    </row>
    <row r="278" spans="1:18" ht="12.75">
      <c r="A278" s="22">
        <v>46077</v>
      </c>
      <c r="B278" s="23" t="s">
        <v>23</v>
      </c>
      <c r="C278" s="23" t="s">
        <v>784</v>
      </c>
      <c r="D278" s="19"/>
      <c r="E278" s="23" t="s">
        <v>15</v>
      </c>
      <c r="G278" s="23" t="s">
        <v>16</v>
      </c>
      <c r="H278" s="18">
        <f>IF(G278="","",VALUE(SUBSTITUTE(VLOOKUP(G278,'Controle GEral'!F:G,2,FALSE),"R$ ", "")))</f>
        <v>45</v>
      </c>
      <c r="I278" s="23"/>
      <c r="J278" s="18" t="str">
        <f>IF(I278="","",VALUE(SUBSTITUTE(VLOOKUP(I278,'Controle GEral'!H:I,2,FALSE),"R$ ", "")))</f>
        <v/>
      </c>
      <c r="K278" s="23" t="s">
        <v>18</v>
      </c>
      <c r="L278" s="23" t="s">
        <v>28</v>
      </c>
      <c r="M278" s="17"/>
      <c r="N278" s="16"/>
      <c r="O278" s="17"/>
      <c r="P278" s="18" t="e">
        <f t="shared" si="8"/>
        <v>#VALUE!</v>
      </c>
      <c r="Q278" s="22" t="e">
        <f t="shared" si="9"/>
        <v>#VALUE!</v>
      </c>
      <c r="R278" s="23"/>
    </row>
    <row r="279" spans="1:18" ht="12.75">
      <c r="A279" s="22">
        <v>46077</v>
      </c>
      <c r="B279" s="23" t="s">
        <v>14</v>
      </c>
      <c r="C279" s="23" t="s">
        <v>785</v>
      </c>
      <c r="D279" s="19"/>
      <c r="E279" s="23" t="s">
        <v>24</v>
      </c>
      <c r="G279" s="23" t="s">
        <v>38</v>
      </c>
      <c r="H279" s="18">
        <f>IF(G279="","",VALUE(SUBSTITUTE(VLOOKUP(G279,'Controle GEral'!F:G,2,FALSE),"R$ ", "")))</f>
        <v>70</v>
      </c>
      <c r="I279" s="23"/>
      <c r="J279" s="18" t="str">
        <f>IF(I279="","",VALUE(SUBSTITUTE(VLOOKUP(I279,'Controle GEral'!H:I,2,FALSE),"R$ ", "")))</f>
        <v/>
      </c>
      <c r="K279" s="23" t="s">
        <v>18</v>
      </c>
      <c r="L279" s="23" t="s">
        <v>19</v>
      </c>
      <c r="M279" s="17"/>
      <c r="N279" s="16"/>
      <c r="O279" s="17"/>
      <c r="P279" s="18" t="e">
        <f t="shared" si="8"/>
        <v>#VALUE!</v>
      </c>
      <c r="Q279" s="22" t="e">
        <f t="shared" si="9"/>
        <v>#VALUE!</v>
      </c>
      <c r="R279" s="23"/>
    </row>
    <row r="280" spans="1:18" ht="12.75">
      <c r="A280" s="22">
        <v>46077</v>
      </c>
      <c r="B280" s="23" t="s">
        <v>14</v>
      </c>
      <c r="C280" s="23" t="s">
        <v>786</v>
      </c>
      <c r="D280" s="19"/>
      <c r="E280" s="23" t="s">
        <v>15</v>
      </c>
      <c r="G280" s="23" t="s">
        <v>16</v>
      </c>
      <c r="H280" s="18">
        <f>IF(G280="","",VALUE(SUBSTITUTE(VLOOKUP(G280,'Controle GEral'!F:G,2,FALSE),"R$ ", "")))</f>
        <v>45</v>
      </c>
      <c r="I280" s="23"/>
      <c r="J280" s="18" t="str">
        <f>IF(I280="","",VALUE(SUBSTITUTE(VLOOKUP(I280,'Controle GEral'!H:I,2,FALSE),"R$ ", "")))</f>
        <v/>
      </c>
      <c r="K280" s="23" t="s">
        <v>18</v>
      </c>
      <c r="L280" s="23" t="s">
        <v>34</v>
      </c>
      <c r="M280" s="17"/>
      <c r="N280" s="16"/>
      <c r="O280" s="17"/>
      <c r="P280" s="18" t="e">
        <f t="shared" si="8"/>
        <v>#VALUE!</v>
      </c>
      <c r="Q280" s="22" t="e">
        <f t="shared" si="9"/>
        <v>#VALUE!</v>
      </c>
      <c r="R280" s="23"/>
    </row>
    <row r="281" spans="1:18" ht="12.75">
      <c r="A281" s="22">
        <v>46077</v>
      </c>
      <c r="B281" s="23" t="s">
        <v>14</v>
      </c>
      <c r="C281" s="23" t="s">
        <v>787</v>
      </c>
      <c r="D281" s="19"/>
      <c r="E281" s="23" t="s">
        <v>24</v>
      </c>
      <c r="G281" s="23" t="s">
        <v>16</v>
      </c>
      <c r="H281" s="18">
        <f>IF(G281="","",VALUE(SUBSTITUTE(VLOOKUP(G281,'Controle GEral'!F:G,2,FALSE),"R$ ", "")))</f>
        <v>45</v>
      </c>
      <c r="I281" s="23"/>
      <c r="J281" s="18" t="str">
        <f>IF(I281="","",VALUE(SUBSTITUTE(VLOOKUP(I281,'Controle GEral'!H:I,2,FALSE),"R$ ", "")))</f>
        <v/>
      </c>
      <c r="K281" s="23" t="s">
        <v>18</v>
      </c>
      <c r="L281" s="23" t="s">
        <v>34</v>
      </c>
      <c r="M281" s="17"/>
      <c r="N281" s="16"/>
      <c r="O281" s="17"/>
      <c r="P281" s="18" t="e">
        <f t="shared" si="8"/>
        <v>#VALUE!</v>
      </c>
      <c r="Q281" s="22" t="e">
        <f t="shared" si="9"/>
        <v>#VALUE!</v>
      </c>
      <c r="R281" s="23"/>
    </row>
    <row r="282" spans="1:18" ht="12.75">
      <c r="A282" s="22">
        <v>46078</v>
      </c>
      <c r="B282" s="23" t="s">
        <v>23</v>
      </c>
      <c r="C282" s="23" t="s">
        <v>618</v>
      </c>
      <c r="D282" s="19"/>
      <c r="E282" s="23" t="s">
        <v>24</v>
      </c>
      <c r="G282" s="23" t="s">
        <v>16</v>
      </c>
      <c r="H282" s="18">
        <f>IF(G282="","",VALUE(SUBSTITUTE(VLOOKUP(G282,'Controle GEral'!F:G,2,FALSE),"R$ ", "")))</f>
        <v>45</v>
      </c>
      <c r="I282" s="23"/>
      <c r="J282" s="18" t="str">
        <f>IF(I282="","",VALUE(SUBSTITUTE(VLOOKUP(I282,'Controle GEral'!H:I,2,FALSE),"R$ ", "")))</f>
        <v/>
      </c>
      <c r="K282" s="23" t="s">
        <v>18</v>
      </c>
      <c r="L282" s="23" t="s">
        <v>34</v>
      </c>
      <c r="M282" s="17"/>
      <c r="N282" s="16"/>
      <c r="O282" s="17"/>
      <c r="P282" s="18" t="e">
        <f t="shared" si="8"/>
        <v>#VALUE!</v>
      </c>
      <c r="Q282" s="22" t="e">
        <f t="shared" si="9"/>
        <v>#VALUE!</v>
      </c>
      <c r="R282" s="23"/>
    </row>
    <row r="283" spans="1:18" ht="12.75">
      <c r="A283" s="22">
        <v>46078</v>
      </c>
      <c r="B283" s="23" t="s">
        <v>14</v>
      </c>
      <c r="C283" s="23" t="s">
        <v>788</v>
      </c>
      <c r="D283" s="19"/>
      <c r="E283" s="23" t="s">
        <v>24</v>
      </c>
      <c r="G283" s="23" t="s">
        <v>16</v>
      </c>
      <c r="H283" s="18">
        <f>IF(G283="","",VALUE(SUBSTITUTE(VLOOKUP(G283,'Controle GEral'!F:G,2,FALSE),"R$ ", "")))</f>
        <v>45</v>
      </c>
      <c r="I283" s="23"/>
      <c r="J283" s="18" t="str">
        <f>IF(I283="","",VALUE(SUBSTITUTE(VLOOKUP(I283,'Controle GEral'!H:I,2,FALSE),"R$ ", "")))</f>
        <v/>
      </c>
      <c r="K283" s="23" t="s">
        <v>18</v>
      </c>
      <c r="L283" s="23" t="s">
        <v>34</v>
      </c>
      <c r="M283" s="17"/>
      <c r="N283" s="16"/>
      <c r="O283" s="17"/>
      <c r="P283" s="18" t="e">
        <f t="shared" si="8"/>
        <v>#VALUE!</v>
      </c>
      <c r="Q283" s="22" t="e">
        <f t="shared" si="9"/>
        <v>#VALUE!</v>
      </c>
      <c r="R283" s="23"/>
    </row>
    <row r="284" spans="1:18" ht="12.75">
      <c r="A284" s="22">
        <v>46078</v>
      </c>
      <c r="B284" s="23" t="s">
        <v>23</v>
      </c>
      <c r="C284" s="23" t="s">
        <v>789</v>
      </c>
      <c r="D284" s="19"/>
      <c r="E284" s="23" t="s">
        <v>24</v>
      </c>
      <c r="G284" s="23" t="s">
        <v>16</v>
      </c>
      <c r="H284" s="18">
        <f>IF(G284="","",VALUE(SUBSTITUTE(VLOOKUP(G284,'Controle GEral'!F:G,2,FALSE),"R$ ", "")))</f>
        <v>45</v>
      </c>
      <c r="I284" s="23"/>
      <c r="J284" s="18" t="str">
        <f>IF(I284="","",VALUE(SUBSTITUTE(VLOOKUP(I284,'Controle GEral'!H:I,2,FALSE),"R$ ", "")))</f>
        <v/>
      </c>
      <c r="K284" s="23" t="s">
        <v>18</v>
      </c>
      <c r="L284" s="23" t="s">
        <v>34</v>
      </c>
      <c r="M284" s="17"/>
      <c r="N284" s="16"/>
      <c r="O284" s="17"/>
      <c r="P284" s="18" t="e">
        <f t="shared" si="8"/>
        <v>#VALUE!</v>
      </c>
      <c r="Q284" s="22" t="e">
        <f t="shared" si="9"/>
        <v>#VALUE!</v>
      </c>
      <c r="R284" s="23"/>
    </row>
    <row r="285" spans="1:18" ht="12.75">
      <c r="A285" s="22">
        <v>46078</v>
      </c>
      <c r="B285" s="23" t="s">
        <v>23</v>
      </c>
      <c r="C285" s="23" t="s">
        <v>790</v>
      </c>
      <c r="D285" s="19"/>
      <c r="E285" s="23" t="s">
        <v>24</v>
      </c>
      <c r="G285" s="23" t="s">
        <v>16</v>
      </c>
      <c r="H285" s="18">
        <f>IF(G285="","",VALUE(SUBSTITUTE(VLOOKUP(G285,'Controle GEral'!F:G,2,FALSE),"R$ ", "")))</f>
        <v>45</v>
      </c>
      <c r="I285" s="23"/>
      <c r="J285" s="18" t="str">
        <f>IF(I285="","",VALUE(SUBSTITUTE(VLOOKUP(I285,'Controle GEral'!H:I,2,FALSE),"R$ ", "")))</f>
        <v/>
      </c>
      <c r="K285" s="23" t="s">
        <v>18</v>
      </c>
      <c r="L285" s="23" t="s">
        <v>34</v>
      </c>
      <c r="M285" s="17"/>
      <c r="N285" s="16"/>
      <c r="O285" s="17"/>
      <c r="P285" s="18" t="e">
        <f t="shared" si="8"/>
        <v>#VALUE!</v>
      </c>
      <c r="Q285" s="22" t="e">
        <f t="shared" si="9"/>
        <v>#VALUE!</v>
      </c>
      <c r="R285" s="23"/>
    </row>
    <row r="286" spans="1:18" ht="12.75">
      <c r="A286" s="22">
        <v>46078</v>
      </c>
      <c r="B286" s="23" t="s">
        <v>23</v>
      </c>
      <c r="C286" s="23" t="s">
        <v>791</v>
      </c>
      <c r="D286" s="19"/>
      <c r="E286" s="23" t="s">
        <v>24</v>
      </c>
      <c r="G286" s="23" t="s">
        <v>16</v>
      </c>
      <c r="H286" s="18">
        <f>IF(G286="","",VALUE(SUBSTITUTE(VLOOKUP(G286,'Controle GEral'!F:G,2,FALSE),"R$ ", "")))</f>
        <v>45</v>
      </c>
      <c r="I286" s="23"/>
      <c r="J286" s="18" t="str">
        <f>IF(I286="","",VALUE(SUBSTITUTE(VLOOKUP(I286,'Controle GEral'!H:I,2,FALSE),"R$ ", "")))</f>
        <v/>
      </c>
      <c r="K286" s="23" t="s">
        <v>18</v>
      </c>
      <c r="L286" s="23" t="s">
        <v>34</v>
      </c>
      <c r="M286" s="17"/>
      <c r="N286" s="16"/>
      <c r="O286" s="17"/>
      <c r="P286" s="18" t="e">
        <f t="shared" si="8"/>
        <v>#VALUE!</v>
      </c>
      <c r="Q286" s="22" t="e">
        <f t="shared" si="9"/>
        <v>#VALUE!</v>
      </c>
      <c r="R286" s="23"/>
    </row>
    <row r="287" spans="1:18" ht="12.75">
      <c r="A287" s="22">
        <v>46078</v>
      </c>
      <c r="B287" s="23" t="s">
        <v>23</v>
      </c>
      <c r="C287" s="23" t="s">
        <v>792</v>
      </c>
      <c r="D287" s="19"/>
      <c r="E287" s="23" t="s">
        <v>15</v>
      </c>
      <c r="G287" s="23" t="s">
        <v>16</v>
      </c>
      <c r="H287" s="18">
        <f>IF(G287="","",VALUE(SUBSTITUTE(VLOOKUP(G287,'Controle GEral'!F:G,2,FALSE),"R$ ", "")))</f>
        <v>45</v>
      </c>
      <c r="I287" s="23"/>
      <c r="J287" s="18" t="str">
        <f>IF(I287="","",VALUE(SUBSTITUTE(VLOOKUP(I287,'Controle GEral'!H:I,2,FALSE),"R$ ", "")))</f>
        <v/>
      </c>
      <c r="K287" s="23" t="s">
        <v>18</v>
      </c>
      <c r="L287" s="23" t="s">
        <v>28</v>
      </c>
      <c r="M287" s="17"/>
      <c r="N287" s="16"/>
      <c r="O287" s="17"/>
      <c r="P287" s="18" t="e">
        <f t="shared" si="8"/>
        <v>#VALUE!</v>
      </c>
      <c r="Q287" s="22" t="e">
        <f t="shared" si="9"/>
        <v>#VALUE!</v>
      </c>
      <c r="R287" s="23"/>
    </row>
    <row r="288" spans="1:18" ht="12.75">
      <c r="A288" s="22">
        <v>46078</v>
      </c>
      <c r="B288" s="23" t="s">
        <v>14</v>
      </c>
      <c r="C288" s="23" t="s">
        <v>635</v>
      </c>
      <c r="D288" s="19"/>
      <c r="E288" s="23" t="s">
        <v>24</v>
      </c>
      <c r="G288" s="23" t="s">
        <v>16</v>
      </c>
      <c r="H288" s="18">
        <f>IF(G288="","",VALUE(SUBSTITUTE(VLOOKUP(G288,'Controle GEral'!F:G,2,FALSE),"R$ ", "")))</f>
        <v>45</v>
      </c>
      <c r="I288" s="23"/>
      <c r="J288" s="18" t="str">
        <f>IF(I288="","",VALUE(SUBSTITUTE(VLOOKUP(I288,'Controle GEral'!H:I,2,FALSE),"R$ ", "")))</f>
        <v/>
      </c>
      <c r="K288" s="23" t="s">
        <v>18</v>
      </c>
      <c r="L288" s="23" t="s">
        <v>34</v>
      </c>
      <c r="M288" s="17"/>
      <c r="N288" s="16"/>
      <c r="O288" s="17"/>
      <c r="P288" s="18" t="e">
        <f t="shared" si="8"/>
        <v>#VALUE!</v>
      </c>
      <c r="Q288" s="22" t="e">
        <f t="shared" si="9"/>
        <v>#VALUE!</v>
      </c>
      <c r="R288" s="23"/>
    </row>
    <row r="289" spans="1:18" ht="12.75">
      <c r="A289" s="22">
        <v>46078</v>
      </c>
      <c r="B289" s="23" t="s">
        <v>14</v>
      </c>
      <c r="C289" s="23" t="s">
        <v>639</v>
      </c>
      <c r="D289" s="19"/>
      <c r="E289" s="23" t="s">
        <v>24</v>
      </c>
      <c r="G289" s="23" t="s">
        <v>32</v>
      </c>
      <c r="H289" s="18">
        <f>IF(G289="","",VALUE(SUBSTITUTE(VLOOKUP(G289,'Controle GEral'!F:G,2,FALSE),"R$ ", "")))</f>
        <v>35</v>
      </c>
      <c r="I289" s="23"/>
      <c r="J289" s="18" t="str">
        <f>IF(I289="","",VALUE(SUBSTITUTE(VLOOKUP(I289,'Controle GEral'!H:I,2,FALSE),"R$ ", "")))</f>
        <v/>
      </c>
      <c r="K289" s="23" t="s">
        <v>18</v>
      </c>
      <c r="L289" s="23" t="s">
        <v>34</v>
      </c>
      <c r="M289" s="17"/>
      <c r="N289" s="16"/>
      <c r="O289" s="17"/>
      <c r="P289" s="18" t="e">
        <f t="shared" si="8"/>
        <v>#VALUE!</v>
      </c>
      <c r="Q289" s="22" t="e">
        <f t="shared" si="9"/>
        <v>#VALUE!</v>
      </c>
      <c r="R289" s="23"/>
    </row>
    <row r="290" spans="1:18" ht="12.75">
      <c r="A290" s="22">
        <v>46079</v>
      </c>
      <c r="B290" s="23" t="s">
        <v>23</v>
      </c>
      <c r="C290" s="23" t="s">
        <v>588</v>
      </c>
      <c r="D290" s="19"/>
      <c r="E290" s="23" t="s">
        <v>24</v>
      </c>
      <c r="G290" s="23" t="s">
        <v>16</v>
      </c>
      <c r="H290" s="18">
        <f>IF(G290="","",VALUE(SUBSTITUTE(VLOOKUP(G290,'Controle GEral'!F:G,2,FALSE),"R$ ", "")))</f>
        <v>45</v>
      </c>
      <c r="I290" s="23"/>
      <c r="J290" s="18" t="str">
        <f>IF(I290="","",VALUE(SUBSTITUTE(VLOOKUP(I290,'Controle GEral'!H:I,2,FALSE),"R$ ", "")))</f>
        <v/>
      </c>
      <c r="K290" s="23" t="s">
        <v>18</v>
      </c>
      <c r="L290" s="23" t="s">
        <v>28</v>
      </c>
      <c r="M290" s="17"/>
      <c r="N290" s="16"/>
      <c r="O290" s="17"/>
      <c r="P290" s="18" t="e">
        <f t="shared" si="8"/>
        <v>#VALUE!</v>
      </c>
      <c r="Q290" s="22" t="e">
        <f t="shared" si="9"/>
        <v>#VALUE!</v>
      </c>
      <c r="R290" s="23"/>
    </row>
    <row r="291" spans="1:18" ht="12.75">
      <c r="A291" s="22">
        <v>46079</v>
      </c>
      <c r="B291" s="23" t="s">
        <v>23</v>
      </c>
      <c r="C291" s="23" t="s">
        <v>707</v>
      </c>
      <c r="D291" s="19"/>
      <c r="E291" s="23" t="s">
        <v>24</v>
      </c>
      <c r="G291" s="23" t="s">
        <v>46</v>
      </c>
      <c r="H291" s="18">
        <f>IF(G291="","",VALUE(SUBSTITUTE(VLOOKUP(G291,'Controle GEral'!F:G,2,FALSE),"R$ ", "")))</f>
        <v>30</v>
      </c>
      <c r="I291" s="23"/>
      <c r="J291" s="18" t="str">
        <f>IF(I291="","",VALUE(SUBSTITUTE(VLOOKUP(I291,'Controle GEral'!H:I,2,FALSE),"R$ ", "")))</f>
        <v/>
      </c>
      <c r="K291" s="23" t="s">
        <v>18</v>
      </c>
      <c r="L291" s="23" t="s">
        <v>19</v>
      </c>
      <c r="M291" s="17"/>
      <c r="N291" s="16"/>
      <c r="O291" s="17"/>
      <c r="P291" s="18" t="e">
        <f t="shared" si="8"/>
        <v>#VALUE!</v>
      </c>
      <c r="Q291" s="22" t="e">
        <f t="shared" si="9"/>
        <v>#VALUE!</v>
      </c>
      <c r="R291" s="23"/>
    </row>
    <row r="292" spans="1:18" ht="12.75">
      <c r="A292" s="22">
        <v>46079</v>
      </c>
      <c r="B292" s="23" t="s">
        <v>23</v>
      </c>
      <c r="C292" s="23" t="s">
        <v>793</v>
      </c>
      <c r="D292" s="19"/>
      <c r="E292" s="23" t="s">
        <v>24</v>
      </c>
      <c r="G292" s="23" t="s">
        <v>16</v>
      </c>
      <c r="H292" s="18">
        <f>IF(G292="","",VALUE(SUBSTITUTE(VLOOKUP(G292,'Controle GEral'!F:G,2,FALSE),"R$ ", "")))</f>
        <v>45</v>
      </c>
      <c r="I292" s="23" t="s">
        <v>21</v>
      </c>
      <c r="J292" s="18">
        <f>IF(I292="","",VALUE(SUBSTITUTE(VLOOKUP(I292,'Controle GEral'!H:I,2,FALSE),"R$ ", "")))</f>
        <v>10</v>
      </c>
      <c r="K292" s="23" t="s">
        <v>18</v>
      </c>
      <c r="L292" s="23" t="s">
        <v>28</v>
      </c>
      <c r="M292" s="17"/>
      <c r="N292" s="16"/>
      <c r="O292" s="17"/>
      <c r="P292" s="18">
        <f t="shared" si="8"/>
        <v>55</v>
      </c>
      <c r="Q292" s="22" t="e">
        <f t="shared" si="9"/>
        <v>#VALUE!</v>
      </c>
      <c r="R292" s="23"/>
    </row>
    <row r="293" spans="1:18" ht="12.75">
      <c r="A293" s="22">
        <v>46079</v>
      </c>
      <c r="B293" s="23" t="s">
        <v>14</v>
      </c>
      <c r="C293" s="23" t="s">
        <v>794</v>
      </c>
      <c r="D293" s="19"/>
      <c r="E293" s="23" t="s">
        <v>24</v>
      </c>
      <c r="G293" s="23" t="s">
        <v>16</v>
      </c>
      <c r="H293" s="18">
        <f>IF(G293="","",VALUE(SUBSTITUTE(VLOOKUP(G293,'Controle GEral'!F:G,2,FALSE),"R$ ", "")))</f>
        <v>45</v>
      </c>
      <c r="I293" s="23"/>
      <c r="J293" s="18" t="str">
        <f>IF(I293="","",VALUE(SUBSTITUTE(VLOOKUP(I293,'Controle GEral'!H:I,2,FALSE),"R$ ", "")))</f>
        <v/>
      </c>
      <c r="K293" s="23" t="s">
        <v>18</v>
      </c>
      <c r="L293" s="23" t="s">
        <v>34</v>
      </c>
      <c r="M293" s="17"/>
      <c r="N293" s="16"/>
      <c r="O293" s="17"/>
      <c r="P293" s="18" t="e">
        <f t="shared" si="8"/>
        <v>#VALUE!</v>
      </c>
      <c r="Q293" s="22" t="e">
        <f t="shared" si="9"/>
        <v>#VALUE!</v>
      </c>
      <c r="R293" s="23"/>
    </row>
    <row r="294" spans="1:18" ht="12.75">
      <c r="A294" s="22">
        <v>46079</v>
      </c>
      <c r="B294" s="23" t="s">
        <v>14</v>
      </c>
      <c r="C294" s="23" t="s">
        <v>646</v>
      </c>
      <c r="D294" s="19"/>
      <c r="E294" s="23" t="s">
        <v>24</v>
      </c>
      <c r="G294" s="23"/>
      <c r="H294" s="18" t="str">
        <f>IF(G294="","",VALUE(SUBSTITUTE(VLOOKUP(G294,'Controle GEral'!F:G,2,FALSE),"R$ ", "")))</f>
        <v/>
      </c>
      <c r="I294" s="23"/>
      <c r="J294" s="18" t="str">
        <f>IF(I294="","",VALUE(SUBSTITUTE(VLOOKUP(I294,'Controle GEral'!H:I,2,FALSE),"R$ ", "")))</f>
        <v/>
      </c>
      <c r="K294" s="23"/>
      <c r="L294" s="23"/>
      <c r="M294" s="17"/>
      <c r="N294" s="16"/>
      <c r="O294" s="17"/>
      <c r="P294" s="18" t="e">
        <f t="shared" si="8"/>
        <v>#VALUE!</v>
      </c>
      <c r="Q294" s="22" t="e">
        <f t="shared" si="9"/>
        <v>#VALUE!</v>
      </c>
      <c r="R294" s="23"/>
    </row>
    <row r="295" spans="1:18" ht="12.75">
      <c r="A295" s="22">
        <v>46079</v>
      </c>
      <c r="B295" s="23" t="s">
        <v>14</v>
      </c>
      <c r="C295" s="23" t="s">
        <v>795</v>
      </c>
      <c r="D295" s="19"/>
      <c r="E295" s="23" t="s">
        <v>24</v>
      </c>
      <c r="G295" s="23" t="s">
        <v>25</v>
      </c>
      <c r="H295" s="18">
        <f>IF(G295="","",VALUE(SUBSTITUTE(VLOOKUP(G295,'Controle GEral'!F:G,2,FALSE),"R$ ", "")))</f>
        <v>80</v>
      </c>
      <c r="I295" s="23" t="s">
        <v>21</v>
      </c>
      <c r="J295" s="18">
        <f>IF(I295="","",VALUE(SUBSTITUTE(VLOOKUP(I295,'Controle GEral'!H:I,2,FALSE),"R$ ", "")))</f>
        <v>10</v>
      </c>
      <c r="K295" s="23" t="s">
        <v>18</v>
      </c>
      <c r="L295" s="23" t="s">
        <v>28</v>
      </c>
      <c r="M295" s="17"/>
      <c r="N295" s="16"/>
      <c r="O295" s="17"/>
      <c r="P295" s="18">
        <f t="shared" si="8"/>
        <v>90</v>
      </c>
      <c r="Q295" s="22" t="e">
        <f t="shared" si="9"/>
        <v>#VALUE!</v>
      </c>
      <c r="R295" s="23"/>
    </row>
    <row r="296" spans="1:18" ht="12.75">
      <c r="A296" s="22">
        <v>46079</v>
      </c>
      <c r="B296" s="23" t="s">
        <v>14</v>
      </c>
      <c r="C296" s="23" t="s">
        <v>713</v>
      </c>
      <c r="D296" s="19"/>
      <c r="E296" s="23" t="s">
        <v>24</v>
      </c>
      <c r="G296" s="23" t="s">
        <v>32</v>
      </c>
      <c r="H296" s="18">
        <f>IF(G296="","",VALUE(SUBSTITUTE(VLOOKUP(G296,'Controle GEral'!F:G,2,FALSE),"R$ ", "")))</f>
        <v>35</v>
      </c>
      <c r="I296" s="23"/>
      <c r="J296" s="18" t="str">
        <f>IF(I296="","",VALUE(SUBSTITUTE(VLOOKUP(I296,'Controle GEral'!H:I,2,FALSE),"R$ ", "")))</f>
        <v/>
      </c>
      <c r="K296" s="23" t="s">
        <v>18</v>
      </c>
      <c r="L296" s="23" t="s">
        <v>34</v>
      </c>
      <c r="M296" s="17"/>
      <c r="N296" s="16"/>
      <c r="O296" s="17"/>
      <c r="P296" s="18" t="e">
        <f t="shared" si="8"/>
        <v>#VALUE!</v>
      </c>
      <c r="Q296" s="22" t="e">
        <f t="shared" si="9"/>
        <v>#VALUE!</v>
      </c>
      <c r="R296" s="23"/>
    </row>
    <row r="297" spans="1:18" ht="12.75">
      <c r="A297" s="22">
        <v>46079</v>
      </c>
      <c r="B297" s="23" t="s">
        <v>14</v>
      </c>
      <c r="C297" s="23" t="s">
        <v>796</v>
      </c>
      <c r="D297" s="19"/>
      <c r="E297" s="23" t="s">
        <v>24</v>
      </c>
      <c r="G297" s="23" t="s">
        <v>16</v>
      </c>
      <c r="H297" s="18">
        <f>IF(G297="","",VALUE(SUBSTITUTE(VLOOKUP(G297,'Controle GEral'!F:G,2,FALSE),"R$ ", "")))</f>
        <v>45</v>
      </c>
      <c r="I297" s="23" t="s">
        <v>21</v>
      </c>
      <c r="J297" s="18">
        <f>IF(I297="","",VALUE(SUBSTITUTE(VLOOKUP(I297,'Controle GEral'!H:I,2,FALSE),"R$ ", "")))</f>
        <v>10</v>
      </c>
      <c r="K297" s="23" t="s">
        <v>18</v>
      </c>
      <c r="L297" s="23" t="s">
        <v>28</v>
      </c>
      <c r="M297" s="17"/>
      <c r="N297" s="16"/>
      <c r="O297" s="17"/>
      <c r="P297" s="18">
        <f t="shared" si="8"/>
        <v>55</v>
      </c>
      <c r="Q297" s="22" t="e">
        <f t="shared" si="9"/>
        <v>#VALUE!</v>
      </c>
      <c r="R297" s="23"/>
    </row>
    <row r="298" spans="1:18" ht="12.75">
      <c r="A298" s="22">
        <v>46080</v>
      </c>
      <c r="B298" s="23" t="s">
        <v>14</v>
      </c>
      <c r="C298" s="23" t="s">
        <v>598</v>
      </c>
      <c r="D298" s="19"/>
      <c r="E298" s="23" t="s">
        <v>24</v>
      </c>
      <c r="G298" s="23"/>
      <c r="H298" s="18" t="str">
        <f>IF(G298="","",VALUE(SUBSTITUTE(VLOOKUP(G298,'Controle GEral'!F:G,2,FALSE),"R$ ", "")))</f>
        <v/>
      </c>
      <c r="I298" s="23"/>
      <c r="J298" s="18" t="str">
        <f>IF(I298="","",VALUE(SUBSTITUTE(VLOOKUP(I298,'Controle GEral'!H:I,2,FALSE),"R$ ", "")))</f>
        <v/>
      </c>
      <c r="K298" s="23"/>
      <c r="L298" s="23"/>
      <c r="M298" s="17"/>
      <c r="N298" s="16"/>
      <c r="O298" s="17"/>
      <c r="P298" s="18" t="e">
        <f t="shared" si="8"/>
        <v>#VALUE!</v>
      </c>
      <c r="Q298" s="22" t="e">
        <f t="shared" si="9"/>
        <v>#VALUE!</v>
      </c>
      <c r="R298" s="23"/>
    </row>
    <row r="299" spans="1:18" ht="12.75">
      <c r="A299" s="22">
        <v>46080</v>
      </c>
      <c r="B299" s="23" t="s">
        <v>14</v>
      </c>
      <c r="C299" s="23" t="s">
        <v>596</v>
      </c>
      <c r="D299" s="19"/>
      <c r="E299" s="23" t="s">
        <v>24</v>
      </c>
      <c r="G299" s="23" t="s">
        <v>32</v>
      </c>
      <c r="H299" s="18">
        <f>IF(G299="","",VALUE(SUBSTITUTE(VLOOKUP(G299,'Controle GEral'!F:G,2,FALSE),"R$ ", "")))</f>
        <v>35</v>
      </c>
      <c r="I299" s="23"/>
      <c r="J299" s="18" t="str">
        <f>IF(I299="","",VALUE(SUBSTITUTE(VLOOKUP(I299,'Controle GEral'!H:I,2,FALSE),"R$ ", "")))</f>
        <v/>
      </c>
      <c r="K299" s="23" t="s">
        <v>18</v>
      </c>
      <c r="L299" s="23" t="s">
        <v>34</v>
      </c>
      <c r="M299" s="17"/>
      <c r="N299" s="16"/>
      <c r="O299" s="17"/>
      <c r="P299" s="18" t="e">
        <f t="shared" si="8"/>
        <v>#VALUE!</v>
      </c>
      <c r="Q299" s="22" t="e">
        <f t="shared" si="9"/>
        <v>#VALUE!</v>
      </c>
      <c r="R299" s="23"/>
    </row>
    <row r="300" spans="1:18" ht="12.75">
      <c r="A300" s="22">
        <v>46080</v>
      </c>
      <c r="B300" s="23" t="s">
        <v>14</v>
      </c>
      <c r="C300" s="23" t="s">
        <v>797</v>
      </c>
      <c r="D300" s="19"/>
      <c r="E300" s="23" t="s">
        <v>24</v>
      </c>
      <c r="G300" s="23" t="s">
        <v>16</v>
      </c>
      <c r="H300" s="18">
        <f>IF(G300="","",VALUE(SUBSTITUTE(VLOOKUP(G300,'Controle GEral'!F:G,2,FALSE),"R$ ", "")))</f>
        <v>45</v>
      </c>
      <c r="I300" s="23"/>
      <c r="J300" s="18" t="str">
        <f>IF(I300="","",VALUE(SUBSTITUTE(VLOOKUP(I300,'Controle GEral'!H:I,2,FALSE),"R$ ", "")))</f>
        <v/>
      </c>
      <c r="K300" s="23" t="s">
        <v>18</v>
      </c>
      <c r="L300" s="23" t="s">
        <v>34</v>
      </c>
      <c r="M300" s="17"/>
      <c r="N300" s="16"/>
      <c r="O300" s="17"/>
      <c r="P300" s="18" t="e">
        <f t="shared" si="8"/>
        <v>#VALUE!</v>
      </c>
      <c r="Q300" s="22" t="e">
        <f t="shared" si="9"/>
        <v>#VALUE!</v>
      </c>
      <c r="R300" s="23"/>
    </row>
    <row r="301" spans="1:18" ht="12.75">
      <c r="A301" s="22">
        <v>46080</v>
      </c>
      <c r="B301" s="23" t="s">
        <v>14</v>
      </c>
      <c r="C301" s="23" t="s">
        <v>601</v>
      </c>
      <c r="D301" s="19"/>
      <c r="E301" s="23" t="s">
        <v>24</v>
      </c>
      <c r="G301" s="23" t="s">
        <v>38</v>
      </c>
      <c r="H301" s="18">
        <f>IF(G301="","",VALUE(SUBSTITUTE(VLOOKUP(G301,'Controle GEral'!F:G,2,FALSE),"R$ ", "")))</f>
        <v>70</v>
      </c>
      <c r="I301" s="23"/>
      <c r="J301" s="18" t="str">
        <f>IF(I301="","",VALUE(SUBSTITUTE(VLOOKUP(I301,'Controle GEral'!H:I,2,FALSE),"R$ ", "")))</f>
        <v/>
      </c>
      <c r="K301" s="23" t="s">
        <v>18</v>
      </c>
      <c r="L301" s="23" t="s">
        <v>34</v>
      </c>
      <c r="M301" s="17"/>
      <c r="N301" s="16"/>
      <c r="O301" s="17"/>
      <c r="P301" s="18" t="e">
        <f t="shared" si="8"/>
        <v>#VALUE!</v>
      </c>
      <c r="Q301" s="22" t="e">
        <f t="shared" si="9"/>
        <v>#VALUE!</v>
      </c>
      <c r="R301" s="23"/>
    </row>
    <row r="302" spans="1:18" ht="12.75">
      <c r="A302" s="22">
        <v>46080</v>
      </c>
      <c r="B302" s="23" t="s">
        <v>14</v>
      </c>
      <c r="C302" s="23" t="s">
        <v>798</v>
      </c>
      <c r="D302" s="19"/>
      <c r="E302" s="23" t="s">
        <v>24</v>
      </c>
      <c r="G302" s="23" t="s">
        <v>25</v>
      </c>
      <c r="H302" s="18">
        <f>IF(G302="","",VALUE(SUBSTITUTE(VLOOKUP(G302,'Controle GEral'!F:G,2,FALSE),"R$ ", "")))</f>
        <v>80</v>
      </c>
      <c r="I302" s="23"/>
      <c r="J302" s="18" t="str">
        <f>IF(I302="","",VALUE(SUBSTITUTE(VLOOKUP(I302,'Controle GEral'!H:I,2,FALSE),"R$ ", "")))</f>
        <v/>
      </c>
      <c r="K302" s="23" t="s">
        <v>18</v>
      </c>
      <c r="L302" s="23" t="s">
        <v>34</v>
      </c>
      <c r="M302" s="17"/>
      <c r="N302" s="16"/>
      <c r="O302" s="17"/>
      <c r="P302" s="18" t="e">
        <f t="shared" si="8"/>
        <v>#VALUE!</v>
      </c>
      <c r="Q302" s="22" t="e">
        <f t="shared" si="9"/>
        <v>#VALUE!</v>
      </c>
      <c r="R302" s="23"/>
    </row>
    <row r="303" spans="1:18" ht="12.75">
      <c r="A303" s="22">
        <v>46080</v>
      </c>
      <c r="B303" s="23" t="s">
        <v>14</v>
      </c>
      <c r="C303" s="23" t="s">
        <v>602</v>
      </c>
      <c r="D303" s="19"/>
      <c r="E303" s="23" t="s">
        <v>24</v>
      </c>
      <c r="G303" s="23" t="s">
        <v>16</v>
      </c>
      <c r="H303" s="18">
        <f>IF(G303="","",VALUE(SUBSTITUTE(VLOOKUP(G303,'Controle GEral'!F:G,2,FALSE),"R$ ", "")))</f>
        <v>45</v>
      </c>
      <c r="I303" s="23" t="s">
        <v>21</v>
      </c>
      <c r="J303" s="18">
        <f>IF(I303="","",VALUE(SUBSTITUTE(VLOOKUP(I303,'Controle GEral'!H:I,2,FALSE),"R$ ", "")))</f>
        <v>10</v>
      </c>
      <c r="K303" s="23" t="s">
        <v>18</v>
      </c>
      <c r="L303" s="23" t="s">
        <v>34</v>
      </c>
      <c r="M303" s="17"/>
      <c r="N303" s="16"/>
      <c r="O303" s="17"/>
      <c r="P303" s="18">
        <f t="shared" si="8"/>
        <v>55</v>
      </c>
      <c r="Q303" s="22" t="e">
        <f t="shared" si="9"/>
        <v>#VALUE!</v>
      </c>
      <c r="R303" s="23"/>
    </row>
    <row r="304" spans="1:18" ht="12.75">
      <c r="A304" s="22">
        <v>46080</v>
      </c>
      <c r="B304" s="23" t="s">
        <v>14</v>
      </c>
      <c r="C304" s="23" t="s">
        <v>597</v>
      </c>
      <c r="D304" s="19"/>
      <c r="E304" s="23" t="s">
        <v>24</v>
      </c>
      <c r="G304" s="23"/>
      <c r="H304" s="18" t="str">
        <f>IF(G304="","",VALUE(SUBSTITUTE(VLOOKUP(G304,'Controle GEral'!F:G,2,FALSE),"R$ ", "")))</f>
        <v/>
      </c>
      <c r="I304" s="23"/>
      <c r="J304" s="18" t="str">
        <f>IF(I304="","",VALUE(SUBSTITUTE(VLOOKUP(I304,'Controle GEral'!H:I,2,FALSE),"R$ ", "")))</f>
        <v/>
      </c>
      <c r="K304" s="23"/>
      <c r="L304" s="23"/>
      <c r="M304" s="17"/>
      <c r="N304" s="16"/>
      <c r="O304" s="17"/>
      <c r="P304" s="18" t="e">
        <f t="shared" si="8"/>
        <v>#VALUE!</v>
      </c>
      <c r="Q304" s="22" t="e">
        <f t="shared" si="9"/>
        <v>#VALUE!</v>
      </c>
      <c r="R304" s="23"/>
    </row>
    <row r="305" spans="1:18" ht="12.75">
      <c r="A305" s="22">
        <v>46080</v>
      </c>
      <c r="B305" s="23" t="s">
        <v>14</v>
      </c>
      <c r="C305" s="23" t="s">
        <v>566</v>
      </c>
      <c r="D305" s="19"/>
      <c r="E305" s="23" t="s">
        <v>24</v>
      </c>
      <c r="G305" s="23"/>
      <c r="H305" s="18" t="str">
        <f>IF(G305="","",VALUE(SUBSTITUTE(VLOOKUP(G305,'Controle GEral'!F:G,2,FALSE),"R$ ", "")))</f>
        <v/>
      </c>
      <c r="I305" s="23"/>
      <c r="J305" s="18" t="str">
        <f>IF(I305="","",VALUE(SUBSTITUTE(VLOOKUP(I305,'Controle GEral'!H:I,2,FALSE),"R$ ", "")))</f>
        <v/>
      </c>
      <c r="K305" s="23"/>
      <c r="L305" s="23"/>
      <c r="M305" s="17"/>
      <c r="N305" s="16"/>
      <c r="O305" s="17"/>
      <c r="P305" s="18" t="e">
        <f t="shared" si="8"/>
        <v>#VALUE!</v>
      </c>
      <c r="Q305" s="22" t="e">
        <f t="shared" si="9"/>
        <v>#VALUE!</v>
      </c>
      <c r="R305" s="23"/>
    </row>
    <row r="306" spans="1:18" ht="12.75">
      <c r="A306" s="22">
        <v>46080</v>
      </c>
      <c r="B306" s="23" t="s">
        <v>14</v>
      </c>
      <c r="C306" s="23" t="s">
        <v>614</v>
      </c>
      <c r="D306" s="19"/>
      <c r="E306" s="23" t="s">
        <v>24</v>
      </c>
      <c r="G306" s="23" t="s">
        <v>16</v>
      </c>
      <c r="H306" s="18">
        <f>IF(G306="","",VALUE(SUBSTITUTE(VLOOKUP(G306,'Controle GEral'!F:G,2,FALSE),"R$ ", "")))</f>
        <v>45</v>
      </c>
      <c r="I306" s="23" t="s">
        <v>21</v>
      </c>
      <c r="J306" s="18">
        <f>IF(I306="","",VALUE(SUBSTITUTE(VLOOKUP(I306,'Controle GEral'!H:I,2,FALSE),"R$ ", "")))</f>
        <v>10</v>
      </c>
      <c r="K306" s="23" t="s">
        <v>18</v>
      </c>
      <c r="L306" s="23" t="s">
        <v>34</v>
      </c>
      <c r="M306" s="17"/>
      <c r="N306" s="16"/>
      <c r="O306" s="17"/>
      <c r="P306" s="18">
        <f t="shared" si="8"/>
        <v>55</v>
      </c>
      <c r="Q306" s="22" t="e">
        <f t="shared" si="9"/>
        <v>#VALUE!</v>
      </c>
      <c r="R306" s="23"/>
    </row>
    <row r="307" spans="1:18" ht="12.75">
      <c r="A307" s="22">
        <v>46080</v>
      </c>
      <c r="B307" s="23" t="s">
        <v>14</v>
      </c>
      <c r="C307" s="23" t="s">
        <v>664</v>
      </c>
      <c r="D307" s="19"/>
      <c r="E307" s="23" t="s">
        <v>24</v>
      </c>
      <c r="G307" s="23" t="s">
        <v>38</v>
      </c>
      <c r="H307" s="18">
        <f>IF(G307="","",VALUE(SUBSTITUTE(VLOOKUP(G307,'Controle GEral'!F:G,2,FALSE),"R$ ", "")))</f>
        <v>70</v>
      </c>
      <c r="I307" s="23"/>
      <c r="J307" s="18" t="str">
        <f>IF(I307="","",VALUE(SUBSTITUTE(VLOOKUP(I307,'Controle GEral'!H:I,2,FALSE),"R$ ", "")))</f>
        <v/>
      </c>
      <c r="K307" s="23" t="s">
        <v>18</v>
      </c>
      <c r="L307" s="23" t="s">
        <v>34</v>
      </c>
      <c r="M307" s="17"/>
      <c r="N307" s="16"/>
      <c r="O307" s="17"/>
      <c r="P307" s="18" t="e">
        <f t="shared" si="8"/>
        <v>#VALUE!</v>
      </c>
      <c r="Q307" s="22" t="e">
        <f t="shared" si="9"/>
        <v>#VALUE!</v>
      </c>
      <c r="R307" s="23"/>
    </row>
    <row r="308" spans="1:18" ht="12.75">
      <c r="A308" s="22">
        <v>46080</v>
      </c>
      <c r="B308" s="23" t="s">
        <v>23</v>
      </c>
      <c r="C308" s="23" t="s">
        <v>799</v>
      </c>
      <c r="D308" s="19"/>
      <c r="E308" s="23" t="s">
        <v>24</v>
      </c>
      <c r="G308" s="23" t="s">
        <v>38</v>
      </c>
      <c r="H308" s="18">
        <f>IF(G308="","",VALUE(SUBSTITUTE(VLOOKUP(G308,'Controle GEral'!F:G,2,FALSE),"R$ ", "")))</f>
        <v>70</v>
      </c>
      <c r="I308" s="23" t="s">
        <v>21</v>
      </c>
      <c r="J308" s="18">
        <f>IF(I308="","",VALUE(SUBSTITUTE(VLOOKUP(I308,'Controle GEral'!H:I,2,FALSE),"R$ ", "")))</f>
        <v>10</v>
      </c>
      <c r="K308" s="23" t="s">
        <v>18</v>
      </c>
      <c r="L308" s="23" t="s">
        <v>19</v>
      </c>
      <c r="M308" s="17"/>
      <c r="N308" s="16"/>
      <c r="O308" s="17"/>
      <c r="P308" s="18">
        <f t="shared" si="8"/>
        <v>80</v>
      </c>
      <c r="Q308" s="22" t="e">
        <f t="shared" si="9"/>
        <v>#VALUE!</v>
      </c>
      <c r="R308" s="23"/>
    </row>
    <row r="309" spans="1:18" ht="12.75">
      <c r="A309" s="22">
        <v>46080</v>
      </c>
      <c r="B309" s="23" t="s">
        <v>23</v>
      </c>
      <c r="C309" s="23" t="s">
        <v>800</v>
      </c>
      <c r="D309" s="19"/>
      <c r="E309" s="23" t="s">
        <v>15</v>
      </c>
      <c r="G309" s="23" t="s">
        <v>25</v>
      </c>
      <c r="H309" s="18">
        <f>IF(G309="","",VALUE(SUBSTITUTE(VLOOKUP(G309,'Controle GEral'!F:G,2,FALSE),"R$ ", "")))</f>
        <v>80</v>
      </c>
      <c r="I309" s="23" t="s">
        <v>21</v>
      </c>
      <c r="J309" s="18">
        <f>IF(I309="","",VALUE(SUBSTITUTE(VLOOKUP(I309,'Controle GEral'!H:I,2,FALSE),"R$ ", "")))</f>
        <v>10</v>
      </c>
      <c r="K309" s="23" t="s">
        <v>18</v>
      </c>
      <c r="L309" s="23" t="s">
        <v>28</v>
      </c>
      <c r="M309" s="17"/>
      <c r="N309" s="16"/>
      <c r="O309" s="17"/>
      <c r="P309" s="18">
        <f t="shared" si="8"/>
        <v>90</v>
      </c>
      <c r="Q309" s="22" t="e">
        <f t="shared" si="9"/>
        <v>#VALUE!</v>
      </c>
      <c r="R309" s="23"/>
    </row>
    <row r="310" spans="1:18" ht="12.75">
      <c r="A310" s="22">
        <v>46080</v>
      </c>
      <c r="B310" s="23" t="s">
        <v>23</v>
      </c>
      <c r="C310" s="23" t="s">
        <v>725</v>
      </c>
      <c r="D310" s="19"/>
      <c r="E310" s="23" t="s">
        <v>24</v>
      </c>
      <c r="G310" s="23" t="s">
        <v>38</v>
      </c>
      <c r="H310" s="18">
        <f>IF(G310="","",VALUE(SUBSTITUTE(VLOOKUP(G310,'Controle GEral'!F:G,2,FALSE),"R$ ", "")))</f>
        <v>70</v>
      </c>
      <c r="I310" s="23"/>
      <c r="J310" s="18" t="str">
        <f>IF(I310="","",VALUE(SUBSTITUTE(VLOOKUP(I310,'Controle GEral'!H:I,2,FALSE),"R$ ", "")))</f>
        <v/>
      </c>
      <c r="K310" s="23" t="s">
        <v>18</v>
      </c>
      <c r="L310" s="23" t="s">
        <v>34</v>
      </c>
      <c r="M310" s="17"/>
      <c r="N310" s="16"/>
      <c r="O310" s="17"/>
      <c r="P310" s="18" t="e">
        <f t="shared" si="8"/>
        <v>#VALUE!</v>
      </c>
      <c r="Q310" s="22" t="e">
        <f t="shared" si="9"/>
        <v>#VALUE!</v>
      </c>
      <c r="R310" s="23"/>
    </row>
    <row r="311" spans="1:18" ht="12.75">
      <c r="A311" s="22">
        <v>46080</v>
      </c>
      <c r="B311" s="23" t="s">
        <v>23</v>
      </c>
      <c r="C311" s="23" t="s">
        <v>801</v>
      </c>
      <c r="D311" s="19"/>
      <c r="E311" s="23" t="s">
        <v>24</v>
      </c>
      <c r="G311" s="23" t="s">
        <v>16</v>
      </c>
      <c r="H311" s="18">
        <f>IF(G311="","",VALUE(SUBSTITUTE(VLOOKUP(G311,'Controle GEral'!F:G,2,FALSE),"R$ ", "")))</f>
        <v>45</v>
      </c>
      <c r="I311" s="23"/>
      <c r="J311" s="18" t="str">
        <f>IF(I311="","",VALUE(SUBSTITUTE(VLOOKUP(I311,'Controle GEral'!H:I,2,FALSE),"R$ ", "")))</f>
        <v/>
      </c>
      <c r="K311" s="23" t="s">
        <v>18</v>
      </c>
      <c r="L311" s="23" t="s">
        <v>34</v>
      </c>
      <c r="M311" s="17"/>
      <c r="N311" s="16"/>
      <c r="O311" s="17"/>
      <c r="P311" s="18" t="e">
        <f t="shared" si="8"/>
        <v>#VALUE!</v>
      </c>
      <c r="Q311" s="22" t="e">
        <f t="shared" si="9"/>
        <v>#VALUE!</v>
      </c>
      <c r="R311" s="23"/>
    </row>
    <row r="312" spans="1:18" ht="12.75">
      <c r="A312" s="22">
        <v>46080</v>
      </c>
      <c r="B312" s="23" t="s">
        <v>23</v>
      </c>
      <c r="C312" s="23" t="s">
        <v>802</v>
      </c>
      <c r="D312" s="19"/>
      <c r="E312" s="23" t="s">
        <v>24</v>
      </c>
      <c r="G312" s="23" t="s">
        <v>16</v>
      </c>
      <c r="H312" s="18">
        <f>IF(G312="","",VALUE(SUBSTITUTE(VLOOKUP(G312,'Controle GEral'!F:G,2,FALSE),"R$ ", "")))</f>
        <v>45</v>
      </c>
      <c r="I312" s="23"/>
      <c r="J312" s="18" t="str">
        <f>IF(I312="","",VALUE(SUBSTITUTE(VLOOKUP(I312,'Controle GEral'!H:I,2,FALSE),"R$ ", "")))</f>
        <v/>
      </c>
      <c r="K312" s="23" t="s">
        <v>18</v>
      </c>
      <c r="L312" s="23" t="s">
        <v>39</v>
      </c>
      <c r="M312" s="17"/>
      <c r="N312" s="16"/>
      <c r="O312" s="17"/>
      <c r="P312" s="18" t="e">
        <f t="shared" si="8"/>
        <v>#VALUE!</v>
      </c>
      <c r="Q312" s="22" t="e">
        <f t="shared" si="9"/>
        <v>#VALUE!</v>
      </c>
      <c r="R312" s="23"/>
    </row>
    <row r="313" spans="1:18" ht="12.75">
      <c r="A313" s="22">
        <v>46080</v>
      </c>
      <c r="B313" s="23" t="s">
        <v>23</v>
      </c>
      <c r="C313" s="23" t="s">
        <v>803</v>
      </c>
      <c r="D313" s="19"/>
      <c r="E313" s="23" t="s">
        <v>15</v>
      </c>
      <c r="G313" s="23" t="s">
        <v>38</v>
      </c>
      <c r="H313" s="18">
        <f>IF(G313="","",VALUE(SUBSTITUTE(VLOOKUP(G313,'Controle GEral'!F:G,2,FALSE),"R$ ", "")))</f>
        <v>70</v>
      </c>
      <c r="I313" s="23"/>
      <c r="J313" s="18" t="str">
        <f>IF(I313="","",VALUE(SUBSTITUTE(VLOOKUP(I313,'Controle GEral'!H:I,2,FALSE),"R$ ", "")))</f>
        <v/>
      </c>
      <c r="K313" s="23" t="s">
        <v>18</v>
      </c>
      <c r="L313" s="23" t="s">
        <v>28</v>
      </c>
      <c r="M313" s="17"/>
      <c r="N313" s="16"/>
      <c r="O313" s="17"/>
      <c r="P313" s="18" t="e">
        <f t="shared" si="8"/>
        <v>#VALUE!</v>
      </c>
      <c r="Q313" s="22" t="e">
        <f t="shared" si="9"/>
        <v>#VALUE!</v>
      </c>
      <c r="R313" s="23"/>
    </row>
    <row r="314" spans="1:18" ht="12.75">
      <c r="A314" s="22">
        <v>46080</v>
      </c>
      <c r="B314" s="23" t="s">
        <v>23</v>
      </c>
      <c r="C314" s="23" t="s">
        <v>748</v>
      </c>
      <c r="D314" s="19"/>
      <c r="E314" s="23" t="s">
        <v>24</v>
      </c>
      <c r="G314" s="23"/>
      <c r="H314" s="18" t="str">
        <f>IF(G314="","",VALUE(SUBSTITUTE(VLOOKUP(G314,'Controle GEral'!F:G,2,FALSE),"R$ ", "")))</f>
        <v/>
      </c>
      <c r="I314" s="23"/>
      <c r="J314" s="18" t="str">
        <f>IF(I314="","",VALUE(SUBSTITUTE(VLOOKUP(I314,'Controle GEral'!H:I,2,FALSE),"R$ ", "")))</f>
        <v/>
      </c>
      <c r="K314" s="23" t="s">
        <v>18</v>
      </c>
      <c r="L314" s="23"/>
      <c r="M314" s="17"/>
      <c r="N314" s="16"/>
      <c r="O314" s="17"/>
      <c r="P314" s="18" t="e">
        <f t="shared" si="8"/>
        <v>#VALUE!</v>
      </c>
      <c r="Q314" s="22" t="e">
        <f t="shared" si="9"/>
        <v>#VALUE!</v>
      </c>
      <c r="R314" s="23"/>
    </row>
    <row r="315" spans="1:18" ht="12.75">
      <c r="A315" s="22">
        <v>46080</v>
      </c>
      <c r="B315" s="23" t="s">
        <v>23</v>
      </c>
      <c r="C315" s="23" t="s">
        <v>770</v>
      </c>
      <c r="D315" s="19"/>
      <c r="E315" s="23" t="s">
        <v>24</v>
      </c>
      <c r="G315" s="23" t="s">
        <v>12</v>
      </c>
      <c r="H315" s="18" t="e">
        <f>IF(G315="","",VALUE(SUBSTITUTE(VLOOKUP(G315,'Controle GEral'!F:G,2,FALSE),"R$ ", "")))</f>
        <v>#N/A</v>
      </c>
      <c r="I315" s="23"/>
      <c r="J315" s="18" t="str">
        <f>IF(I315="","",VALUE(SUBSTITUTE(VLOOKUP(I315,'Controle GEral'!H:I,2,FALSE),"R$ ", "")))</f>
        <v/>
      </c>
      <c r="K315" s="23" t="s">
        <v>18</v>
      </c>
      <c r="L315" s="23" t="s">
        <v>19</v>
      </c>
      <c r="M315" s="17"/>
      <c r="N315" s="16"/>
      <c r="O315" s="17"/>
      <c r="P315" s="23" t="e">
        <f t="shared" si="8"/>
        <v>#N/A</v>
      </c>
      <c r="Q315" s="22" t="e">
        <f t="shared" si="9"/>
        <v>#VALUE!</v>
      </c>
      <c r="R315" s="23"/>
    </row>
    <row r="316" spans="1:18" ht="12.75">
      <c r="A316" s="22">
        <v>46080</v>
      </c>
      <c r="B316" s="23" t="s">
        <v>23</v>
      </c>
      <c r="C316" s="23" t="s">
        <v>804</v>
      </c>
      <c r="D316" s="19"/>
      <c r="E316" s="23" t="s">
        <v>24</v>
      </c>
      <c r="G316" s="23"/>
      <c r="H316" s="18" t="str">
        <f>IF(G316="","",VALUE(SUBSTITUTE(VLOOKUP(G316,'Controle GEral'!F:G,2,FALSE),"R$ ", "")))</f>
        <v/>
      </c>
      <c r="I316" s="23"/>
      <c r="J316" s="18" t="str">
        <f>IF(I316="","",VALUE(SUBSTITUTE(VLOOKUP(I316,'Controle GEral'!H:I,2,FALSE),"R$ ", "")))</f>
        <v/>
      </c>
      <c r="K316" s="23"/>
      <c r="L316" s="23"/>
      <c r="M316" s="17"/>
      <c r="N316" s="16"/>
      <c r="O316" s="17"/>
      <c r="P316" s="18" t="e">
        <f t="shared" si="8"/>
        <v>#VALUE!</v>
      </c>
      <c r="Q316" s="22" t="e">
        <f t="shared" si="9"/>
        <v>#VALUE!</v>
      </c>
      <c r="R316" s="23"/>
    </row>
    <row r="317" spans="1:18" ht="12.75">
      <c r="A317" s="22">
        <v>46080</v>
      </c>
      <c r="B317" s="23" t="s">
        <v>23</v>
      </c>
      <c r="C317" s="23" t="s">
        <v>805</v>
      </c>
      <c r="D317" s="19"/>
      <c r="E317" s="23" t="s">
        <v>24</v>
      </c>
      <c r="G317" s="23" t="s">
        <v>16</v>
      </c>
      <c r="H317" s="18">
        <f>IF(G317="","",VALUE(SUBSTITUTE(VLOOKUP(G317,'Controle GEral'!F:G,2,FALSE),"R$ ", "")))</f>
        <v>45</v>
      </c>
      <c r="I317" s="23"/>
      <c r="J317" s="18" t="str">
        <f>IF(I317="","",VALUE(SUBSTITUTE(VLOOKUP(I317,'Controle GEral'!H:I,2,FALSE),"R$ ", "")))</f>
        <v/>
      </c>
      <c r="K317" s="23" t="s">
        <v>18</v>
      </c>
      <c r="L317" s="23" t="s">
        <v>34</v>
      </c>
      <c r="M317" s="17"/>
      <c r="N317" s="16"/>
      <c r="O317" s="17"/>
      <c r="P317" s="18" t="e">
        <f t="shared" si="8"/>
        <v>#VALUE!</v>
      </c>
      <c r="Q317" s="22" t="e">
        <f t="shared" si="9"/>
        <v>#VALUE!</v>
      </c>
      <c r="R317" s="23"/>
    </row>
    <row r="318" spans="1:18" ht="12.75">
      <c r="A318" s="22">
        <v>46081</v>
      </c>
      <c r="B318" s="23" t="s">
        <v>23</v>
      </c>
      <c r="C318" s="23" t="s">
        <v>806</v>
      </c>
      <c r="D318" s="19"/>
      <c r="E318" s="23" t="s">
        <v>15</v>
      </c>
      <c r="G318" s="23" t="s">
        <v>16</v>
      </c>
      <c r="H318" s="18">
        <f>IF(G318="","",VALUE(SUBSTITUTE(VLOOKUP(G318,'Controle GEral'!F:G,2,FALSE),"R$ ", "")))</f>
        <v>45</v>
      </c>
      <c r="I318" s="23" t="s">
        <v>21</v>
      </c>
      <c r="J318" s="18">
        <f>IF(I318="","",VALUE(SUBSTITUTE(VLOOKUP(I318,'Controle GEral'!H:I,2,FALSE),"R$ ", "")))</f>
        <v>10</v>
      </c>
      <c r="K318" s="23" t="s">
        <v>18</v>
      </c>
      <c r="L318" s="23" t="s">
        <v>34</v>
      </c>
      <c r="M318" s="17"/>
      <c r="N318" s="16"/>
      <c r="O318" s="17"/>
      <c r="P318" s="18">
        <f t="shared" si="8"/>
        <v>55</v>
      </c>
      <c r="Q318" s="22" t="e">
        <f t="shared" si="9"/>
        <v>#VALUE!</v>
      </c>
      <c r="R318" s="23"/>
    </row>
    <row r="319" spans="1:18" ht="12.75">
      <c r="A319" s="22">
        <v>46081</v>
      </c>
      <c r="B319" s="23" t="s">
        <v>23</v>
      </c>
      <c r="C319" s="23" t="s">
        <v>779</v>
      </c>
      <c r="D319" s="19"/>
      <c r="E319" s="23" t="s">
        <v>15</v>
      </c>
      <c r="G319" s="23" t="s">
        <v>16</v>
      </c>
      <c r="H319" s="18">
        <f>IF(G319="","",VALUE(SUBSTITUTE(VLOOKUP(G319,'Controle GEral'!F:G,2,FALSE),"R$ ", "")))</f>
        <v>45</v>
      </c>
      <c r="I319" s="23"/>
      <c r="J319" s="18" t="str">
        <f>IF(I319="","",VALUE(SUBSTITUTE(VLOOKUP(I319,'Controle GEral'!H:I,2,FALSE),"R$ ", "")))</f>
        <v/>
      </c>
      <c r="K319" s="23" t="s">
        <v>18</v>
      </c>
      <c r="L319" s="23" t="s">
        <v>34</v>
      </c>
      <c r="M319" s="17"/>
      <c r="N319" s="16"/>
      <c r="O319" s="17"/>
      <c r="P319" s="18" t="e">
        <f t="shared" si="8"/>
        <v>#VALUE!</v>
      </c>
      <c r="Q319" s="22" t="e">
        <f t="shared" si="9"/>
        <v>#VALUE!</v>
      </c>
      <c r="R319" s="23"/>
    </row>
    <row r="320" spans="1:18" ht="12.75">
      <c r="A320" s="22">
        <v>46081</v>
      </c>
      <c r="B320" s="23" t="s">
        <v>23</v>
      </c>
      <c r="C320" s="23" t="s">
        <v>807</v>
      </c>
      <c r="D320" s="19"/>
      <c r="E320" s="23" t="s">
        <v>15</v>
      </c>
      <c r="G320" s="23" t="s">
        <v>16</v>
      </c>
      <c r="H320" s="18">
        <f>IF(G320="","",VALUE(SUBSTITUTE(VLOOKUP(G320,'Controle GEral'!F:G,2,FALSE),"R$ ", "")))</f>
        <v>45</v>
      </c>
      <c r="I320" s="23"/>
      <c r="J320" s="18" t="str">
        <f>IF(I320="","",VALUE(SUBSTITUTE(VLOOKUP(I320,'Controle GEral'!H:I,2,FALSE),"R$ ", "")))</f>
        <v/>
      </c>
      <c r="K320" s="23" t="s">
        <v>18</v>
      </c>
      <c r="L320" s="23" t="s">
        <v>39</v>
      </c>
      <c r="M320" s="17"/>
      <c r="N320" s="16"/>
      <c r="O320" s="17"/>
      <c r="P320" s="18" t="e">
        <f t="shared" si="8"/>
        <v>#VALUE!</v>
      </c>
      <c r="Q320" s="22" t="e">
        <f t="shared" si="9"/>
        <v>#VALUE!</v>
      </c>
      <c r="R320" s="23"/>
    </row>
    <row r="321" spans="1:18" ht="12.75">
      <c r="A321" s="22">
        <v>46081</v>
      </c>
      <c r="B321" s="23" t="s">
        <v>23</v>
      </c>
      <c r="C321" s="23" t="s">
        <v>620</v>
      </c>
      <c r="D321" s="19"/>
      <c r="E321" s="23" t="s">
        <v>24</v>
      </c>
      <c r="G321" s="23" t="s">
        <v>16</v>
      </c>
      <c r="H321" s="18">
        <f>IF(G321="","",VALUE(SUBSTITUTE(VLOOKUP(G321,'Controle GEral'!F:G,2,FALSE),"R$ ", "")))</f>
        <v>45</v>
      </c>
      <c r="I321" s="23" t="s">
        <v>21</v>
      </c>
      <c r="J321" s="18">
        <f>IF(I321="","",VALUE(SUBSTITUTE(VLOOKUP(I321,'Controle GEral'!H:I,2,FALSE),"R$ ", "")))</f>
        <v>10</v>
      </c>
      <c r="K321" s="23" t="s">
        <v>18</v>
      </c>
      <c r="L321" s="23" t="s">
        <v>34</v>
      </c>
      <c r="M321" s="17"/>
      <c r="N321" s="16"/>
      <c r="O321" s="17"/>
      <c r="P321" s="18">
        <f t="shared" si="8"/>
        <v>55</v>
      </c>
      <c r="Q321" s="22" t="e">
        <f t="shared" si="9"/>
        <v>#VALUE!</v>
      </c>
      <c r="R321" s="23"/>
    </row>
    <row r="322" spans="1:18" ht="12.75">
      <c r="A322" s="22">
        <v>46081</v>
      </c>
      <c r="B322" s="23" t="s">
        <v>14</v>
      </c>
      <c r="C322" s="23" t="s">
        <v>772</v>
      </c>
      <c r="D322" s="19"/>
      <c r="E322" s="23" t="s">
        <v>24</v>
      </c>
      <c r="G322" s="23" t="s">
        <v>12</v>
      </c>
      <c r="H322" s="18" t="e">
        <f>IF(G322="","",VALUE(SUBSTITUTE(VLOOKUP(G322,'Controle GEral'!F:G,2,FALSE),"R$ ", "")))</f>
        <v>#N/A</v>
      </c>
      <c r="I322" s="23"/>
      <c r="J322" s="18" t="str">
        <f>IF(I322="","",VALUE(SUBSTITUTE(VLOOKUP(I322,'Controle GEral'!H:I,2,FALSE),"R$ ", "")))</f>
        <v/>
      </c>
      <c r="K322" s="23" t="s">
        <v>18</v>
      </c>
      <c r="L322" s="23" t="s">
        <v>34</v>
      </c>
      <c r="M322" s="17"/>
      <c r="N322" s="16"/>
      <c r="O322" s="17"/>
      <c r="P322" s="23" t="e">
        <f t="shared" ref="P322:P385" si="10">H322+J322+S322</f>
        <v>#N/A</v>
      </c>
      <c r="Q322" s="22" t="e">
        <f t="shared" ref="Q322:Q385" si="11">DATEVALUE(A322)</f>
        <v>#VALUE!</v>
      </c>
      <c r="R322" s="23"/>
    </row>
    <row r="323" spans="1:18" ht="12.75">
      <c r="A323" s="22">
        <v>46081</v>
      </c>
      <c r="B323" s="23" t="s">
        <v>14</v>
      </c>
      <c r="C323" s="23" t="s">
        <v>608</v>
      </c>
      <c r="D323" s="19"/>
      <c r="E323" s="23" t="s">
        <v>24</v>
      </c>
      <c r="G323" s="23" t="s">
        <v>16</v>
      </c>
      <c r="H323" s="18">
        <f>IF(G323="","",VALUE(SUBSTITUTE(VLOOKUP(G323,'Controle GEral'!F:G,2,FALSE),"R$ ", "")))</f>
        <v>45</v>
      </c>
      <c r="I323" s="23"/>
      <c r="J323" s="18" t="str">
        <f>IF(I323="","",VALUE(SUBSTITUTE(VLOOKUP(I323,'Controle GEral'!H:I,2,FALSE),"R$ ", "")))</f>
        <v/>
      </c>
      <c r="K323" s="23" t="s">
        <v>18</v>
      </c>
      <c r="L323" s="23" t="s">
        <v>34</v>
      </c>
      <c r="M323" s="17"/>
      <c r="N323" s="16"/>
      <c r="O323" s="17"/>
      <c r="P323" s="18" t="e">
        <f t="shared" si="10"/>
        <v>#VALUE!</v>
      </c>
      <c r="Q323" s="22" t="e">
        <f t="shared" si="11"/>
        <v>#VALUE!</v>
      </c>
      <c r="R323" s="23"/>
    </row>
    <row r="324" spans="1:18" ht="12.75">
      <c r="A324" s="22">
        <v>46081</v>
      </c>
      <c r="B324" s="23" t="s">
        <v>14</v>
      </c>
      <c r="C324" s="23" t="s">
        <v>808</v>
      </c>
      <c r="D324" s="19"/>
      <c r="E324" s="23" t="s">
        <v>24</v>
      </c>
      <c r="G324" s="23" t="s">
        <v>16</v>
      </c>
      <c r="H324" s="18">
        <f>IF(G324="","",VALUE(SUBSTITUTE(VLOOKUP(G324,'Controle GEral'!F:G,2,FALSE),"R$ ", "")))</f>
        <v>45</v>
      </c>
      <c r="I324" s="23"/>
      <c r="J324" s="18" t="str">
        <f>IF(I324="","",VALUE(SUBSTITUTE(VLOOKUP(I324,'Controle GEral'!H:I,2,FALSE),"R$ ", "")))</f>
        <v/>
      </c>
      <c r="K324" s="23" t="s">
        <v>18</v>
      </c>
      <c r="L324" s="23" t="s">
        <v>34</v>
      </c>
      <c r="M324" s="17"/>
      <c r="N324" s="16"/>
      <c r="O324" s="17"/>
      <c r="P324" s="18" t="e">
        <f t="shared" si="10"/>
        <v>#VALUE!</v>
      </c>
      <c r="Q324" s="22" t="e">
        <f t="shared" si="11"/>
        <v>#VALUE!</v>
      </c>
      <c r="R324" s="23"/>
    </row>
    <row r="325" spans="1:18" ht="12.75">
      <c r="A325" s="22">
        <v>46081</v>
      </c>
      <c r="B325" s="23" t="s">
        <v>14</v>
      </c>
      <c r="C325" s="23" t="s">
        <v>809</v>
      </c>
      <c r="D325" s="19"/>
      <c r="E325" s="23" t="s">
        <v>24</v>
      </c>
      <c r="G325" s="23" t="s">
        <v>25</v>
      </c>
      <c r="H325" s="18">
        <f>IF(G325="","",VALUE(SUBSTITUTE(VLOOKUP(G325,'Controle GEral'!F:G,2,FALSE),"R$ ", "")))</f>
        <v>80</v>
      </c>
      <c r="I325" s="23" t="s">
        <v>21</v>
      </c>
      <c r="J325" s="18">
        <f>IF(I325="","",VALUE(SUBSTITUTE(VLOOKUP(I325,'Controle GEral'!H:I,2,FALSE),"R$ ", "")))</f>
        <v>10</v>
      </c>
      <c r="K325" s="23" t="s">
        <v>18</v>
      </c>
      <c r="L325" s="23" t="s">
        <v>34</v>
      </c>
      <c r="M325" s="17"/>
      <c r="N325" s="16"/>
      <c r="O325" s="17"/>
      <c r="P325" s="18">
        <f t="shared" si="10"/>
        <v>90</v>
      </c>
      <c r="Q325" s="22" t="e">
        <f t="shared" si="11"/>
        <v>#VALUE!</v>
      </c>
      <c r="R325" s="23"/>
    </row>
    <row r="326" spans="1:18" ht="12.75">
      <c r="A326" s="22">
        <v>46081</v>
      </c>
      <c r="B326" s="23" t="s">
        <v>14</v>
      </c>
      <c r="C326" s="23" t="s">
        <v>615</v>
      </c>
      <c r="D326" s="19"/>
      <c r="E326" s="23" t="s">
        <v>24</v>
      </c>
      <c r="G326" s="23" t="s">
        <v>16</v>
      </c>
      <c r="H326" s="18">
        <f>IF(G326="","",VALUE(SUBSTITUTE(VLOOKUP(G326,'Controle GEral'!F:G,2,FALSE),"R$ ", "")))</f>
        <v>45</v>
      </c>
      <c r="I326" s="23"/>
      <c r="J326" s="18" t="str">
        <f>IF(I326="","",VALUE(SUBSTITUTE(VLOOKUP(I326,'Controle GEral'!H:I,2,FALSE),"R$ ", "")))</f>
        <v/>
      </c>
      <c r="K326" s="23" t="s">
        <v>18</v>
      </c>
      <c r="L326" s="23" t="s">
        <v>34</v>
      </c>
      <c r="M326" s="17"/>
      <c r="N326" s="16"/>
      <c r="O326" s="17"/>
      <c r="P326" s="18" t="e">
        <f t="shared" si="10"/>
        <v>#VALUE!</v>
      </c>
      <c r="Q326" s="22" t="e">
        <f t="shared" si="11"/>
        <v>#VALUE!</v>
      </c>
      <c r="R326" s="23"/>
    </row>
    <row r="327" spans="1:18" ht="12.75">
      <c r="A327" s="22">
        <v>46081</v>
      </c>
      <c r="B327" s="23" t="s">
        <v>14</v>
      </c>
      <c r="C327" s="23" t="s">
        <v>810</v>
      </c>
      <c r="D327" s="19"/>
      <c r="E327" s="23" t="s">
        <v>24</v>
      </c>
      <c r="G327" s="23" t="s">
        <v>16</v>
      </c>
      <c r="H327" s="18">
        <f>IF(G327="","",VALUE(SUBSTITUTE(VLOOKUP(G327,'Controle GEral'!F:G,2,FALSE),"R$ ", "")))</f>
        <v>45</v>
      </c>
      <c r="I327" s="23"/>
      <c r="J327" s="18" t="str">
        <f>IF(I327="","",VALUE(SUBSTITUTE(VLOOKUP(I327,'Controle GEral'!H:I,2,FALSE),"R$ ", "")))</f>
        <v/>
      </c>
      <c r="K327" s="23" t="s">
        <v>18</v>
      </c>
      <c r="L327" s="23" t="s">
        <v>34</v>
      </c>
      <c r="M327" s="17"/>
      <c r="N327" s="16"/>
      <c r="O327" s="17"/>
      <c r="P327" s="18" t="e">
        <f t="shared" si="10"/>
        <v>#VALUE!</v>
      </c>
      <c r="Q327" s="22" t="e">
        <f t="shared" si="11"/>
        <v>#VALUE!</v>
      </c>
      <c r="R327" s="23"/>
    </row>
    <row r="328" spans="1:18" ht="12.75">
      <c r="A328" s="22">
        <v>46081</v>
      </c>
      <c r="B328" s="23" t="s">
        <v>14</v>
      </c>
      <c r="C328" s="23" t="s">
        <v>586</v>
      </c>
      <c r="D328" s="19"/>
      <c r="E328" s="23" t="s">
        <v>24</v>
      </c>
      <c r="G328" s="23"/>
      <c r="H328" s="18" t="str">
        <f>IF(G328="","",VALUE(SUBSTITUTE(VLOOKUP(G328,'Controle GEral'!F:G,2,FALSE),"R$ ", "")))</f>
        <v/>
      </c>
      <c r="I328" s="23"/>
      <c r="J328" s="18" t="str">
        <f>IF(I328="","",VALUE(SUBSTITUTE(VLOOKUP(I328,'Controle GEral'!H:I,2,FALSE),"R$ ", "")))</f>
        <v/>
      </c>
      <c r="K328" s="23"/>
      <c r="L328" s="23"/>
      <c r="M328" s="17"/>
      <c r="N328" s="16"/>
      <c r="O328" s="17"/>
      <c r="P328" s="18" t="e">
        <f t="shared" si="10"/>
        <v>#VALUE!</v>
      </c>
      <c r="Q328" s="22" t="e">
        <f t="shared" si="11"/>
        <v>#VALUE!</v>
      </c>
      <c r="R328" s="23"/>
    </row>
    <row r="329" spans="1:18" ht="12.75">
      <c r="A329" s="22">
        <v>46081</v>
      </c>
      <c r="B329" s="23" t="s">
        <v>14</v>
      </c>
      <c r="C329" s="23" t="s">
        <v>811</v>
      </c>
      <c r="D329" s="19"/>
      <c r="E329" s="23" t="s">
        <v>24</v>
      </c>
      <c r="G329" s="23" t="s">
        <v>16</v>
      </c>
      <c r="H329" s="18">
        <f>IF(G329="","",VALUE(SUBSTITUTE(VLOOKUP(G329,'Controle GEral'!F:G,2,FALSE),"R$ ", "")))</f>
        <v>45</v>
      </c>
      <c r="I329" s="23"/>
      <c r="J329" s="18" t="str">
        <f>IF(I329="","",VALUE(SUBSTITUTE(VLOOKUP(I329,'Controle GEral'!H:I,2,FALSE),"R$ ", "")))</f>
        <v/>
      </c>
      <c r="K329" s="23" t="s">
        <v>18</v>
      </c>
      <c r="L329" s="23" t="s">
        <v>34</v>
      </c>
      <c r="M329" s="17"/>
      <c r="N329" s="16"/>
      <c r="O329" s="17"/>
      <c r="P329" s="18" t="e">
        <f t="shared" si="10"/>
        <v>#VALUE!</v>
      </c>
      <c r="Q329" s="22" t="e">
        <f t="shared" si="11"/>
        <v>#VALUE!</v>
      </c>
      <c r="R329" s="23"/>
    </row>
    <row r="330" spans="1:18" ht="12.75">
      <c r="A330" s="22">
        <v>46083</v>
      </c>
      <c r="B330" s="23" t="s">
        <v>14</v>
      </c>
      <c r="C330" s="23" t="s">
        <v>569</v>
      </c>
      <c r="D330" s="19"/>
      <c r="E330" s="23" t="s">
        <v>24</v>
      </c>
      <c r="G330" s="23"/>
      <c r="H330" s="18" t="str">
        <f>IF(G330="","",VALUE(SUBSTITUTE(VLOOKUP(G330,'Controle GEral'!F:G,2,FALSE),"R$ ", "")))</f>
        <v/>
      </c>
      <c r="I330" s="23"/>
      <c r="J330" s="18" t="str">
        <f>IF(I330="","",VALUE(SUBSTITUTE(VLOOKUP(I330,'Controle GEral'!H:I,2,FALSE),"R$ ", "")))</f>
        <v/>
      </c>
      <c r="K330" s="23"/>
      <c r="L330" s="23"/>
      <c r="M330" s="17"/>
      <c r="N330" s="16"/>
      <c r="O330" s="17"/>
      <c r="P330" s="18" t="e">
        <f t="shared" si="10"/>
        <v>#VALUE!</v>
      </c>
      <c r="Q330" s="22" t="e">
        <f t="shared" si="11"/>
        <v>#VALUE!</v>
      </c>
      <c r="R330" s="23"/>
    </row>
    <row r="331" spans="1:18" ht="12.75">
      <c r="A331" s="22">
        <v>46083</v>
      </c>
      <c r="B331" s="23" t="s">
        <v>14</v>
      </c>
      <c r="C331" s="23" t="s">
        <v>624</v>
      </c>
      <c r="D331" s="19"/>
      <c r="E331" s="23" t="s">
        <v>24</v>
      </c>
      <c r="G331" s="23" t="s">
        <v>16</v>
      </c>
      <c r="H331" s="18">
        <f>IF(G331="","",VALUE(SUBSTITUTE(VLOOKUP(G331,'Controle GEral'!F:G,2,FALSE),"R$ ", "")))</f>
        <v>45</v>
      </c>
      <c r="I331" s="23"/>
      <c r="J331" s="18" t="str">
        <f>IF(I331="","",VALUE(SUBSTITUTE(VLOOKUP(I331,'Controle GEral'!H:I,2,FALSE),"R$ ", "")))</f>
        <v/>
      </c>
      <c r="K331" s="23" t="s">
        <v>18</v>
      </c>
      <c r="L331" s="23" t="s">
        <v>28</v>
      </c>
      <c r="M331" s="17"/>
      <c r="N331" s="16"/>
      <c r="O331" s="17"/>
      <c r="P331" s="18" t="e">
        <f t="shared" si="10"/>
        <v>#VALUE!</v>
      </c>
      <c r="Q331" s="22" t="e">
        <f t="shared" si="11"/>
        <v>#VALUE!</v>
      </c>
      <c r="R331" s="23"/>
    </row>
    <row r="332" spans="1:18" ht="12.75">
      <c r="A332" s="22">
        <v>46085</v>
      </c>
      <c r="B332" s="23" t="s">
        <v>812</v>
      </c>
      <c r="C332" s="23" t="s">
        <v>813</v>
      </c>
      <c r="D332" s="19"/>
      <c r="E332" s="23" t="s">
        <v>24</v>
      </c>
      <c r="G332" s="23" t="s">
        <v>16</v>
      </c>
      <c r="H332" s="18">
        <f>IF(G332="","",VALUE(SUBSTITUTE(VLOOKUP(G332,'Controle GEral'!F:G,2,FALSE),"R$ ", "")))</f>
        <v>45</v>
      </c>
      <c r="I332" s="23"/>
      <c r="J332" s="18" t="str">
        <f>IF(I332="","",VALUE(SUBSTITUTE(VLOOKUP(I332,'Controle GEral'!H:I,2,FALSE),"R$ ", "")))</f>
        <v/>
      </c>
      <c r="K332" s="23" t="s">
        <v>18</v>
      </c>
      <c r="L332" s="23" t="s">
        <v>34</v>
      </c>
      <c r="M332" s="17"/>
      <c r="N332" s="16"/>
      <c r="O332" s="17"/>
      <c r="P332" s="18" t="e">
        <f t="shared" si="10"/>
        <v>#VALUE!</v>
      </c>
      <c r="Q332" s="22" t="e">
        <f t="shared" si="11"/>
        <v>#VALUE!</v>
      </c>
      <c r="R332" s="23"/>
    </row>
    <row r="333" spans="1:18" ht="12.75">
      <c r="A333" s="22">
        <v>46084</v>
      </c>
      <c r="B333" s="23" t="s">
        <v>812</v>
      </c>
      <c r="C333" s="23" t="s">
        <v>585</v>
      </c>
      <c r="D333" s="19"/>
      <c r="E333" s="23" t="s">
        <v>24</v>
      </c>
      <c r="G333" s="23" t="s">
        <v>38</v>
      </c>
      <c r="H333" s="18">
        <f>IF(G333="","",VALUE(SUBSTITUTE(VLOOKUP(G333,'Controle GEral'!F:G,2,FALSE),"R$ ", "")))</f>
        <v>70</v>
      </c>
      <c r="I333" s="23"/>
      <c r="J333" s="18" t="str">
        <f>IF(I333="","",VALUE(SUBSTITUTE(VLOOKUP(I333,'Controle GEral'!H:I,2,FALSE),"R$ ", "")))</f>
        <v/>
      </c>
      <c r="K333" s="23" t="s">
        <v>18</v>
      </c>
      <c r="L333" s="23" t="s">
        <v>34</v>
      </c>
      <c r="M333" s="17"/>
      <c r="N333" s="16"/>
      <c r="O333" s="17"/>
      <c r="P333" s="18" t="e">
        <f t="shared" si="10"/>
        <v>#VALUE!</v>
      </c>
      <c r="Q333" s="22" t="e">
        <f t="shared" si="11"/>
        <v>#VALUE!</v>
      </c>
      <c r="R333" s="23"/>
    </row>
    <row r="334" spans="1:18" ht="12.75">
      <c r="A334" s="22">
        <v>46084</v>
      </c>
      <c r="B334" s="23" t="s">
        <v>814</v>
      </c>
      <c r="C334" s="23" t="s">
        <v>815</v>
      </c>
      <c r="D334" s="19"/>
      <c r="E334" s="23" t="s">
        <v>15</v>
      </c>
      <c r="G334" s="23" t="s">
        <v>16</v>
      </c>
      <c r="H334" s="18">
        <f>IF(G334="","",VALUE(SUBSTITUTE(VLOOKUP(G334,'Controle GEral'!F:G,2,FALSE),"R$ ", "")))</f>
        <v>45</v>
      </c>
      <c r="I334" s="23" t="s">
        <v>21</v>
      </c>
      <c r="J334" s="18">
        <f>IF(I334="","",VALUE(SUBSTITUTE(VLOOKUP(I334,'Controle GEral'!H:I,2,FALSE),"R$ ", "")))</f>
        <v>10</v>
      </c>
      <c r="K334" s="23" t="s">
        <v>18</v>
      </c>
      <c r="L334" s="23" t="s">
        <v>39</v>
      </c>
      <c r="M334" s="17"/>
      <c r="N334" s="16"/>
      <c r="O334" s="17"/>
      <c r="P334" s="18">
        <f t="shared" si="10"/>
        <v>55</v>
      </c>
      <c r="Q334" s="22" t="e">
        <f t="shared" si="11"/>
        <v>#VALUE!</v>
      </c>
      <c r="R334" s="23"/>
    </row>
    <row r="335" spans="1:18" ht="12.75">
      <c r="A335" s="22">
        <v>46084</v>
      </c>
      <c r="B335" s="23" t="s">
        <v>814</v>
      </c>
      <c r="C335" s="23" t="s">
        <v>816</v>
      </c>
      <c r="D335" s="19"/>
      <c r="E335" s="23" t="s">
        <v>24</v>
      </c>
      <c r="G335" s="23" t="s">
        <v>46</v>
      </c>
      <c r="H335" s="18">
        <f>IF(G335="","",VALUE(SUBSTITUTE(VLOOKUP(G335,'Controle GEral'!F:G,2,FALSE),"R$ ", "")))</f>
        <v>30</v>
      </c>
      <c r="I335" s="23"/>
      <c r="J335" s="18" t="str">
        <f>IF(I335="","",VALUE(SUBSTITUTE(VLOOKUP(I335,'Controle GEral'!H:I,2,FALSE),"R$ ", "")))</f>
        <v/>
      </c>
      <c r="K335" s="23" t="s">
        <v>18</v>
      </c>
      <c r="L335" s="23" t="s">
        <v>34</v>
      </c>
      <c r="M335" s="17"/>
      <c r="N335" s="16"/>
      <c r="O335" s="17"/>
      <c r="P335" s="18" t="e">
        <f t="shared" si="10"/>
        <v>#VALUE!</v>
      </c>
      <c r="Q335" s="22" t="e">
        <f t="shared" si="11"/>
        <v>#VALUE!</v>
      </c>
      <c r="R335" s="23"/>
    </row>
    <row r="336" spans="1:18" ht="12.75">
      <c r="A336" s="22">
        <v>46084</v>
      </c>
      <c r="B336" s="23" t="s">
        <v>814</v>
      </c>
      <c r="C336" s="23" t="s">
        <v>701</v>
      </c>
      <c r="D336" s="19"/>
      <c r="E336" s="23" t="s">
        <v>24</v>
      </c>
      <c r="G336" s="23" t="s">
        <v>16</v>
      </c>
      <c r="H336" s="18">
        <f>IF(G336="","",VALUE(SUBSTITUTE(VLOOKUP(G336,'Controle GEral'!F:G,2,FALSE),"R$ ", "")))</f>
        <v>45</v>
      </c>
      <c r="I336" s="23"/>
      <c r="J336" s="18" t="str">
        <f>IF(I336="","",VALUE(SUBSTITUTE(VLOOKUP(I336,'Controle GEral'!H:I,2,FALSE),"R$ ", "")))</f>
        <v/>
      </c>
      <c r="K336" s="23" t="s">
        <v>18</v>
      </c>
      <c r="L336" s="23" t="s">
        <v>34</v>
      </c>
      <c r="M336" s="17"/>
      <c r="N336" s="16"/>
      <c r="O336" s="17"/>
      <c r="P336" s="18" t="e">
        <f t="shared" si="10"/>
        <v>#VALUE!</v>
      </c>
      <c r="Q336" s="22" t="e">
        <f t="shared" si="11"/>
        <v>#VALUE!</v>
      </c>
      <c r="R336" s="23"/>
    </row>
    <row r="337" spans="1:18" ht="12.75">
      <c r="A337" s="22">
        <v>46084</v>
      </c>
      <c r="B337" s="23" t="s">
        <v>814</v>
      </c>
      <c r="C337" s="23" t="s">
        <v>817</v>
      </c>
      <c r="D337" s="19"/>
      <c r="E337" s="23" t="s">
        <v>24</v>
      </c>
      <c r="G337" s="23" t="s">
        <v>25</v>
      </c>
      <c r="H337" s="18">
        <f>IF(G337="","",VALUE(SUBSTITUTE(VLOOKUP(G337,'Controle GEral'!F:G,2,FALSE),"R$ ", "")))</f>
        <v>80</v>
      </c>
      <c r="I337" s="23"/>
      <c r="J337" s="18" t="str">
        <f>IF(I337="","",VALUE(SUBSTITUTE(VLOOKUP(I337,'Controle GEral'!H:I,2,FALSE),"R$ ", "")))</f>
        <v/>
      </c>
      <c r="K337" s="23" t="s">
        <v>18</v>
      </c>
      <c r="L337" s="23" t="s">
        <v>34</v>
      </c>
      <c r="M337" s="17"/>
      <c r="N337" s="16"/>
      <c r="O337" s="17"/>
      <c r="P337" s="18" t="e">
        <f t="shared" si="10"/>
        <v>#VALUE!</v>
      </c>
      <c r="Q337" s="22" t="e">
        <f t="shared" si="11"/>
        <v>#VALUE!</v>
      </c>
      <c r="R337" s="23"/>
    </row>
    <row r="338" spans="1:18" ht="12.75">
      <c r="A338" s="22">
        <v>46084</v>
      </c>
      <c r="B338" s="23" t="s">
        <v>814</v>
      </c>
      <c r="C338" s="23" t="s">
        <v>780</v>
      </c>
      <c r="D338" s="19"/>
      <c r="E338" s="23" t="s">
        <v>24</v>
      </c>
      <c r="G338" s="23"/>
      <c r="H338" s="18" t="str">
        <f>IF(G338="","",VALUE(SUBSTITUTE(VLOOKUP(G338,'Controle GEral'!F:G,2,FALSE),"R$ ", "")))</f>
        <v/>
      </c>
      <c r="I338" s="23"/>
      <c r="J338" s="18" t="str">
        <f>IF(I338="","",VALUE(SUBSTITUTE(VLOOKUP(I338,'Controle GEral'!H:I,2,FALSE),"R$ ", "")))</f>
        <v/>
      </c>
      <c r="K338" s="23"/>
      <c r="L338" s="23"/>
      <c r="M338" s="17"/>
      <c r="N338" s="16"/>
      <c r="O338" s="17"/>
      <c r="P338" s="18" t="e">
        <f t="shared" si="10"/>
        <v>#VALUE!</v>
      </c>
      <c r="Q338" s="22" t="e">
        <f t="shared" si="11"/>
        <v>#VALUE!</v>
      </c>
      <c r="R338" s="23"/>
    </row>
    <row r="339" spans="1:18" ht="12.75">
      <c r="A339" s="22">
        <v>46084</v>
      </c>
      <c r="B339" s="23" t="s">
        <v>814</v>
      </c>
      <c r="C339" s="23" t="s">
        <v>716</v>
      </c>
      <c r="D339" s="19"/>
      <c r="E339" s="23" t="s">
        <v>24</v>
      </c>
      <c r="G339" s="23" t="s">
        <v>16</v>
      </c>
      <c r="H339" s="18">
        <f>IF(G339="","",VALUE(SUBSTITUTE(VLOOKUP(G339,'Controle GEral'!F:G,2,FALSE),"R$ ", "")))</f>
        <v>45</v>
      </c>
      <c r="I339" s="23"/>
      <c r="J339" s="18" t="str">
        <f>IF(I339="","",VALUE(SUBSTITUTE(VLOOKUP(I339,'Controle GEral'!H:I,2,FALSE),"R$ ", "")))</f>
        <v/>
      </c>
      <c r="K339" s="23" t="s">
        <v>18</v>
      </c>
      <c r="L339" s="23" t="s">
        <v>28</v>
      </c>
      <c r="M339" s="17"/>
      <c r="N339" s="16"/>
      <c r="O339" s="17"/>
      <c r="P339" s="18" t="e">
        <f t="shared" si="10"/>
        <v>#VALUE!</v>
      </c>
      <c r="Q339" s="22" t="e">
        <f t="shared" si="11"/>
        <v>#VALUE!</v>
      </c>
      <c r="R339" s="23"/>
    </row>
    <row r="340" spans="1:18" ht="12.75">
      <c r="A340" s="22">
        <v>46085</v>
      </c>
      <c r="B340" s="23" t="s">
        <v>812</v>
      </c>
      <c r="C340" s="23" t="s">
        <v>758</v>
      </c>
      <c r="D340" s="19"/>
      <c r="E340" s="23" t="s">
        <v>24</v>
      </c>
      <c r="G340" s="23" t="s">
        <v>16</v>
      </c>
      <c r="H340" s="18">
        <f>IF(G340="","",VALUE(SUBSTITUTE(VLOOKUP(G340,'Controle GEral'!F:G,2,FALSE),"R$ ", "")))</f>
        <v>45</v>
      </c>
      <c r="I340" s="23"/>
      <c r="J340" s="18" t="str">
        <f>IF(I340="","",VALUE(SUBSTITUTE(VLOOKUP(I340,'Controle GEral'!H:I,2,FALSE),"R$ ", "")))</f>
        <v/>
      </c>
      <c r="K340" s="23" t="s">
        <v>18</v>
      </c>
      <c r="L340" s="23" t="s">
        <v>28</v>
      </c>
      <c r="M340" s="17"/>
      <c r="N340" s="16"/>
      <c r="O340" s="17"/>
      <c r="P340" s="18" t="e">
        <f t="shared" si="10"/>
        <v>#VALUE!</v>
      </c>
      <c r="Q340" s="22" t="e">
        <f t="shared" si="11"/>
        <v>#VALUE!</v>
      </c>
      <c r="R340" s="23"/>
    </row>
    <row r="341" spans="1:18" ht="12.75">
      <c r="A341" s="22">
        <v>46085</v>
      </c>
      <c r="B341" s="23" t="s">
        <v>812</v>
      </c>
      <c r="C341" s="23" t="s">
        <v>818</v>
      </c>
      <c r="D341" s="19"/>
      <c r="E341" s="23" t="s">
        <v>24</v>
      </c>
      <c r="G341" s="23" t="s">
        <v>16</v>
      </c>
      <c r="H341" s="18">
        <f>IF(G341="","",VALUE(SUBSTITUTE(VLOOKUP(G341,'Controle GEral'!F:G,2,FALSE),"R$ ", "")))</f>
        <v>45</v>
      </c>
      <c r="I341" s="23"/>
      <c r="J341" s="18" t="str">
        <f>IF(I341="","",VALUE(SUBSTITUTE(VLOOKUP(I341,'Controle GEral'!H:I,2,FALSE),"R$ ", "")))</f>
        <v/>
      </c>
      <c r="K341" s="23" t="s">
        <v>18</v>
      </c>
      <c r="L341" s="23" t="s">
        <v>34</v>
      </c>
      <c r="M341" s="17"/>
      <c r="N341" s="16"/>
      <c r="O341" s="17"/>
      <c r="P341" s="18" t="e">
        <f t="shared" si="10"/>
        <v>#VALUE!</v>
      </c>
      <c r="Q341" s="22" t="e">
        <f t="shared" si="11"/>
        <v>#VALUE!</v>
      </c>
      <c r="R341" s="23"/>
    </row>
    <row r="342" spans="1:18" ht="12.75">
      <c r="A342" s="22">
        <v>46085</v>
      </c>
      <c r="B342" s="23" t="s">
        <v>812</v>
      </c>
      <c r="C342" s="23" t="s">
        <v>612</v>
      </c>
      <c r="D342" s="19"/>
      <c r="E342" s="23" t="s">
        <v>24</v>
      </c>
      <c r="G342" s="23" t="s">
        <v>38</v>
      </c>
      <c r="H342" s="18">
        <f>IF(G342="","",VALUE(SUBSTITUTE(VLOOKUP(G342,'Controle GEral'!F:G,2,FALSE),"R$ ", "")))</f>
        <v>70</v>
      </c>
      <c r="I342" s="23"/>
      <c r="J342" s="18" t="str">
        <f>IF(I342="","",VALUE(SUBSTITUTE(VLOOKUP(I342,'Controle GEral'!H:I,2,FALSE),"R$ ", "")))</f>
        <v/>
      </c>
      <c r="K342" s="23" t="s">
        <v>18</v>
      </c>
      <c r="L342" s="23" t="s">
        <v>34</v>
      </c>
      <c r="M342" s="17"/>
      <c r="N342" s="16"/>
      <c r="O342" s="17"/>
      <c r="P342" s="18" t="e">
        <f t="shared" si="10"/>
        <v>#VALUE!</v>
      </c>
      <c r="Q342" s="22" t="e">
        <f t="shared" si="11"/>
        <v>#VALUE!</v>
      </c>
      <c r="R342" s="23"/>
    </row>
    <row r="343" spans="1:18" ht="12.75">
      <c r="A343" s="22">
        <v>46085</v>
      </c>
      <c r="B343" s="23" t="s">
        <v>812</v>
      </c>
      <c r="C343" s="23" t="s">
        <v>819</v>
      </c>
      <c r="D343" s="19"/>
      <c r="E343" s="23" t="s">
        <v>24</v>
      </c>
      <c r="G343" s="23" t="s">
        <v>16</v>
      </c>
      <c r="H343" s="18">
        <f>IF(G343="","",VALUE(SUBSTITUTE(VLOOKUP(G343,'Controle GEral'!F:G,2,FALSE),"R$ ", "")))</f>
        <v>45</v>
      </c>
      <c r="I343" s="23"/>
      <c r="J343" s="18" t="str">
        <f>IF(I343="","",VALUE(SUBSTITUTE(VLOOKUP(I343,'Controle GEral'!H:I,2,FALSE),"R$ ", "")))</f>
        <v/>
      </c>
      <c r="K343" s="23" t="s">
        <v>18</v>
      </c>
      <c r="L343" s="23" t="s">
        <v>34</v>
      </c>
      <c r="M343" s="17"/>
      <c r="N343" s="16"/>
      <c r="O343" s="17"/>
      <c r="P343" s="18" t="e">
        <f t="shared" si="10"/>
        <v>#VALUE!</v>
      </c>
      <c r="Q343" s="22" t="e">
        <f t="shared" si="11"/>
        <v>#VALUE!</v>
      </c>
      <c r="R343" s="23"/>
    </row>
    <row r="344" spans="1:18" ht="12.75">
      <c r="A344" s="22">
        <v>46085</v>
      </c>
      <c r="B344" s="23" t="s">
        <v>814</v>
      </c>
      <c r="C344" s="23" t="s">
        <v>820</v>
      </c>
      <c r="D344" s="19"/>
      <c r="E344" s="23" t="s">
        <v>15</v>
      </c>
      <c r="G344" s="23" t="s">
        <v>16</v>
      </c>
      <c r="H344" s="18">
        <f>IF(G344="","",VALUE(SUBSTITUTE(VLOOKUP(G344,'Controle GEral'!F:G,2,FALSE),"R$ ", "")))</f>
        <v>45</v>
      </c>
      <c r="I344" s="23"/>
      <c r="J344" s="18" t="str">
        <f>IF(I344="","",VALUE(SUBSTITUTE(VLOOKUP(I344,'Controle GEral'!H:I,2,FALSE),"R$ ", "")))</f>
        <v/>
      </c>
      <c r="K344" s="23" t="s">
        <v>18</v>
      </c>
      <c r="L344" s="23" t="s">
        <v>34</v>
      </c>
      <c r="M344" s="17"/>
      <c r="N344" s="16"/>
      <c r="O344" s="17"/>
      <c r="P344" s="18" t="e">
        <f t="shared" si="10"/>
        <v>#VALUE!</v>
      </c>
      <c r="Q344" s="22" t="e">
        <f t="shared" si="11"/>
        <v>#VALUE!</v>
      </c>
      <c r="R344" s="23"/>
    </row>
    <row r="345" spans="1:18" ht="12.75">
      <c r="A345" s="22">
        <v>46085</v>
      </c>
      <c r="B345" s="23" t="s">
        <v>814</v>
      </c>
      <c r="C345" s="23" t="s">
        <v>762</v>
      </c>
      <c r="D345" s="19"/>
      <c r="E345" s="23" t="s">
        <v>24</v>
      </c>
      <c r="G345" s="23" t="s">
        <v>16</v>
      </c>
      <c r="H345" s="18">
        <f>IF(G345="","",VALUE(SUBSTITUTE(VLOOKUP(G345,'Controle GEral'!F:G,2,FALSE),"R$ ", "")))</f>
        <v>45</v>
      </c>
      <c r="I345" s="23"/>
      <c r="J345" s="18" t="str">
        <f>IF(I345="","",VALUE(SUBSTITUTE(VLOOKUP(I345,'Controle GEral'!H:I,2,FALSE),"R$ ", "")))</f>
        <v/>
      </c>
      <c r="K345" s="23" t="s">
        <v>18</v>
      </c>
      <c r="L345" s="23" t="s">
        <v>39</v>
      </c>
      <c r="M345" s="17"/>
      <c r="N345" s="16"/>
      <c r="O345" s="17"/>
      <c r="P345" s="18" t="e">
        <f t="shared" si="10"/>
        <v>#VALUE!</v>
      </c>
      <c r="Q345" s="22" t="e">
        <f t="shared" si="11"/>
        <v>#VALUE!</v>
      </c>
      <c r="R345" s="23"/>
    </row>
    <row r="346" spans="1:18" ht="12.75">
      <c r="A346" s="22">
        <v>46085</v>
      </c>
      <c r="B346" s="23" t="s">
        <v>812</v>
      </c>
      <c r="C346" s="23" t="s">
        <v>821</v>
      </c>
      <c r="D346" s="19"/>
      <c r="E346" s="23" t="s">
        <v>24</v>
      </c>
      <c r="G346" s="23" t="s">
        <v>16</v>
      </c>
      <c r="H346" s="18">
        <f>IF(G346="","",VALUE(SUBSTITUTE(VLOOKUP(G346,'Controle GEral'!F:G,2,FALSE),"R$ ", "")))</f>
        <v>45</v>
      </c>
      <c r="I346" s="23"/>
      <c r="J346" s="18" t="str">
        <f>IF(I346="","",VALUE(SUBSTITUTE(VLOOKUP(I346,'Controle GEral'!H:I,2,FALSE),"R$ ", "")))</f>
        <v/>
      </c>
      <c r="K346" s="23" t="s">
        <v>18</v>
      </c>
      <c r="L346" s="23" t="s">
        <v>19</v>
      </c>
      <c r="M346" s="17"/>
      <c r="N346" s="16"/>
      <c r="O346" s="17"/>
      <c r="P346" s="18" t="e">
        <f t="shared" si="10"/>
        <v>#VALUE!</v>
      </c>
      <c r="Q346" s="22" t="e">
        <f t="shared" si="11"/>
        <v>#VALUE!</v>
      </c>
      <c r="R346" s="23"/>
    </row>
    <row r="347" spans="1:18" ht="12.75">
      <c r="A347" s="22">
        <v>46086</v>
      </c>
      <c r="B347" s="23" t="s">
        <v>814</v>
      </c>
      <c r="C347" s="23" t="s">
        <v>822</v>
      </c>
      <c r="D347" s="19"/>
      <c r="E347" s="23" t="s">
        <v>24</v>
      </c>
      <c r="G347" s="23" t="s">
        <v>16</v>
      </c>
      <c r="H347" s="18">
        <f>IF(G347="","",VALUE(SUBSTITUTE(VLOOKUP(G347,'Controle GEral'!F:G,2,FALSE),"R$ ", "")))</f>
        <v>45</v>
      </c>
      <c r="I347" s="23"/>
      <c r="J347" s="18" t="str">
        <f>IF(I347="","",VALUE(SUBSTITUTE(VLOOKUP(I347,'Controle GEral'!H:I,2,FALSE),"R$ ", "")))</f>
        <v/>
      </c>
      <c r="K347" s="23" t="s">
        <v>18</v>
      </c>
      <c r="L347" s="23" t="s">
        <v>34</v>
      </c>
      <c r="M347" s="17"/>
      <c r="N347" s="16"/>
      <c r="O347" s="17"/>
      <c r="P347" s="18" t="e">
        <f t="shared" si="10"/>
        <v>#VALUE!</v>
      </c>
      <c r="Q347" s="22" t="e">
        <f t="shared" si="11"/>
        <v>#VALUE!</v>
      </c>
      <c r="R347" s="23"/>
    </row>
    <row r="348" spans="1:18" ht="12.75">
      <c r="A348" s="22">
        <v>46086</v>
      </c>
      <c r="B348" s="23" t="s">
        <v>812</v>
      </c>
      <c r="C348" s="23" t="s">
        <v>646</v>
      </c>
      <c r="D348" s="19"/>
      <c r="E348" s="23" t="s">
        <v>24</v>
      </c>
      <c r="G348" s="23"/>
      <c r="H348" s="18" t="str">
        <f>IF(G348="","",VALUE(SUBSTITUTE(VLOOKUP(G348,'Controle GEral'!F:G,2,FALSE),"R$ ", "")))</f>
        <v/>
      </c>
      <c r="I348" s="23"/>
      <c r="J348" s="18" t="str">
        <f>IF(I348="","",VALUE(SUBSTITUTE(VLOOKUP(I348,'Controle GEral'!H:I,2,FALSE),"R$ ", "")))</f>
        <v/>
      </c>
      <c r="K348" s="23"/>
      <c r="L348" s="23"/>
      <c r="M348" s="17"/>
      <c r="N348" s="16"/>
      <c r="O348" s="17"/>
      <c r="P348" s="18" t="e">
        <f t="shared" si="10"/>
        <v>#VALUE!</v>
      </c>
      <c r="Q348" s="22" t="e">
        <f t="shared" si="11"/>
        <v>#VALUE!</v>
      </c>
      <c r="R348" s="23"/>
    </row>
    <row r="349" spans="1:18" ht="12.75">
      <c r="A349" s="22">
        <v>46086</v>
      </c>
      <c r="B349" s="23" t="s">
        <v>812</v>
      </c>
      <c r="C349" s="23" t="s">
        <v>652</v>
      </c>
      <c r="D349" s="19"/>
      <c r="E349" s="23" t="s">
        <v>24</v>
      </c>
      <c r="G349" s="23" t="s">
        <v>38</v>
      </c>
      <c r="H349" s="18">
        <f>IF(G349="","",VALUE(SUBSTITUTE(VLOOKUP(G349,'Controle GEral'!F:G,2,FALSE),"R$ ", "")))</f>
        <v>70</v>
      </c>
      <c r="I349" s="23"/>
      <c r="J349" s="18" t="str">
        <f>IF(I349="","",VALUE(SUBSTITUTE(VLOOKUP(I349,'Controle GEral'!H:I,2,FALSE),"R$ ", "")))</f>
        <v/>
      </c>
      <c r="K349" s="23" t="s">
        <v>18</v>
      </c>
      <c r="L349" s="23" t="s">
        <v>34</v>
      </c>
      <c r="M349" s="17"/>
      <c r="N349" s="16"/>
      <c r="O349" s="17"/>
      <c r="P349" s="18" t="e">
        <f t="shared" si="10"/>
        <v>#VALUE!</v>
      </c>
      <c r="Q349" s="22" t="e">
        <f t="shared" si="11"/>
        <v>#VALUE!</v>
      </c>
      <c r="R349" s="23"/>
    </row>
    <row r="350" spans="1:18" ht="12.75">
      <c r="A350" s="22">
        <v>46086</v>
      </c>
      <c r="B350" s="23" t="s">
        <v>812</v>
      </c>
      <c r="C350" s="23" t="s">
        <v>663</v>
      </c>
      <c r="D350" s="19"/>
      <c r="E350" s="23" t="s">
        <v>24</v>
      </c>
      <c r="G350" s="23" t="s">
        <v>16</v>
      </c>
      <c r="H350" s="18">
        <f>IF(G350="","",VALUE(SUBSTITUTE(VLOOKUP(G350,'Controle GEral'!F:G,2,FALSE),"R$ ", "")))</f>
        <v>45</v>
      </c>
      <c r="I350" s="23"/>
      <c r="J350" s="18" t="str">
        <f>IF(I350="","",VALUE(SUBSTITUTE(VLOOKUP(I350,'Controle GEral'!H:I,2,FALSE),"R$ ", "")))</f>
        <v/>
      </c>
      <c r="K350" s="23" t="s">
        <v>18</v>
      </c>
      <c r="L350" s="23" t="s">
        <v>34</v>
      </c>
      <c r="N350" s="16"/>
      <c r="O350" s="17"/>
      <c r="P350" s="18" t="e">
        <f t="shared" si="10"/>
        <v>#VALUE!</v>
      </c>
      <c r="Q350" s="22" t="e">
        <f t="shared" si="11"/>
        <v>#VALUE!</v>
      </c>
      <c r="R350" s="23"/>
    </row>
    <row r="351" spans="1:18" ht="12.75">
      <c r="A351" s="22">
        <v>46086</v>
      </c>
      <c r="B351" s="23" t="s">
        <v>812</v>
      </c>
      <c r="C351" s="23" t="s">
        <v>823</v>
      </c>
      <c r="D351" s="19"/>
      <c r="E351" s="23" t="s">
        <v>24</v>
      </c>
      <c r="G351" s="23" t="s">
        <v>16</v>
      </c>
      <c r="H351" s="18">
        <f>IF(G351="","",VALUE(SUBSTITUTE(VLOOKUP(G351,'Controle GEral'!F:G,2,FALSE),"R$ ", "")))</f>
        <v>45</v>
      </c>
      <c r="I351" s="23"/>
      <c r="J351" s="18" t="str">
        <f>IF(I351="","",VALUE(SUBSTITUTE(VLOOKUP(I351,'Controle GEral'!H:I,2,FALSE),"R$ ", "")))</f>
        <v/>
      </c>
      <c r="K351" s="23" t="s">
        <v>18</v>
      </c>
      <c r="L351" s="23" t="s">
        <v>34</v>
      </c>
      <c r="N351" s="16"/>
      <c r="O351" s="17"/>
      <c r="P351" s="18" t="e">
        <f t="shared" si="10"/>
        <v>#VALUE!</v>
      </c>
      <c r="Q351" s="22" t="e">
        <f t="shared" si="11"/>
        <v>#VALUE!</v>
      </c>
      <c r="R351" s="23"/>
    </row>
    <row r="352" spans="1:18" ht="12.75">
      <c r="A352" s="22">
        <v>46086</v>
      </c>
      <c r="B352" s="23" t="s">
        <v>812</v>
      </c>
      <c r="C352" s="23" t="s">
        <v>664</v>
      </c>
      <c r="D352" s="19"/>
      <c r="E352" s="23" t="s">
        <v>24</v>
      </c>
      <c r="G352" s="23" t="s">
        <v>38</v>
      </c>
      <c r="H352" s="18">
        <f>IF(G352="","",VALUE(SUBSTITUTE(VLOOKUP(G352,'Controle GEral'!F:G,2,FALSE),"R$ ", "")))</f>
        <v>70</v>
      </c>
      <c r="I352" s="23"/>
      <c r="J352" s="18" t="str">
        <f>IF(I352="","",VALUE(SUBSTITUTE(VLOOKUP(I352,'Controle GEral'!H:I,2,FALSE),"R$ ", "")))</f>
        <v/>
      </c>
      <c r="K352" s="23" t="s">
        <v>18</v>
      </c>
      <c r="L352" s="23" t="s">
        <v>34</v>
      </c>
      <c r="N352" s="16"/>
      <c r="O352" s="17"/>
      <c r="P352" s="18" t="e">
        <f t="shared" si="10"/>
        <v>#VALUE!</v>
      </c>
      <c r="Q352" s="22" t="e">
        <f t="shared" si="11"/>
        <v>#VALUE!</v>
      </c>
      <c r="R352" s="23"/>
    </row>
    <row r="353" spans="1:18" ht="12.75">
      <c r="A353" s="22">
        <v>46086</v>
      </c>
      <c r="B353" s="23" t="s">
        <v>812</v>
      </c>
      <c r="C353" s="23" t="s">
        <v>824</v>
      </c>
      <c r="D353" s="19"/>
      <c r="E353" s="23" t="s">
        <v>24</v>
      </c>
      <c r="G353" s="23" t="s">
        <v>16</v>
      </c>
      <c r="H353" s="18">
        <f>IF(G353="","",VALUE(SUBSTITUTE(VLOOKUP(G353,'Controle GEral'!F:G,2,FALSE),"R$ ", "")))</f>
        <v>45</v>
      </c>
      <c r="I353" s="23"/>
      <c r="J353" s="18" t="str">
        <f>IF(I353="","",VALUE(SUBSTITUTE(VLOOKUP(I353,'Controle GEral'!H:I,2,FALSE),"R$ ", "")))</f>
        <v/>
      </c>
      <c r="K353" s="23" t="s">
        <v>18</v>
      </c>
      <c r="L353" s="23" t="s">
        <v>34</v>
      </c>
      <c r="N353" s="16"/>
      <c r="O353" s="17"/>
      <c r="P353" s="18" t="e">
        <f t="shared" si="10"/>
        <v>#VALUE!</v>
      </c>
      <c r="Q353" s="22" t="e">
        <f t="shared" si="11"/>
        <v>#VALUE!</v>
      </c>
      <c r="R353" s="23"/>
    </row>
    <row r="354" spans="1:18" ht="12.75">
      <c r="A354" s="22">
        <v>46086</v>
      </c>
      <c r="B354" s="23" t="s">
        <v>814</v>
      </c>
      <c r="C354" s="23" t="s">
        <v>825</v>
      </c>
      <c r="D354" s="19"/>
      <c r="E354" s="23" t="s">
        <v>24</v>
      </c>
      <c r="G354" s="23" t="s">
        <v>38</v>
      </c>
      <c r="H354" s="18">
        <f>IF(G354="","",VALUE(SUBSTITUTE(VLOOKUP(G354,'Controle GEral'!F:G,2,FALSE),"R$ ", "")))</f>
        <v>70</v>
      </c>
      <c r="I354" s="23"/>
      <c r="J354" s="18" t="str">
        <f>IF(I354="","",VALUE(SUBSTITUTE(VLOOKUP(I354,'Controle GEral'!H:I,2,FALSE),"R$ ", "")))</f>
        <v/>
      </c>
      <c r="K354" s="23" t="s">
        <v>18</v>
      </c>
      <c r="L354" s="23" t="s">
        <v>34</v>
      </c>
      <c r="N354" s="16"/>
      <c r="O354" s="17"/>
      <c r="P354" s="18" t="e">
        <f t="shared" si="10"/>
        <v>#VALUE!</v>
      </c>
      <c r="Q354" s="22" t="e">
        <f t="shared" si="11"/>
        <v>#VALUE!</v>
      </c>
      <c r="R354" s="23"/>
    </row>
    <row r="355" spans="1:18" ht="12.75">
      <c r="A355" s="22">
        <v>46086</v>
      </c>
      <c r="B355" s="23" t="s">
        <v>814</v>
      </c>
      <c r="C355" s="23" t="s">
        <v>595</v>
      </c>
      <c r="D355" s="19"/>
      <c r="E355" s="23" t="s">
        <v>24</v>
      </c>
      <c r="G355" s="23" t="s">
        <v>16</v>
      </c>
      <c r="H355" s="18">
        <f>IF(G355="","",VALUE(SUBSTITUTE(VLOOKUP(G355,'Controle GEral'!F:G,2,FALSE),"R$ ", "")))</f>
        <v>45</v>
      </c>
      <c r="I355" s="23"/>
      <c r="J355" s="18" t="str">
        <f>IF(I355="","",VALUE(SUBSTITUTE(VLOOKUP(I355,'Controle GEral'!H:I,2,FALSE),"R$ ", "")))</f>
        <v/>
      </c>
      <c r="K355" s="23" t="s">
        <v>18</v>
      </c>
      <c r="L355" s="23" t="s">
        <v>34</v>
      </c>
      <c r="N355" s="16"/>
      <c r="O355" s="17"/>
      <c r="P355" s="18" t="e">
        <f t="shared" si="10"/>
        <v>#VALUE!</v>
      </c>
      <c r="Q355" s="22" t="e">
        <f t="shared" si="11"/>
        <v>#VALUE!</v>
      </c>
      <c r="R355" s="23"/>
    </row>
    <row r="356" spans="1:18" ht="12.75">
      <c r="A356" s="22">
        <v>46086</v>
      </c>
      <c r="B356" s="23" t="s">
        <v>814</v>
      </c>
      <c r="C356" s="23" t="s">
        <v>826</v>
      </c>
      <c r="D356" s="19"/>
      <c r="E356" s="23" t="s">
        <v>15</v>
      </c>
      <c r="G356" s="23" t="s">
        <v>16</v>
      </c>
      <c r="H356" s="18">
        <f>IF(G356="","",VALUE(SUBSTITUTE(VLOOKUP(G356,'Controle GEral'!F:G,2,FALSE),"R$ ", "")))</f>
        <v>45</v>
      </c>
      <c r="I356" s="23"/>
      <c r="J356" s="18" t="str">
        <f>IF(I356="","",VALUE(SUBSTITUTE(VLOOKUP(I356,'Controle GEral'!H:I,2,FALSE),"R$ ", "")))</f>
        <v/>
      </c>
      <c r="K356" s="23"/>
      <c r="L356" s="23"/>
      <c r="N356" s="16"/>
      <c r="O356" s="17"/>
      <c r="P356" s="18" t="e">
        <f t="shared" si="10"/>
        <v>#VALUE!</v>
      </c>
      <c r="Q356" s="22" t="e">
        <f t="shared" si="11"/>
        <v>#VALUE!</v>
      </c>
      <c r="R356" s="23"/>
    </row>
    <row r="357" spans="1:18" ht="12.75">
      <c r="A357" s="22">
        <v>46086</v>
      </c>
      <c r="B357" s="23" t="s">
        <v>814</v>
      </c>
      <c r="C357" s="23" t="s">
        <v>642</v>
      </c>
      <c r="D357" s="19"/>
      <c r="E357" s="23" t="s">
        <v>24</v>
      </c>
      <c r="G357" s="23" t="s">
        <v>32</v>
      </c>
      <c r="H357" s="18">
        <f>IF(G357="","",VALUE(SUBSTITUTE(VLOOKUP(G357,'Controle GEral'!F:G,2,FALSE),"R$ ", "")))</f>
        <v>35</v>
      </c>
      <c r="I357" s="23"/>
      <c r="J357" s="18" t="str">
        <f>IF(I357="","",VALUE(SUBSTITUTE(VLOOKUP(I357,'Controle GEral'!H:I,2,FALSE),"R$ ", "")))</f>
        <v/>
      </c>
      <c r="K357" s="23" t="s">
        <v>18</v>
      </c>
      <c r="L357" s="23" t="s">
        <v>34</v>
      </c>
      <c r="N357" s="16"/>
      <c r="O357" s="17"/>
      <c r="P357" s="18" t="e">
        <f t="shared" si="10"/>
        <v>#VALUE!</v>
      </c>
      <c r="Q357" s="22" t="e">
        <f t="shared" si="11"/>
        <v>#VALUE!</v>
      </c>
      <c r="R357" s="23"/>
    </row>
    <row r="358" spans="1:18" ht="12.75">
      <c r="A358" s="22">
        <v>46086</v>
      </c>
      <c r="B358" s="23" t="s">
        <v>814</v>
      </c>
      <c r="C358" s="23" t="s">
        <v>827</v>
      </c>
      <c r="D358" s="19"/>
      <c r="E358" s="23" t="s">
        <v>24</v>
      </c>
      <c r="G358" s="23" t="s">
        <v>16</v>
      </c>
      <c r="H358" s="18">
        <f>IF(G358="","",VALUE(SUBSTITUTE(VLOOKUP(G358,'Controle GEral'!F:G,2,FALSE),"R$ ", "")))</f>
        <v>45</v>
      </c>
      <c r="I358" s="23"/>
      <c r="J358" s="18" t="str">
        <f>IF(I358="","",VALUE(SUBSTITUTE(VLOOKUP(I358,'Controle GEral'!H:I,2,FALSE),"R$ ", "")))</f>
        <v/>
      </c>
      <c r="K358" s="23" t="s">
        <v>18</v>
      </c>
      <c r="L358" s="23" t="s">
        <v>34</v>
      </c>
      <c r="N358" s="16"/>
      <c r="O358" s="17"/>
      <c r="P358" s="18" t="e">
        <f t="shared" si="10"/>
        <v>#VALUE!</v>
      </c>
      <c r="Q358" s="22" t="e">
        <f t="shared" si="11"/>
        <v>#VALUE!</v>
      </c>
      <c r="R358" s="23"/>
    </row>
    <row r="359" spans="1:18" ht="12.75">
      <c r="A359" s="22">
        <v>46087</v>
      </c>
      <c r="B359" s="23" t="s">
        <v>812</v>
      </c>
      <c r="C359" s="23" t="s">
        <v>752</v>
      </c>
      <c r="D359" s="19"/>
      <c r="E359" s="23" t="s">
        <v>24</v>
      </c>
      <c r="G359" s="23" t="s">
        <v>16</v>
      </c>
      <c r="H359" s="18">
        <f>IF(G359="","",VALUE(SUBSTITUTE(VLOOKUP(G359,'Controle GEral'!F:G,2,FALSE),"R$ ", "")))</f>
        <v>45</v>
      </c>
      <c r="I359" s="23" t="s">
        <v>21</v>
      </c>
      <c r="J359" s="18">
        <f>IF(I359="","",VALUE(SUBSTITUTE(VLOOKUP(I359,'Controle GEral'!H:I,2,FALSE),"R$ ", "")))</f>
        <v>10</v>
      </c>
      <c r="K359" s="23" t="s">
        <v>18</v>
      </c>
      <c r="L359" s="23" t="s">
        <v>19</v>
      </c>
      <c r="N359" s="16"/>
      <c r="O359" s="17"/>
      <c r="P359" s="18">
        <f t="shared" si="10"/>
        <v>55</v>
      </c>
      <c r="Q359" s="22" t="e">
        <f t="shared" si="11"/>
        <v>#VALUE!</v>
      </c>
      <c r="R359" s="23"/>
    </row>
    <row r="360" spans="1:18" ht="12.75">
      <c r="A360" s="22">
        <v>46087</v>
      </c>
      <c r="B360" s="23" t="s">
        <v>812</v>
      </c>
      <c r="C360" s="23" t="s">
        <v>598</v>
      </c>
      <c r="D360" s="19"/>
      <c r="E360" s="23" t="s">
        <v>24</v>
      </c>
      <c r="G360" s="23"/>
      <c r="H360" s="18" t="str">
        <f>IF(G360="","",VALUE(SUBSTITUTE(VLOOKUP(G360,'Controle GEral'!F:G,2,FALSE),"R$ ", "")))</f>
        <v/>
      </c>
      <c r="I360" s="23"/>
      <c r="J360" s="18" t="str">
        <f>IF(I360="","",VALUE(SUBSTITUTE(VLOOKUP(I360,'Controle GEral'!H:I,2,FALSE),"R$ ", "")))</f>
        <v/>
      </c>
      <c r="K360" s="23"/>
      <c r="L360" s="23"/>
      <c r="N360" s="16"/>
      <c r="O360" s="17"/>
      <c r="P360" s="18" t="e">
        <f t="shared" si="10"/>
        <v>#VALUE!</v>
      </c>
      <c r="Q360" s="22" t="e">
        <f t="shared" si="11"/>
        <v>#VALUE!</v>
      </c>
      <c r="R360" s="23"/>
    </row>
    <row r="361" spans="1:18" ht="12.75">
      <c r="A361" s="22">
        <v>46087</v>
      </c>
      <c r="B361" s="23" t="s">
        <v>812</v>
      </c>
      <c r="C361" s="23" t="s">
        <v>653</v>
      </c>
      <c r="D361" s="19"/>
      <c r="E361" s="23" t="s">
        <v>24</v>
      </c>
      <c r="G361" s="23" t="s">
        <v>16</v>
      </c>
      <c r="H361" s="18">
        <f>IF(G361="","",VALUE(SUBSTITUTE(VLOOKUP(G361,'Controle GEral'!F:G,2,FALSE),"R$ ", "")))</f>
        <v>45</v>
      </c>
      <c r="I361" s="23"/>
      <c r="J361" s="18" t="str">
        <f>IF(I361="","",VALUE(SUBSTITUTE(VLOOKUP(I361,'Controle GEral'!H:I,2,FALSE),"R$ ", "")))</f>
        <v/>
      </c>
      <c r="K361" s="23" t="s">
        <v>18</v>
      </c>
      <c r="L361" s="23" t="s">
        <v>34</v>
      </c>
      <c r="N361" s="16"/>
      <c r="O361" s="17"/>
      <c r="P361" s="18" t="e">
        <f t="shared" si="10"/>
        <v>#VALUE!</v>
      </c>
      <c r="Q361" s="22" t="e">
        <f t="shared" si="11"/>
        <v>#VALUE!</v>
      </c>
      <c r="R361" s="23"/>
    </row>
    <row r="362" spans="1:18" ht="12.75">
      <c r="A362" s="22">
        <v>46087</v>
      </c>
      <c r="B362" s="23" t="s">
        <v>812</v>
      </c>
      <c r="C362" s="23" t="s">
        <v>828</v>
      </c>
      <c r="D362" s="19"/>
      <c r="E362" s="23" t="s">
        <v>24</v>
      </c>
      <c r="G362" s="23" t="s">
        <v>38</v>
      </c>
      <c r="H362" s="18">
        <f>IF(G362="","",VALUE(SUBSTITUTE(VLOOKUP(G362,'Controle GEral'!F:G,2,FALSE),"R$ ", "")))</f>
        <v>70</v>
      </c>
      <c r="I362" s="23"/>
      <c r="J362" s="18" t="str">
        <f>IF(I362="","",VALUE(SUBSTITUTE(VLOOKUP(I362,'Controle GEral'!H:I,2,FALSE),"R$ ", "")))</f>
        <v/>
      </c>
      <c r="K362" s="23" t="s">
        <v>18</v>
      </c>
      <c r="L362" s="23" t="s">
        <v>34</v>
      </c>
      <c r="N362" s="16"/>
      <c r="O362" s="17"/>
      <c r="P362" s="18" t="e">
        <f t="shared" si="10"/>
        <v>#VALUE!</v>
      </c>
      <c r="Q362" s="22" t="e">
        <f t="shared" si="11"/>
        <v>#VALUE!</v>
      </c>
      <c r="R362" s="23"/>
    </row>
    <row r="363" spans="1:18" ht="12.75">
      <c r="A363" s="22">
        <v>46087</v>
      </c>
      <c r="B363" s="23" t="s">
        <v>812</v>
      </c>
      <c r="C363" s="23" t="s">
        <v>829</v>
      </c>
      <c r="D363" s="19"/>
      <c r="E363" s="23" t="s">
        <v>24</v>
      </c>
      <c r="G363" s="23"/>
      <c r="H363" s="18" t="str">
        <f>IF(G363="","",VALUE(SUBSTITUTE(VLOOKUP(G363,'Controle GEral'!F:G,2,FALSE),"R$ ", "")))</f>
        <v/>
      </c>
      <c r="I363" s="23"/>
      <c r="J363" s="18" t="str">
        <f>IF(I363="","",VALUE(SUBSTITUTE(VLOOKUP(I363,'Controle GEral'!H:I,2,FALSE),"R$ ", "")))</f>
        <v/>
      </c>
      <c r="K363" s="23"/>
      <c r="L363" s="23"/>
      <c r="N363" s="16"/>
      <c r="O363" s="17"/>
      <c r="P363" s="18" t="e">
        <f t="shared" si="10"/>
        <v>#VALUE!</v>
      </c>
      <c r="Q363" s="22" t="e">
        <f t="shared" si="11"/>
        <v>#VALUE!</v>
      </c>
      <c r="R363" s="23"/>
    </row>
    <row r="364" spans="1:18" ht="12.75">
      <c r="A364" s="22">
        <v>46087</v>
      </c>
      <c r="B364" s="23" t="s">
        <v>812</v>
      </c>
      <c r="C364" s="23" t="s">
        <v>569</v>
      </c>
      <c r="D364" s="19"/>
      <c r="E364" s="23" t="s">
        <v>24</v>
      </c>
      <c r="G364" s="23"/>
      <c r="H364" s="18" t="str">
        <f>IF(G364="","",VALUE(SUBSTITUTE(VLOOKUP(G364,'Controle GEral'!F:G,2,FALSE),"R$ ", "")))</f>
        <v/>
      </c>
      <c r="I364" s="23"/>
      <c r="J364" s="18" t="str">
        <f>IF(I364="","",VALUE(SUBSTITUTE(VLOOKUP(I364,'Controle GEral'!H:I,2,FALSE),"R$ ", "")))</f>
        <v/>
      </c>
      <c r="K364" s="23"/>
      <c r="L364" s="23"/>
      <c r="N364" s="16"/>
      <c r="O364" s="17"/>
      <c r="P364" s="18" t="e">
        <f t="shared" si="10"/>
        <v>#VALUE!</v>
      </c>
      <c r="Q364" s="22" t="e">
        <f t="shared" si="11"/>
        <v>#VALUE!</v>
      </c>
      <c r="R364" s="23"/>
    </row>
    <row r="365" spans="1:18" ht="12.75">
      <c r="A365" s="22">
        <v>46087</v>
      </c>
      <c r="B365" s="23" t="s">
        <v>830</v>
      </c>
      <c r="C365" s="23" t="s">
        <v>599</v>
      </c>
      <c r="D365" s="19"/>
      <c r="E365" s="23" t="s">
        <v>24</v>
      </c>
      <c r="G365" s="23" t="s">
        <v>32</v>
      </c>
      <c r="H365" s="18">
        <f>IF(G365="","",VALUE(SUBSTITUTE(VLOOKUP(G365,'Controle GEral'!F:G,2,FALSE),"R$ ", "")))</f>
        <v>35</v>
      </c>
      <c r="I365" s="23"/>
      <c r="J365" s="18" t="str">
        <f>IF(I365="","",VALUE(SUBSTITUTE(VLOOKUP(I365,'Controle GEral'!H:I,2,FALSE),"R$ ", "")))</f>
        <v/>
      </c>
      <c r="K365" s="23" t="s">
        <v>18</v>
      </c>
      <c r="L365" s="23" t="s">
        <v>34</v>
      </c>
      <c r="N365" s="16"/>
      <c r="O365" s="17"/>
      <c r="P365" s="18" t="e">
        <f t="shared" si="10"/>
        <v>#VALUE!</v>
      </c>
      <c r="Q365" s="22" t="e">
        <f t="shared" si="11"/>
        <v>#VALUE!</v>
      </c>
      <c r="R365" s="23"/>
    </row>
    <row r="366" spans="1:18" ht="12.75">
      <c r="A366" s="22">
        <v>46087</v>
      </c>
      <c r="B366" s="23" t="s">
        <v>812</v>
      </c>
      <c r="C366" s="23" t="s">
        <v>566</v>
      </c>
      <c r="D366" s="19"/>
      <c r="E366" s="23" t="s">
        <v>24</v>
      </c>
      <c r="G366" s="23"/>
      <c r="H366" s="18" t="str">
        <f>IF(G366="","",VALUE(SUBSTITUTE(VLOOKUP(G366,'Controle GEral'!F:G,2,FALSE),"R$ ", "")))</f>
        <v/>
      </c>
      <c r="I366" s="23"/>
      <c r="J366" s="18" t="str">
        <f>IF(I366="","",VALUE(SUBSTITUTE(VLOOKUP(I366,'Controle GEral'!H:I,2,FALSE),"R$ ", "")))</f>
        <v/>
      </c>
      <c r="K366" s="23"/>
      <c r="L366" s="23"/>
      <c r="N366" s="16"/>
      <c r="O366" s="17"/>
      <c r="P366" s="18" t="e">
        <f t="shared" si="10"/>
        <v>#VALUE!</v>
      </c>
      <c r="Q366" s="22" t="e">
        <f t="shared" si="11"/>
        <v>#VALUE!</v>
      </c>
      <c r="R366" s="23"/>
    </row>
    <row r="367" spans="1:18" ht="12.75">
      <c r="A367" s="22">
        <v>46087</v>
      </c>
      <c r="B367" s="23" t="s">
        <v>812</v>
      </c>
      <c r="C367" s="23" t="s">
        <v>604</v>
      </c>
      <c r="D367" s="19"/>
      <c r="E367" s="23" t="s">
        <v>24</v>
      </c>
      <c r="G367" s="23" t="s">
        <v>32</v>
      </c>
      <c r="H367" s="18">
        <f>IF(G367="","",VALUE(SUBSTITUTE(VLOOKUP(G367,'Controle GEral'!F:G,2,FALSE),"R$ ", "")))</f>
        <v>35</v>
      </c>
      <c r="I367" s="23"/>
      <c r="J367" s="18" t="str">
        <f>IF(I367="","",VALUE(SUBSTITUTE(VLOOKUP(I367,'Controle GEral'!H:I,2,FALSE),"R$ ", "")))</f>
        <v/>
      </c>
      <c r="K367" s="23" t="s">
        <v>18</v>
      </c>
      <c r="L367" s="23" t="s">
        <v>28</v>
      </c>
      <c r="N367" s="16"/>
      <c r="O367" s="17"/>
      <c r="P367" s="18" t="e">
        <f t="shared" si="10"/>
        <v>#VALUE!</v>
      </c>
      <c r="Q367" s="22" t="e">
        <f t="shared" si="11"/>
        <v>#VALUE!</v>
      </c>
      <c r="R367" s="23"/>
    </row>
    <row r="368" spans="1:18" ht="12.75">
      <c r="A368" s="22">
        <v>46087</v>
      </c>
      <c r="B368" s="23" t="s">
        <v>812</v>
      </c>
      <c r="C368" s="23" t="s">
        <v>831</v>
      </c>
      <c r="D368" s="19"/>
      <c r="E368" s="23" t="s">
        <v>24</v>
      </c>
      <c r="G368" s="23" t="s">
        <v>16</v>
      </c>
      <c r="H368" s="18">
        <f>IF(G368="","",VALUE(SUBSTITUTE(VLOOKUP(G368,'Controle GEral'!F:G,2,FALSE),"R$ ", "")))</f>
        <v>45</v>
      </c>
      <c r="I368" s="23"/>
      <c r="J368" s="18" t="str">
        <f>IF(I368="","",VALUE(SUBSTITUTE(VLOOKUP(I368,'Controle GEral'!H:I,2,FALSE),"R$ ", "")))</f>
        <v/>
      </c>
      <c r="K368" s="23" t="s">
        <v>18</v>
      </c>
      <c r="L368" s="23" t="s">
        <v>39</v>
      </c>
      <c r="N368" s="16"/>
      <c r="O368" s="17"/>
      <c r="P368" s="18" t="e">
        <f t="shared" si="10"/>
        <v>#VALUE!</v>
      </c>
      <c r="Q368" s="22" t="e">
        <f t="shared" si="11"/>
        <v>#VALUE!</v>
      </c>
      <c r="R368" s="23"/>
    </row>
    <row r="369" spans="1:18" ht="12.75">
      <c r="A369" s="22">
        <v>46087</v>
      </c>
      <c r="B369" s="23" t="s">
        <v>812</v>
      </c>
      <c r="C369" s="23" t="s">
        <v>832</v>
      </c>
      <c r="D369" s="19"/>
      <c r="E369" s="23" t="s">
        <v>24</v>
      </c>
      <c r="G369" s="23" t="s">
        <v>16</v>
      </c>
      <c r="H369" s="18">
        <f>IF(G369="","",VALUE(SUBSTITUTE(VLOOKUP(G369,'Controle GEral'!F:G,2,FALSE),"R$ ", "")))</f>
        <v>45</v>
      </c>
      <c r="I369" s="23"/>
      <c r="J369" s="18" t="str">
        <f>IF(I369="","",VALUE(SUBSTITUTE(VLOOKUP(I369,'Controle GEral'!H:I,2,FALSE),"R$ ", "")))</f>
        <v/>
      </c>
      <c r="K369" s="23" t="s">
        <v>18</v>
      </c>
      <c r="L369" s="23" t="s">
        <v>28</v>
      </c>
      <c r="N369" s="16"/>
      <c r="O369" s="17"/>
      <c r="P369" s="18" t="e">
        <f t="shared" si="10"/>
        <v>#VALUE!</v>
      </c>
      <c r="Q369" s="22" t="e">
        <f t="shared" si="11"/>
        <v>#VALUE!</v>
      </c>
      <c r="R369" s="23"/>
    </row>
    <row r="370" spans="1:18" ht="12.75">
      <c r="A370" s="22">
        <v>46087</v>
      </c>
      <c r="B370" s="23" t="s">
        <v>814</v>
      </c>
      <c r="C370" s="23" t="s">
        <v>725</v>
      </c>
      <c r="D370" s="19"/>
      <c r="E370" s="23" t="s">
        <v>24</v>
      </c>
      <c r="G370" s="23"/>
      <c r="H370" s="18" t="str">
        <f>IF(G370="","",VALUE(SUBSTITUTE(VLOOKUP(G370,'Controle GEral'!F:G,2,FALSE),"R$ ", "")))</f>
        <v/>
      </c>
      <c r="I370" s="23"/>
      <c r="J370" s="18" t="str">
        <f>IF(I370="","",VALUE(SUBSTITUTE(VLOOKUP(I370,'Controle GEral'!H:I,2,FALSE),"R$ ", "")))</f>
        <v/>
      </c>
      <c r="K370" s="23"/>
      <c r="L370" s="23"/>
      <c r="N370" s="16"/>
      <c r="O370" s="17"/>
      <c r="P370" s="18" t="e">
        <f t="shared" si="10"/>
        <v>#VALUE!</v>
      </c>
      <c r="Q370" s="22" t="e">
        <f t="shared" si="11"/>
        <v>#VALUE!</v>
      </c>
      <c r="R370" s="23"/>
    </row>
    <row r="371" spans="1:18" ht="12.75">
      <c r="A371" s="22">
        <v>46087</v>
      </c>
      <c r="B371" s="23" t="s">
        <v>814</v>
      </c>
      <c r="C371" s="23" t="s">
        <v>755</v>
      </c>
      <c r="D371" s="19"/>
      <c r="E371" s="23" t="s">
        <v>24</v>
      </c>
      <c r="G371" s="23" t="s">
        <v>16</v>
      </c>
      <c r="H371" s="18">
        <f>IF(G371="","",VALUE(SUBSTITUTE(VLOOKUP(G371,'Controle GEral'!F:G,2,FALSE),"R$ ", "")))</f>
        <v>45</v>
      </c>
      <c r="I371" s="23"/>
      <c r="J371" s="18" t="str">
        <f>IF(I371="","",VALUE(SUBSTITUTE(VLOOKUP(I371,'Controle GEral'!H:I,2,FALSE),"R$ ", "")))</f>
        <v/>
      </c>
      <c r="K371" s="23" t="s">
        <v>18</v>
      </c>
      <c r="L371" s="23" t="s">
        <v>34</v>
      </c>
      <c r="N371" s="16"/>
      <c r="O371" s="17"/>
      <c r="P371" s="18" t="e">
        <f t="shared" si="10"/>
        <v>#VALUE!</v>
      </c>
      <c r="Q371" s="22" t="e">
        <f t="shared" si="11"/>
        <v>#VALUE!</v>
      </c>
      <c r="R371" s="23"/>
    </row>
    <row r="372" spans="1:18" ht="12.75">
      <c r="A372" s="22">
        <v>46087</v>
      </c>
      <c r="B372" s="23" t="s">
        <v>814</v>
      </c>
      <c r="C372" s="23" t="s">
        <v>705</v>
      </c>
      <c r="D372" s="19"/>
      <c r="E372" s="23" t="s">
        <v>24</v>
      </c>
      <c r="G372" s="23" t="s">
        <v>16</v>
      </c>
      <c r="H372" s="18">
        <f>IF(G372="","",VALUE(SUBSTITUTE(VLOOKUP(G372,'Controle GEral'!F:G,2,FALSE),"R$ ", "")))</f>
        <v>45</v>
      </c>
      <c r="I372" s="23" t="s">
        <v>21</v>
      </c>
      <c r="J372" s="18">
        <f>IF(I372="","",VALUE(SUBSTITUTE(VLOOKUP(I372,'Controle GEral'!H:I,2,FALSE),"R$ ", "")))</f>
        <v>10</v>
      </c>
      <c r="K372" s="23" t="s">
        <v>18</v>
      </c>
      <c r="L372" s="23" t="s">
        <v>34</v>
      </c>
      <c r="N372" s="16"/>
      <c r="O372" s="17"/>
      <c r="P372" s="18">
        <f t="shared" si="10"/>
        <v>55</v>
      </c>
      <c r="Q372" s="22" t="e">
        <f t="shared" si="11"/>
        <v>#VALUE!</v>
      </c>
      <c r="R372" s="23"/>
    </row>
    <row r="373" spans="1:18" ht="12.75">
      <c r="A373" s="22">
        <v>46087</v>
      </c>
      <c r="B373" s="23" t="s">
        <v>814</v>
      </c>
      <c r="C373" s="23" t="s">
        <v>833</v>
      </c>
      <c r="D373" s="19"/>
      <c r="E373" s="23" t="s">
        <v>24</v>
      </c>
      <c r="G373" s="23" t="s">
        <v>16</v>
      </c>
      <c r="H373" s="18">
        <f>IF(G373="","",VALUE(SUBSTITUTE(VLOOKUP(G373,'Controle GEral'!F:G,2,FALSE),"R$ ", "")))</f>
        <v>45</v>
      </c>
      <c r="I373" s="23"/>
      <c r="J373" s="18" t="str">
        <f>IF(I373="","",VALUE(SUBSTITUTE(VLOOKUP(I373,'Controle GEral'!H:I,2,FALSE),"R$ ", "")))</f>
        <v/>
      </c>
      <c r="K373" s="23" t="s">
        <v>18</v>
      </c>
      <c r="L373" s="23" t="s">
        <v>34</v>
      </c>
      <c r="N373" s="16"/>
      <c r="O373" s="17"/>
      <c r="P373" s="18" t="e">
        <f t="shared" si="10"/>
        <v>#VALUE!</v>
      </c>
      <c r="Q373" s="22" t="e">
        <f t="shared" si="11"/>
        <v>#VALUE!</v>
      </c>
      <c r="R373" s="23"/>
    </row>
    <row r="374" spans="1:18" ht="12.75">
      <c r="A374" s="22">
        <v>46087</v>
      </c>
      <c r="B374" s="23" t="s">
        <v>814</v>
      </c>
      <c r="C374" s="23" t="s">
        <v>606</v>
      </c>
      <c r="D374" s="19"/>
      <c r="E374" s="23" t="s">
        <v>24</v>
      </c>
      <c r="G374" s="23" t="s">
        <v>16</v>
      </c>
      <c r="H374" s="18">
        <f>IF(G374="","",VALUE(SUBSTITUTE(VLOOKUP(G374,'Controle GEral'!F:G,2,FALSE),"R$ ", "")))</f>
        <v>45</v>
      </c>
      <c r="I374" s="23"/>
      <c r="J374" s="18" t="str">
        <f>IF(I374="","",VALUE(SUBSTITUTE(VLOOKUP(I374,'Controle GEral'!H:I,2,FALSE),"R$ ", "")))</f>
        <v/>
      </c>
      <c r="K374" s="23" t="s">
        <v>18</v>
      </c>
      <c r="L374" s="23" t="s">
        <v>34</v>
      </c>
      <c r="N374" s="16"/>
      <c r="O374" s="17"/>
      <c r="P374" s="18" t="e">
        <f t="shared" si="10"/>
        <v>#VALUE!</v>
      </c>
      <c r="Q374" s="22" t="e">
        <f t="shared" si="11"/>
        <v>#VALUE!</v>
      </c>
      <c r="R374" s="23"/>
    </row>
    <row r="375" spans="1:18" ht="12.75">
      <c r="A375" s="22">
        <v>46087</v>
      </c>
      <c r="B375" s="23" t="s">
        <v>814</v>
      </c>
      <c r="C375" s="23" t="s">
        <v>669</v>
      </c>
      <c r="D375" s="19"/>
      <c r="E375" s="23" t="s">
        <v>24</v>
      </c>
      <c r="G375" s="23"/>
      <c r="H375" s="18" t="str">
        <f>IF(G375="","",VALUE(SUBSTITUTE(VLOOKUP(G375,'Controle GEral'!F:G,2,FALSE),"R$ ", "")))</f>
        <v/>
      </c>
      <c r="I375" s="23"/>
      <c r="J375" s="18" t="str">
        <f>IF(I375="","",VALUE(SUBSTITUTE(VLOOKUP(I375,'Controle GEral'!H:I,2,FALSE),"R$ ", "")))</f>
        <v/>
      </c>
      <c r="K375" s="23"/>
      <c r="L375" s="23"/>
      <c r="N375" s="16"/>
      <c r="O375" s="17"/>
      <c r="P375" s="18" t="e">
        <f t="shared" si="10"/>
        <v>#VALUE!</v>
      </c>
      <c r="Q375" s="22" t="e">
        <f t="shared" si="11"/>
        <v>#VALUE!</v>
      </c>
      <c r="R375" s="23"/>
    </row>
    <row r="376" spans="1:18" ht="12.75">
      <c r="A376" s="22">
        <v>46087</v>
      </c>
      <c r="B376" s="23" t="s">
        <v>814</v>
      </c>
      <c r="C376" s="23" t="s">
        <v>834</v>
      </c>
      <c r="D376" s="19"/>
      <c r="E376" s="23" t="s">
        <v>24</v>
      </c>
      <c r="G376" s="23" t="s">
        <v>16</v>
      </c>
      <c r="H376" s="18">
        <f>IF(G376="","",VALUE(SUBSTITUTE(VLOOKUP(G376,'Controle GEral'!F:G,2,FALSE),"R$ ", "")))</f>
        <v>45</v>
      </c>
      <c r="I376" s="23"/>
      <c r="J376" s="18" t="str">
        <f>IF(I376="","",VALUE(SUBSTITUTE(VLOOKUP(I376,'Controle GEral'!H:I,2,FALSE),"R$ ", "")))</f>
        <v/>
      </c>
      <c r="K376" s="23" t="s">
        <v>18</v>
      </c>
      <c r="L376" s="23" t="s">
        <v>34</v>
      </c>
      <c r="N376" s="16"/>
      <c r="O376" s="17"/>
      <c r="P376" s="18" t="e">
        <f t="shared" si="10"/>
        <v>#VALUE!</v>
      </c>
      <c r="Q376" s="22" t="e">
        <f t="shared" si="11"/>
        <v>#VALUE!</v>
      </c>
      <c r="R376" s="23"/>
    </row>
    <row r="377" spans="1:18" ht="12.75">
      <c r="A377" s="22">
        <v>46087</v>
      </c>
      <c r="B377" s="23" t="s">
        <v>814</v>
      </c>
      <c r="C377" s="23" t="s">
        <v>826</v>
      </c>
      <c r="D377" s="19"/>
      <c r="E377" s="23" t="s">
        <v>15</v>
      </c>
      <c r="G377" s="23" t="s">
        <v>25</v>
      </c>
      <c r="H377" s="18">
        <f>IF(G377="","",VALUE(SUBSTITUTE(VLOOKUP(G377,'Controle GEral'!F:G,2,FALSE),"R$ ", "")))</f>
        <v>80</v>
      </c>
      <c r="I377" s="23"/>
      <c r="J377" s="18" t="str">
        <f>IF(I377="","",VALUE(SUBSTITUTE(VLOOKUP(I377,'Controle GEral'!H:I,2,FALSE),"R$ ", "")))</f>
        <v/>
      </c>
      <c r="K377" s="23" t="s">
        <v>18</v>
      </c>
      <c r="L377" s="23" t="s">
        <v>34</v>
      </c>
      <c r="N377" s="16"/>
      <c r="O377" s="17"/>
      <c r="P377" s="18" t="e">
        <f t="shared" si="10"/>
        <v>#VALUE!</v>
      </c>
      <c r="Q377" s="22" t="e">
        <f t="shared" si="11"/>
        <v>#VALUE!</v>
      </c>
      <c r="R377" s="23"/>
    </row>
    <row r="378" spans="1:18" ht="12.75">
      <c r="A378" s="22">
        <v>46088</v>
      </c>
      <c r="B378" s="23" t="s">
        <v>814</v>
      </c>
      <c r="C378" s="23" t="s">
        <v>835</v>
      </c>
      <c r="D378" s="19"/>
      <c r="E378" s="23" t="s">
        <v>24</v>
      </c>
      <c r="G378" s="23" t="s">
        <v>16</v>
      </c>
      <c r="H378" s="18">
        <f>IF(G378="","",VALUE(SUBSTITUTE(VLOOKUP(G378,'Controle GEral'!F:G,2,FALSE),"R$ ", "")))</f>
        <v>45</v>
      </c>
      <c r="I378" s="23"/>
      <c r="J378" s="18" t="str">
        <f>IF(I378="","",VALUE(SUBSTITUTE(VLOOKUP(I378,'Controle GEral'!H:I,2,FALSE),"R$ ", "")))</f>
        <v/>
      </c>
      <c r="K378" s="23" t="s">
        <v>18</v>
      </c>
      <c r="L378" s="23" t="s">
        <v>28</v>
      </c>
      <c r="N378" s="16"/>
      <c r="O378" s="17"/>
      <c r="P378" s="18" t="e">
        <f t="shared" si="10"/>
        <v>#VALUE!</v>
      </c>
      <c r="Q378" s="22" t="e">
        <f t="shared" si="11"/>
        <v>#VALUE!</v>
      </c>
      <c r="R378" s="23"/>
    </row>
    <row r="379" spans="1:18" ht="12.75">
      <c r="A379" s="22">
        <v>46088</v>
      </c>
      <c r="B379" s="23" t="s">
        <v>814</v>
      </c>
      <c r="C379" s="23" t="s">
        <v>729</v>
      </c>
      <c r="D379" s="19"/>
      <c r="E379" s="23" t="s">
        <v>24</v>
      </c>
      <c r="G379" s="23" t="s">
        <v>16</v>
      </c>
      <c r="H379" s="18">
        <f>IF(G379="","",VALUE(SUBSTITUTE(VLOOKUP(G379,'Controle GEral'!F:G,2,FALSE),"R$ ", "")))</f>
        <v>45</v>
      </c>
      <c r="I379" s="23" t="s">
        <v>21</v>
      </c>
      <c r="J379" s="18">
        <f>IF(I379="","",VALUE(SUBSTITUTE(VLOOKUP(I379,'Controle GEral'!H:I,2,FALSE),"R$ ", "")))</f>
        <v>10</v>
      </c>
      <c r="K379" s="23" t="s">
        <v>18</v>
      </c>
      <c r="L379" s="23" t="s">
        <v>34</v>
      </c>
      <c r="N379" s="16"/>
      <c r="O379" s="17"/>
      <c r="P379" s="18">
        <f t="shared" si="10"/>
        <v>55</v>
      </c>
      <c r="Q379" s="22" t="e">
        <f t="shared" si="11"/>
        <v>#VALUE!</v>
      </c>
      <c r="R379" s="23"/>
    </row>
    <row r="380" spans="1:18" ht="12.75">
      <c r="A380" s="22">
        <v>46088</v>
      </c>
      <c r="B380" s="23" t="s">
        <v>814</v>
      </c>
      <c r="C380" s="23" t="s">
        <v>836</v>
      </c>
      <c r="D380" s="19"/>
      <c r="E380" s="23" t="s">
        <v>24</v>
      </c>
      <c r="G380" s="23" t="s">
        <v>16</v>
      </c>
      <c r="H380" s="18">
        <f>IF(G380="","",VALUE(SUBSTITUTE(VLOOKUP(G380,'Controle GEral'!F:G,2,FALSE),"R$ ", "")))</f>
        <v>45</v>
      </c>
      <c r="I380" s="23"/>
      <c r="J380" s="18" t="str">
        <f>IF(I380="","",VALUE(SUBSTITUTE(VLOOKUP(I380,'Controle GEral'!H:I,2,FALSE),"R$ ", "")))</f>
        <v/>
      </c>
      <c r="K380" s="23" t="s">
        <v>18</v>
      </c>
      <c r="L380" s="23" t="s">
        <v>34</v>
      </c>
      <c r="N380" s="16"/>
      <c r="O380" s="17"/>
      <c r="P380" s="18" t="e">
        <f t="shared" si="10"/>
        <v>#VALUE!</v>
      </c>
      <c r="Q380" s="22" t="e">
        <f t="shared" si="11"/>
        <v>#VALUE!</v>
      </c>
      <c r="R380" s="23"/>
    </row>
    <row r="381" spans="1:18" ht="12.75">
      <c r="A381" s="22">
        <v>46088</v>
      </c>
      <c r="B381" s="23" t="s">
        <v>814</v>
      </c>
      <c r="C381" s="23" t="s">
        <v>837</v>
      </c>
      <c r="D381" s="19"/>
      <c r="E381" s="23" t="s">
        <v>24</v>
      </c>
      <c r="G381" s="23" t="s">
        <v>16</v>
      </c>
      <c r="H381" s="18">
        <f>IF(G381="","",VALUE(SUBSTITUTE(VLOOKUP(G381,'Controle GEral'!F:G,2,FALSE),"R$ ", "")))</f>
        <v>45</v>
      </c>
      <c r="I381" s="23"/>
      <c r="J381" s="18" t="str">
        <f>IF(I381="","",VALUE(SUBSTITUTE(VLOOKUP(I381,'Controle GEral'!H:I,2,FALSE),"R$ ", "")))</f>
        <v/>
      </c>
      <c r="K381" s="23" t="s">
        <v>18</v>
      </c>
      <c r="L381" s="23" t="s">
        <v>34</v>
      </c>
      <c r="N381" s="16"/>
      <c r="O381" s="17"/>
      <c r="P381" s="18" t="e">
        <f t="shared" si="10"/>
        <v>#VALUE!</v>
      </c>
      <c r="Q381" s="22" t="e">
        <f t="shared" si="11"/>
        <v>#VALUE!</v>
      </c>
      <c r="R381" s="23"/>
    </row>
    <row r="382" spans="1:18" ht="12.75">
      <c r="A382" s="22">
        <v>46088</v>
      </c>
      <c r="B382" s="23" t="s">
        <v>814</v>
      </c>
      <c r="C382" s="23" t="s">
        <v>604</v>
      </c>
      <c r="D382" s="19"/>
      <c r="E382" s="23" t="s">
        <v>15</v>
      </c>
      <c r="G382" s="23" t="s">
        <v>38</v>
      </c>
      <c r="H382" s="18">
        <f>IF(G382="","",VALUE(SUBSTITUTE(VLOOKUP(G382,'Controle GEral'!F:G,2,FALSE),"R$ ", "")))</f>
        <v>70</v>
      </c>
      <c r="I382" s="23"/>
      <c r="J382" s="18" t="str">
        <f>IF(I382="","",VALUE(SUBSTITUTE(VLOOKUP(I382,'Controle GEral'!H:I,2,FALSE),"R$ ", "")))</f>
        <v/>
      </c>
      <c r="K382" s="23" t="s">
        <v>18</v>
      </c>
      <c r="L382" s="23" t="s">
        <v>34</v>
      </c>
      <c r="N382" s="16"/>
      <c r="O382" s="17"/>
      <c r="P382" s="18" t="e">
        <f t="shared" si="10"/>
        <v>#VALUE!</v>
      </c>
      <c r="Q382" s="22" t="e">
        <f t="shared" si="11"/>
        <v>#VALUE!</v>
      </c>
      <c r="R382" s="23"/>
    </row>
    <row r="383" spans="1:18" ht="12.75">
      <c r="A383" s="22">
        <v>46088</v>
      </c>
      <c r="B383" s="23" t="s">
        <v>814</v>
      </c>
      <c r="C383" s="23" t="s">
        <v>738</v>
      </c>
      <c r="D383" s="19"/>
      <c r="E383" s="23" t="s">
        <v>24</v>
      </c>
      <c r="G383" s="23" t="s">
        <v>16</v>
      </c>
      <c r="H383" s="18">
        <f>IF(G383="","",VALUE(SUBSTITUTE(VLOOKUP(G383,'Controle GEral'!F:G,2,FALSE),"R$ ", "")))</f>
        <v>45</v>
      </c>
      <c r="I383" s="23"/>
      <c r="J383" s="18" t="str">
        <f>IF(I383="","",VALUE(SUBSTITUTE(VLOOKUP(I383,'Controle GEral'!H:I,2,FALSE),"R$ ", "")))</f>
        <v/>
      </c>
      <c r="K383" s="23" t="s">
        <v>18</v>
      </c>
      <c r="L383" s="23" t="s">
        <v>28</v>
      </c>
      <c r="N383" s="16"/>
      <c r="O383" s="17"/>
      <c r="P383" s="18" t="e">
        <f t="shared" si="10"/>
        <v>#VALUE!</v>
      </c>
      <c r="Q383" s="22" t="e">
        <f t="shared" si="11"/>
        <v>#VALUE!</v>
      </c>
      <c r="R383" s="23"/>
    </row>
    <row r="384" spans="1:18" ht="12.75">
      <c r="A384" s="22">
        <v>46088</v>
      </c>
      <c r="B384" s="23" t="s">
        <v>814</v>
      </c>
      <c r="C384" s="23" t="s">
        <v>766</v>
      </c>
      <c r="D384" s="19"/>
      <c r="E384" s="23" t="s">
        <v>15</v>
      </c>
      <c r="G384" s="23" t="s">
        <v>16</v>
      </c>
      <c r="H384" s="18">
        <f>IF(G384="","",VALUE(SUBSTITUTE(VLOOKUP(G384,'Controle GEral'!F:G,2,FALSE),"R$ ", "")))</f>
        <v>45</v>
      </c>
      <c r="I384" s="23"/>
      <c r="J384" s="18" t="str">
        <f>IF(I384="","",VALUE(SUBSTITUTE(VLOOKUP(I384,'Controle GEral'!H:I,2,FALSE),"R$ ", "")))</f>
        <v/>
      </c>
      <c r="K384" s="23" t="s">
        <v>18</v>
      </c>
      <c r="L384" s="23" t="s">
        <v>39</v>
      </c>
      <c r="N384" s="16"/>
      <c r="O384" s="17"/>
      <c r="P384" s="18" t="e">
        <f t="shared" si="10"/>
        <v>#VALUE!</v>
      </c>
      <c r="Q384" s="22" t="e">
        <f t="shared" si="11"/>
        <v>#VALUE!</v>
      </c>
      <c r="R384" s="23"/>
    </row>
    <row r="385" spans="1:18" ht="12.75">
      <c r="A385" s="22">
        <v>46088</v>
      </c>
      <c r="B385" s="23" t="s">
        <v>814</v>
      </c>
      <c r="C385" s="23" t="s">
        <v>570</v>
      </c>
      <c r="D385" s="19"/>
      <c r="E385" s="23" t="s">
        <v>24</v>
      </c>
      <c r="G385" s="23" t="s">
        <v>16</v>
      </c>
      <c r="H385" s="18">
        <f>IF(G385="","",VALUE(SUBSTITUTE(VLOOKUP(G385,'Controle GEral'!F:G,2,FALSE),"R$ ", "")))</f>
        <v>45</v>
      </c>
      <c r="I385" s="23"/>
      <c r="J385" s="18" t="str">
        <f>IF(I385="","",VALUE(SUBSTITUTE(VLOOKUP(I385,'Controle GEral'!H:I,2,FALSE),"R$ ", "")))</f>
        <v/>
      </c>
      <c r="K385" s="23" t="s">
        <v>18</v>
      </c>
      <c r="L385" s="23" t="s">
        <v>28</v>
      </c>
      <c r="N385" s="16"/>
      <c r="O385" s="17"/>
      <c r="P385" s="18" t="e">
        <f t="shared" si="10"/>
        <v>#VALUE!</v>
      </c>
      <c r="Q385" s="22" t="e">
        <f t="shared" si="11"/>
        <v>#VALUE!</v>
      </c>
      <c r="R385" s="23"/>
    </row>
    <row r="386" spans="1:18" ht="12.75">
      <c r="A386" s="22">
        <v>46088</v>
      </c>
      <c r="B386" s="23" t="s">
        <v>814</v>
      </c>
      <c r="C386" s="23" t="s">
        <v>838</v>
      </c>
      <c r="D386" s="19"/>
      <c r="E386" s="23" t="s">
        <v>15</v>
      </c>
      <c r="G386" s="23" t="s">
        <v>16</v>
      </c>
      <c r="H386" s="18">
        <f>IF(G386="","",VALUE(SUBSTITUTE(VLOOKUP(G386,'Controle GEral'!F:G,2,FALSE),"R$ ", "")))</f>
        <v>45</v>
      </c>
      <c r="I386" s="23"/>
      <c r="J386" s="18" t="str">
        <f>IF(I386="","",VALUE(SUBSTITUTE(VLOOKUP(I386,'Controle GEral'!H:I,2,FALSE),"R$ ", "")))</f>
        <v/>
      </c>
      <c r="K386" s="23" t="s">
        <v>18</v>
      </c>
      <c r="L386" s="23" t="s">
        <v>34</v>
      </c>
      <c r="N386" s="16"/>
      <c r="O386" s="17"/>
      <c r="P386" s="18" t="e">
        <f t="shared" ref="P386:P449" si="12">H386+J386+S386</f>
        <v>#VALUE!</v>
      </c>
      <c r="Q386" s="22" t="e">
        <f t="shared" ref="Q386:Q449" si="13">DATEVALUE(A386)</f>
        <v>#VALUE!</v>
      </c>
      <c r="R386" s="23"/>
    </row>
    <row r="387" spans="1:18" ht="12.75">
      <c r="A387" s="22">
        <v>46088</v>
      </c>
      <c r="B387" s="23" t="s">
        <v>812</v>
      </c>
      <c r="C387" s="23" t="s">
        <v>672</v>
      </c>
      <c r="D387" s="19"/>
      <c r="E387" s="23" t="s">
        <v>24</v>
      </c>
      <c r="G387" s="23" t="s">
        <v>16</v>
      </c>
      <c r="H387" s="18">
        <f>IF(G387="","",VALUE(SUBSTITUTE(VLOOKUP(G387,'Controle GEral'!F:G,2,FALSE),"R$ ", "")))</f>
        <v>45</v>
      </c>
      <c r="I387" s="23" t="s">
        <v>30</v>
      </c>
      <c r="J387" s="18">
        <f>IF(I387="","",VALUE(SUBSTITUTE(VLOOKUP(I387,'Controle GEral'!H:I,2,FALSE),"R$ ", "")))</f>
        <v>40</v>
      </c>
      <c r="K387" s="23" t="s">
        <v>18</v>
      </c>
      <c r="L387" s="23" t="s">
        <v>34</v>
      </c>
      <c r="N387" s="16"/>
      <c r="O387" s="17"/>
      <c r="P387" s="18">
        <f t="shared" si="12"/>
        <v>85</v>
      </c>
      <c r="Q387" s="22" t="e">
        <f t="shared" si="13"/>
        <v>#VALUE!</v>
      </c>
      <c r="R387" s="23"/>
    </row>
    <row r="388" spans="1:18" ht="12.75">
      <c r="A388" s="22">
        <v>46088</v>
      </c>
      <c r="B388" s="23" t="s">
        <v>812</v>
      </c>
      <c r="C388" s="23" t="s">
        <v>839</v>
      </c>
      <c r="D388" s="19"/>
      <c r="E388" s="23" t="s">
        <v>24</v>
      </c>
      <c r="G388" s="23" t="s">
        <v>16</v>
      </c>
      <c r="H388" s="18">
        <f>IF(G388="","",VALUE(SUBSTITUTE(VLOOKUP(G388,'Controle GEral'!F:G,2,FALSE),"R$ ", "")))</f>
        <v>45</v>
      </c>
      <c r="I388" s="23"/>
      <c r="J388" s="18" t="str">
        <f>IF(I388="","",VALUE(SUBSTITUTE(VLOOKUP(I388,'Controle GEral'!H:I,2,FALSE),"R$ ", "")))</f>
        <v/>
      </c>
      <c r="K388" s="23" t="s">
        <v>18</v>
      </c>
      <c r="L388" s="23" t="s">
        <v>39</v>
      </c>
      <c r="N388" s="16"/>
      <c r="O388" s="17"/>
      <c r="P388" s="18" t="e">
        <f t="shared" si="12"/>
        <v>#VALUE!</v>
      </c>
      <c r="Q388" s="22" t="e">
        <f t="shared" si="13"/>
        <v>#VALUE!</v>
      </c>
      <c r="R388" s="23"/>
    </row>
    <row r="389" spans="1:18" ht="12.75">
      <c r="A389" s="22">
        <v>46088</v>
      </c>
      <c r="B389" s="23" t="s">
        <v>812</v>
      </c>
      <c r="C389" s="23" t="s">
        <v>563</v>
      </c>
      <c r="D389" s="19"/>
      <c r="E389" s="23" t="s">
        <v>24</v>
      </c>
      <c r="G389" s="23" t="s">
        <v>16</v>
      </c>
      <c r="H389" s="18">
        <f>IF(G389="","",VALUE(SUBSTITUTE(VLOOKUP(G389,'Controle GEral'!F:G,2,FALSE),"R$ ", "")))</f>
        <v>45</v>
      </c>
      <c r="I389" s="23"/>
      <c r="J389" s="18" t="str">
        <f>IF(I389="","",VALUE(SUBSTITUTE(VLOOKUP(I389,'Controle GEral'!H:I,2,FALSE),"R$ ", "")))</f>
        <v/>
      </c>
      <c r="K389" s="23" t="s">
        <v>18</v>
      </c>
      <c r="L389" s="23" t="s">
        <v>28</v>
      </c>
      <c r="N389" s="16"/>
      <c r="O389" s="17"/>
      <c r="P389" s="18" t="e">
        <f t="shared" si="12"/>
        <v>#VALUE!</v>
      </c>
      <c r="Q389" s="22" t="e">
        <f t="shared" si="13"/>
        <v>#VALUE!</v>
      </c>
      <c r="R389" s="23"/>
    </row>
    <row r="390" spans="1:18" ht="12.75">
      <c r="A390" s="22">
        <v>46088</v>
      </c>
      <c r="B390" s="23" t="s">
        <v>812</v>
      </c>
      <c r="C390" s="23" t="s">
        <v>772</v>
      </c>
      <c r="D390" s="19"/>
      <c r="E390" s="23" t="s">
        <v>24</v>
      </c>
      <c r="G390" s="23" t="s">
        <v>12</v>
      </c>
      <c r="H390" s="18" t="e">
        <f>IF(G390="","",VALUE(SUBSTITUTE(VLOOKUP(G390,'Controle GEral'!F:G,2,FALSE),"R$ ", "")))</f>
        <v>#N/A</v>
      </c>
      <c r="I390" s="23"/>
      <c r="J390" s="18" t="str">
        <f>IF(I390="","",VALUE(SUBSTITUTE(VLOOKUP(I390,'Controle GEral'!H:I,2,FALSE),"R$ ", "")))</f>
        <v/>
      </c>
      <c r="K390" s="23" t="s">
        <v>18</v>
      </c>
      <c r="L390" s="23" t="s">
        <v>34</v>
      </c>
      <c r="N390" s="16"/>
      <c r="O390" s="17"/>
      <c r="P390" s="23" t="e">
        <f t="shared" si="12"/>
        <v>#N/A</v>
      </c>
      <c r="Q390" s="22" t="e">
        <f t="shared" si="13"/>
        <v>#VALUE!</v>
      </c>
      <c r="R390" s="23"/>
    </row>
    <row r="391" spans="1:18" ht="12.75">
      <c r="A391" s="22">
        <v>46088</v>
      </c>
      <c r="B391" s="23" t="s">
        <v>812</v>
      </c>
      <c r="C391" s="23" t="s">
        <v>665</v>
      </c>
      <c r="D391" s="19"/>
      <c r="E391" s="23" t="s">
        <v>24</v>
      </c>
      <c r="G391" s="23" t="s">
        <v>16</v>
      </c>
      <c r="H391" s="18">
        <f>IF(G391="","",VALUE(SUBSTITUTE(VLOOKUP(G391,'Controle GEral'!F:G,2,FALSE),"R$ ", "")))</f>
        <v>45</v>
      </c>
      <c r="I391" s="23"/>
      <c r="J391" s="18" t="str">
        <f>IF(I391="","",VALUE(SUBSTITUTE(VLOOKUP(I391,'Controle GEral'!H:I,2,FALSE),"R$ ", "")))</f>
        <v/>
      </c>
      <c r="K391" s="23" t="s">
        <v>18</v>
      </c>
      <c r="L391" s="23" t="s">
        <v>19</v>
      </c>
      <c r="N391" s="16"/>
      <c r="O391" s="17"/>
      <c r="P391" s="18" t="e">
        <f t="shared" si="12"/>
        <v>#VALUE!</v>
      </c>
      <c r="Q391" s="22" t="e">
        <f t="shared" si="13"/>
        <v>#VALUE!</v>
      </c>
      <c r="R391" s="23"/>
    </row>
    <row r="392" spans="1:18" ht="12.75">
      <c r="A392" s="22">
        <v>46088</v>
      </c>
      <c r="B392" s="23" t="s">
        <v>812</v>
      </c>
      <c r="C392" s="23" t="s">
        <v>659</v>
      </c>
      <c r="D392" s="19"/>
      <c r="E392" s="23" t="s">
        <v>24</v>
      </c>
      <c r="G392" s="23" t="s">
        <v>16</v>
      </c>
      <c r="H392" s="18">
        <f>IF(G392="","",VALUE(SUBSTITUTE(VLOOKUP(G392,'Controle GEral'!F:G,2,FALSE),"R$ ", "")))</f>
        <v>45</v>
      </c>
      <c r="I392" s="23" t="s">
        <v>21</v>
      </c>
      <c r="J392" s="18">
        <f>IF(I392="","",VALUE(SUBSTITUTE(VLOOKUP(I392,'Controle GEral'!H:I,2,FALSE),"R$ ", "")))</f>
        <v>10</v>
      </c>
      <c r="K392" s="23" t="s">
        <v>18</v>
      </c>
      <c r="L392" s="23" t="s">
        <v>34</v>
      </c>
      <c r="N392" s="16"/>
      <c r="O392" s="17"/>
      <c r="P392" s="18">
        <f t="shared" si="12"/>
        <v>55</v>
      </c>
      <c r="Q392" s="22" t="e">
        <f t="shared" si="13"/>
        <v>#VALUE!</v>
      </c>
      <c r="R392" s="23"/>
    </row>
    <row r="393" spans="1:18" ht="12.75">
      <c r="A393" s="22">
        <v>46088</v>
      </c>
      <c r="B393" s="23" t="s">
        <v>14</v>
      </c>
      <c r="C393" s="23" t="s">
        <v>840</v>
      </c>
      <c r="D393" s="19"/>
      <c r="E393" s="23" t="s">
        <v>24</v>
      </c>
      <c r="G393" s="23" t="s">
        <v>16</v>
      </c>
      <c r="H393" s="18">
        <f>IF(G393="","",VALUE(SUBSTITUTE(VLOOKUP(G393,'Controle GEral'!F:G,2,FALSE),"R$ ", "")))</f>
        <v>45</v>
      </c>
      <c r="I393" s="23"/>
      <c r="J393" s="18" t="str">
        <f>IF(I393="","",VALUE(SUBSTITUTE(VLOOKUP(I393,'Controle GEral'!H:I,2,FALSE),"R$ ", "")))</f>
        <v/>
      </c>
      <c r="K393" s="23" t="s">
        <v>18</v>
      </c>
      <c r="L393" s="23" t="s">
        <v>34</v>
      </c>
      <c r="N393" s="16"/>
      <c r="O393" s="17"/>
      <c r="P393" s="18" t="e">
        <f t="shared" si="12"/>
        <v>#VALUE!</v>
      </c>
      <c r="Q393" s="22" t="e">
        <f t="shared" si="13"/>
        <v>#VALUE!</v>
      </c>
      <c r="R393" s="23"/>
    </row>
    <row r="394" spans="1:18" ht="12.75">
      <c r="A394" s="22">
        <v>46088</v>
      </c>
      <c r="B394" s="23" t="s">
        <v>812</v>
      </c>
      <c r="C394" s="23" t="s">
        <v>676</v>
      </c>
      <c r="D394" s="19"/>
      <c r="E394" s="23" t="s">
        <v>24</v>
      </c>
      <c r="G394" s="23" t="s">
        <v>38</v>
      </c>
      <c r="H394" s="18">
        <f>IF(G394="","",VALUE(SUBSTITUTE(VLOOKUP(G394,'Controle GEral'!F:G,2,FALSE),"R$ ", "")))</f>
        <v>70</v>
      </c>
      <c r="I394" s="23"/>
      <c r="J394" s="18" t="str">
        <f>IF(I394="","",VALUE(SUBSTITUTE(VLOOKUP(I394,'Controle GEral'!H:I,2,FALSE),"R$ ", "")))</f>
        <v/>
      </c>
      <c r="K394" s="23" t="s">
        <v>18</v>
      </c>
      <c r="L394" s="23" t="s">
        <v>34</v>
      </c>
      <c r="N394" s="16"/>
      <c r="O394" s="17"/>
      <c r="P394" s="18" t="e">
        <f t="shared" si="12"/>
        <v>#VALUE!</v>
      </c>
      <c r="Q394" s="22" t="e">
        <f t="shared" si="13"/>
        <v>#VALUE!</v>
      </c>
      <c r="R394" s="23"/>
    </row>
    <row r="395" spans="1:18" ht="12.75">
      <c r="A395" s="22">
        <v>46088</v>
      </c>
      <c r="B395" s="23" t="s">
        <v>14</v>
      </c>
      <c r="C395" s="23" t="s">
        <v>841</v>
      </c>
      <c r="D395" s="19"/>
      <c r="E395" s="23" t="s">
        <v>24</v>
      </c>
      <c r="G395" s="23" t="s">
        <v>16</v>
      </c>
      <c r="H395" s="18">
        <f>IF(G395="","",VALUE(SUBSTITUTE(VLOOKUP(G395,'Controle GEral'!F:G,2,FALSE),"R$ ", "")))</f>
        <v>45</v>
      </c>
      <c r="I395" s="23"/>
      <c r="J395" s="18" t="str">
        <f>IF(I395="","",VALUE(SUBSTITUTE(VLOOKUP(I395,'Controle GEral'!H:I,2,FALSE),"R$ ", "")))</f>
        <v/>
      </c>
      <c r="K395" s="23" t="s">
        <v>18</v>
      </c>
      <c r="L395" s="23" t="s">
        <v>34</v>
      </c>
      <c r="N395" s="16"/>
      <c r="O395" s="17"/>
      <c r="P395" s="18" t="e">
        <f t="shared" si="12"/>
        <v>#VALUE!</v>
      </c>
      <c r="Q395" s="22" t="e">
        <f t="shared" si="13"/>
        <v>#VALUE!</v>
      </c>
      <c r="R395" s="23"/>
    </row>
    <row r="396" spans="1:18" ht="12.75">
      <c r="A396" s="22">
        <v>46088</v>
      </c>
      <c r="B396" s="23" t="s">
        <v>812</v>
      </c>
      <c r="C396" s="23" t="s">
        <v>842</v>
      </c>
      <c r="D396" s="19"/>
      <c r="E396" s="23" t="s">
        <v>24</v>
      </c>
      <c r="G396" s="23" t="s">
        <v>16</v>
      </c>
      <c r="H396" s="18">
        <f>IF(G396="","",VALUE(SUBSTITUTE(VLOOKUP(G396,'Controle GEral'!F:G,2,FALSE),"R$ ", "")))</f>
        <v>45</v>
      </c>
      <c r="I396" s="23"/>
      <c r="J396" s="18" t="str">
        <f>IF(I396="","",VALUE(SUBSTITUTE(VLOOKUP(I396,'Controle GEral'!H:I,2,FALSE),"R$ ", "")))</f>
        <v/>
      </c>
      <c r="K396" s="23" t="s">
        <v>18</v>
      </c>
      <c r="L396" s="23" t="s">
        <v>34</v>
      </c>
      <c r="N396" s="16"/>
      <c r="O396" s="17"/>
      <c r="P396" s="18" t="e">
        <f t="shared" si="12"/>
        <v>#VALUE!</v>
      </c>
      <c r="Q396" s="22" t="e">
        <f t="shared" si="13"/>
        <v>#VALUE!</v>
      </c>
      <c r="R396" s="23"/>
    </row>
    <row r="397" spans="1:18" ht="12.75">
      <c r="A397" s="22">
        <v>46088</v>
      </c>
      <c r="B397" s="23" t="s">
        <v>812</v>
      </c>
      <c r="C397" s="23" t="s">
        <v>843</v>
      </c>
      <c r="D397" s="19"/>
      <c r="E397" s="23" t="s">
        <v>24</v>
      </c>
      <c r="G397" s="23"/>
      <c r="H397" s="18" t="str">
        <f>IF(G397="","",VALUE(SUBSTITUTE(VLOOKUP(G397,'Controle GEral'!F:G,2,FALSE),"R$ ", "")))</f>
        <v/>
      </c>
      <c r="I397" s="23"/>
      <c r="J397" s="18" t="str">
        <f>IF(I397="","",VALUE(SUBSTITUTE(VLOOKUP(I397,'Controle GEral'!H:I,2,FALSE),"R$ ", "")))</f>
        <v/>
      </c>
      <c r="K397" s="23"/>
      <c r="L397" s="23"/>
      <c r="N397" s="16"/>
      <c r="O397" s="17"/>
      <c r="P397" s="18" t="e">
        <f t="shared" si="12"/>
        <v>#VALUE!</v>
      </c>
      <c r="Q397" s="22" t="e">
        <f t="shared" si="13"/>
        <v>#VALUE!</v>
      </c>
      <c r="R397" s="23"/>
    </row>
    <row r="398" spans="1:18" ht="12.75">
      <c r="A398" s="22">
        <v>46088</v>
      </c>
      <c r="B398" s="23" t="s">
        <v>812</v>
      </c>
      <c r="C398" s="23" t="s">
        <v>678</v>
      </c>
      <c r="D398" s="19"/>
      <c r="E398" s="23" t="s">
        <v>24</v>
      </c>
      <c r="G398" s="23" t="s">
        <v>16</v>
      </c>
      <c r="H398" s="18">
        <f>IF(G398="","",VALUE(SUBSTITUTE(VLOOKUP(G398,'Controle GEral'!F:G,2,FALSE),"R$ ", "")))</f>
        <v>45</v>
      </c>
      <c r="I398" s="23" t="s">
        <v>21</v>
      </c>
      <c r="J398" s="18">
        <f>IF(I398="","",VALUE(SUBSTITUTE(VLOOKUP(I398,'Controle GEral'!H:I,2,FALSE),"R$ ", "")))</f>
        <v>10</v>
      </c>
      <c r="K398" s="23" t="s">
        <v>18</v>
      </c>
      <c r="L398" s="23" t="s">
        <v>34</v>
      </c>
      <c r="N398" s="16"/>
      <c r="O398" s="17"/>
      <c r="P398" s="18">
        <f t="shared" si="12"/>
        <v>55</v>
      </c>
      <c r="Q398" s="22" t="e">
        <f t="shared" si="13"/>
        <v>#VALUE!</v>
      </c>
      <c r="R398" s="23"/>
    </row>
    <row r="399" spans="1:18" ht="12.75">
      <c r="A399" s="22">
        <v>46088</v>
      </c>
      <c r="B399" s="23" t="s">
        <v>812</v>
      </c>
      <c r="C399" s="23" t="s">
        <v>615</v>
      </c>
      <c r="D399" s="19"/>
      <c r="E399" s="23" t="s">
        <v>24</v>
      </c>
      <c r="G399" s="23" t="s">
        <v>12</v>
      </c>
      <c r="H399" s="18" t="e">
        <f>IF(G399="","",VALUE(SUBSTITUTE(VLOOKUP(G399,'Controle GEral'!F:G,2,FALSE),"R$ ", "")))</f>
        <v>#N/A</v>
      </c>
      <c r="I399" s="23"/>
      <c r="J399" s="18" t="str">
        <f>IF(I399="","",VALUE(SUBSTITUTE(VLOOKUP(I399,'Controle GEral'!H:I,2,FALSE),"R$ ", "")))</f>
        <v/>
      </c>
      <c r="K399" s="23" t="s">
        <v>18</v>
      </c>
      <c r="L399" s="23" t="s">
        <v>34</v>
      </c>
      <c r="N399" s="16"/>
      <c r="O399" s="17"/>
      <c r="P399" s="23" t="e">
        <f t="shared" si="12"/>
        <v>#N/A</v>
      </c>
      <c r="Q399" s="22" t="e">
        <f t="shared" si="13"/>
        <v>#VALUE!</v>
      </c>
      <c r="R399" s="23"/>
    </row>
    <row r="400" spans="1:18" ht="12.75">
      <c r="A400" s="22">
        <v>46088</v>
      </c>
      <c r="B400" s="23" t="s">
        <v>812</v>
      </c>
      <c r="C400" s="23" t="s">
        <v>592</v>
      </c>
      <c r="D400" s="19"/>
      <c r="E400" s="23" t="s">
        <v>24</v>
      </c>
      <c r="G400" s="23"/>
      <c r="H400" s="18" t="str">
        <f>IF(G400="","",VALUE(SUBSTITUTE(VLOOKUP(G400,'Controle GEral'!F:G,2,FALSE),"R$ ", "")))</f>
        <v/>
      </c>
      <c r="I400" s="23"/>
      <c r="J400" s="18" t="str">
        <f>IF(I400="","",VALUE(SUBSTITUTE(VLOOKUP(I400,'Controle GEral'!H:I,2,FALSE),"R$ ", "")))</f>
        <v/>
      </c>
      <c r="K400" s="23"/>
      <c r="L400" s="23"/>
      <c r="N400" s="16"/>
      <c r="O400" s="17"/>
      <c r="P400" s="18" t="e">
        <f t="shared" si="12"/>
        <v>#VALUE!</v>
      </c>
      <c r="Q400" s="22" t="e">
        <f t="shared" si="13"/>
        <v>#VALUE!</v>
      </c>
      <c r="R400" s="23"/>
    </row>
    <row r="401" spans="1:18" ht="12.75">
      <c r="A401" s="22">
        <v>46089</v>
      </c>
      <c r="B401" s="23" t="s">
        <v>14</v>
      </c>
      <c r="C401" s="23" t="s">
        <v>844</v>
      </c>
      <c r="D401" s="19"/>
      <c r="E401" s="23" t="s">
        <v>24</v>
      </c>
      <c r="G401" s="23" t="s">
        <v>25</v>
      </c>
      <c r="H401" s="18">
        <f>IF(G401="","",VALUE(SUBSTITUTE(VLOOKUP(G401,'Controle GEral'!F:G,2,FALSE),"R$ ", "")))</f>
        <v>80</v>
      </c>
      <c r="I401" s="23"/>
      <c r="J401" s="18" t="str">
        <f>IF(I401="","",VALUE(SUBSTITUTE(VLOOKUP(I401,'Controle GEral'!H:I,2,FALSE),"R$ ", "")))</f>
        <v/>
      </c>
      <c r="K401" s="23" t="s">
        <v>18</v>
      </c>
      <c r="L401" s="23" t="s">
        <v>34</v>
      </c>
      <c r="N401" s="16"/>
      <c r="O401" s="17"/>
      <c r="P401" s="18" t="e">
        <f t="shared" si="12"/>
        <v>#VALUE!</v>
      </c>
      <c r="Q401" s="22" t="e">
        <f t="shared" si="13"/>
        <v>#VALUE!</v>
      </c>
      <c r="R401" s="23"/>
    </row>
    <row r="402" spans="1:18" ht="12.75">
      <c r="A402" s="22">
        <v>46089</v>
      </c>
      <c r="B402" s="23" t="s">
        <v>812</v>
      </c>
      <c r="C402" s="23" t="s">
        <v>845</v>
      </c>
      <c r="D402" s="19"/>
      <c r="E402" s="23" t="s">
        <v>15</v>
      </c>
      <c r="G402" s="23" t="s">
        <v>16</v>
      </c>
      <c r="H402" s="18">
        <f>IF(G402="","",VALUE(SUBSTITUTE(VLOOKUP(G402,'Controle GEral'!F:G,2,FALSE),"R$ ", "")))</f>
        <v>45</v>
      </c>
      <c r="I402" s="23"/>
      <c r="J402" s="18" t="str">
        <f>IF(I402="","",VALUE(SUBSTITUTE(VLOOKUP(I402,'Controle GEral'!H:I,2,FALSE),"R$ ", "")))</f>
        <v/>
      </c>
      <c r="K402" s="23" t="s">
        <v>18</v>
      </c>
      <c r="L402" s="23" t="s">
        <v>34</v>
      </c>
      <c r="N402" s="16"/>
      <c r="O402" s="17"/>
      <c r="P402" s="18" t="e">
        <f t="shared" si="12"/>
        <v>#VALUE!</v>
      </c>
      <c r="Q402" s="22" t="e">
        <f t="shared" si="13"/>
        <v>#VALUE!</v>
      </c>
      <c r="R402" s="23"/>
    </row>
    <row r="403" spans="1:18" ht="12.75">
      <c r="A403" s="22">
        <v>46089</v>
      </c>
      <c r="B403" s="23" t="s">
        <v>812</v>
      </c>
      <c r="C403" s="23" t="s">
        <v>846</v>
      </c>
      <c r="D403" s="19"/>
      <c r="E403" s="23" t="s">
        <v>15</v>
      </c>
      <c r="G403" s="23" t="s">
        <v>16</v>
      </c>
      <c r="H403" s="18">
        <f>IF(G403="","",VALUE(SUBSTITUTE(VLOOKUP(G403,'Controle GEral'!F:G,2,FALSE),"R$ ", "")))</f>
        <v>45</v>
      </c>
      <c r="I403" s="23"/>
      <c r="J403" s="18" t="str">
        <f>IF(I403="","",VALUE(SUBSTITUTE(VLOOKUP(I403,'Controle GEral'!H:I,2,FALSE),"R$ ", "")))</f>
        <v/>
      </c>
      <c r="K403" s="23" t="s">
        <v>18</v>
      </c>
      <c r="L403" s="23" t="s">
        <v>34</v>
      </c>
      <c r="N403" s="16"/>
      <c r="O403" s="17"/>
      <c r="P403" s="18" t="e">
        <f t="shared" si="12"/>
        <v>#VALUE!</v>
      </c>
      <c r="Q403" s="22" t="e">
        <f t="shared" si="13"/>
        <v>#VALUE!</v>
      </c>
      <c r="R403" s="23"/>
    </row>
    <row r="404" spans="1:18" ht="12.75">
      <c r="A404" s="22">
        <v>46089</v>
      </c>
      <c r="B404" s="23" t="s">
        <v>812</v>
      </c>
      <c r="C404" s="23" t="s">
        <v>798</v>
      </c>
      <c r="D404" s="19"/>
      <c r="E404" s="23" t="s">
        <v>24</v>
      </c>
      <c r="G404" s="23" t="s">
        <v>38</v>
      </c>
      <c r="H404" s="18">
        <f>IF(G404="","",VALUE(SUBSTITUTE(VLOOKUP(G404,'Controle GEral'!F:G,2,FALSE),"R$ ", "")))</f>
        <v>70</v>
      </c>
      <c r="I404" s="23"/>
      <c r="J404" s="18" t="str">
        <f>IF(I404="","",VALUE(SUBSTITUTE(VLOOKUP(I404,'Controle GEral'!H:I,2,FALSE),"R$ ", "")))</f>
        <v/>
      </c>
      <c r="K404" s="23" t="s">
        <v>18</v>
      </c>
      <c r="L404" s="23" t="s">
        <v>34</v>
      </c>
      <c r="N404" s="16"/>
      <c r="O404" s="17"/>
      <c r="P404" s="18" t="e">
        <f t="shared" si="12"/>
        <v>#VALUE!</v>
      </c>
      <c r="Q404" s="22" t="e">
        <f t="shared" si="13"/>
        <v>#VALUE!</v>
      </c>
      <c r="R404" s="23"/>
    </row>
    <row r="405" spans="1:18" ht="12.75">
      <c r="A405" s="22">
        <v>46089</v>
      </c>
      <c r="B405" s="23" t="s">
        <v>14</v>
      </c>
      <c r="C405" s="23" t="s">
        <v>847</v>
      </c>
      <c r="D405" s="19"/>
      <c r="E405" s="23" t="s">
        <v>24</v>
      </c>
      <c r="G405" s="23" t="s">
        <v>16</v>
      </c>
      <c r="H405" s="18">
        <f>IF(G405="","",VALUE(SUBSTITUTE(VLOOKUP(G405,'Controle GEral'!F:G,2,FALSE),"R$ ", "")))</f>
        <v>45</v>
      </c>
      <c r="I405" s="23"/>
      <c r="J405" s="18" t="str">
        <f>IF(I405="","",VALUE(SUBSTITUTE(VLOOKUP(I405,'Controle GEral'!H:I,2,FALSE),"R$ ", "")))</f>
        <v/>
      </c>
      <c r="K405" s="23" t="s">
        <v>18</v>
      </c>
      <c r="L405" s="23" t="s">
        <v>34</v>
      </c>
      <c r="N405" s="16"/>
      <c r="O405" s="17"/>
      <c r="P405" s="18" t="e">
        <f t="shared" si="12"/>
        <v>#VALUE!</v>
      </c>
      <c r="Q405" s="22" t="e">
        <f t="shared" si="13"/>
        <v>#VALUE!</v>
      </c>
      <c r="R405" s="23"/>
    </row>
    <row r="406" spans="1:18" ht="12.75">
      <c r="A406" s="22">
        <v>46090</v>
      </c>
      <c r="B406" s="23" t="s">
        <v>814</v>
      </c>
      <c r="C406" s="23" t="s">
        <v>848</v>
      </c>
      <c r="D406" s="19"/>
      <c r="E406" s="23" t="s">
        <v>24</v>
      </c>
      <c r="G406" s="23" t="s">
        <v>32</v>
      </c>
      <c r="H406" s="18">
        <f>IF(G406="","",VALUE(SUBSTITUTE(VLOOKUP(G406,'Controle GEral'!F:G,2,FALSE),"R$ ", "")))</f>
        <v>35</v>
      </c>
      <c r="I406" s="23"/>
      <c r="J406" s="18" t="str">
        <f>IF(I406="","",VALUE(SUBSTITUTE(VLOOKUP(I406,'Controle GEral'!H:I,2,FALSE),"R$ ", "")))</f>
        <v/>
      </c>
      <c r="K406" s="23" t="s">
        <v>18</v>
      </c>
      <c r="L406" s="23" t="s">
        <v>34</v>
      </c>
      <c r="N406" s="16"/>
      <c r="O406" s="17"/>
      <c r="P406" s="18" t="e">
        <f t="shared" si="12"/>
        <v>#VALUE!</v>
      </c>
      <c r="Q406" s="22" t="e">
        <f t="shared" si="13"/>
        <v>#VALUE!</v>
      </c>
      <c r="R406" s="23"/>
    </row>
    <row r="407" spans="1:18" ht="12.75">
      <c r="A407" s="22">
        <v>46091</v>
      </c>
      <c r="B407" s="23" t="s">
        <v>812</v>
      </c>
      <c r="C407" s="23" t="s">
        <v>645</v>
      </c>
      <c r="D407" s="19"/>
      <c r="E407" s="23" t="s">
        <v>24</v>
      </c>
      <c r="G407" s="23" t="s">
        <v>25</v>
      </c>
      <c r="H407" s="18">
        <f>IF(G407="","",VALUE(SUBSTITUTE(VLOOKUP(G407,'Controle GEral'!F:G,2,FALSE),"R$ ", "")))</f>
        <v>80</v>
      </c>
      <c r="I407" s="23" t="s">
        <v>21</v>
      </c>
      <c r="J407" s="18">
        <f>IF(I407="","",VALUE(SUBSTITUTE(VLOOKUP(I407,'Controle GEral'!H:I,2,FALSE),"R$ ", "")))</f>
        <v>10</v>
      </c>
      <c r="K407" s="23" t="s">
        <v>18</v>
      </c>
      <c r="L407" s="23" t="s">
        <v>34</v>
      </c>
      <c r="N407" s="16"/>
      <c r="O407" s="17"/>
      <c r="P407" s="18">
        <f t="shared" si="12"/>
        <v>90</v>
      </c>
      <c r="Q407" s="22" t="e">
        <f t="shared" si="13"/>
        <v>#VALUE!</v>
      </c>
      <c r="R407" s="23"/>
    </row>
    <row r="408" spans="1:18" ht="12.75">
      <c r="A408" s="22">
        <v>46091</v>
      </c>
      <c r="B408" s="23" t="s">
        <v>812</v>
      </c>
      <c r="C408" s="23" t="s">
        <v>849</v>
      </c>
      <c r="D408" s="19"/>
      <c r="E408" s="23" t="s">
        <v>24</v>
      </c>
      <c r="G408" s="23" t="s">
        <v>16</v>
      </c>
      <c r="H408" s="18">
        <f>IF(G408="","",VALUE(SUBSTITUTE(VLOOKUP(G408,'Controle GEral'!F:G,2,FALSE),"R$ ", "")))</f>
        <v>45</v>
      </c>
      <c r="I408" s="23" t="s">
        <v>21</v>
      </c>
      <c r="J408" s="18">
        <f>IF(I408="","",VALUE(SUBSTITUTE(VLOOKUP(I408,'Controle GEral'!H:I,2,FALSE),"R$ ", "")))</f>
        <v>10</v>
      </c>
      <c r="K408" s="23" t="s">
        <v>18</v>
      </c>
      <c r="L408" s="23" t="s">
        <v>34</v>
      </c>
      <c r="N408" s="16"/>
      <c r="O408" s="17"/>
      <c r="P408" s="18">
        <f t="shared" si="12"/>
        <v>55</v>
      </c>
      <c r="Q408" s="22" t="e">
        <f t="shared" si="13"/>
        <v>#VALUE!</v>
      </c>
      <c r="R408" s="23"/>
    </row>
    <row r="409" spans="1:18" ht="12.75">
      <c r="A409" s="22">
        <v>46091</v>
      </c>
      <c r="B409" s="23" t="s">
        <v>812</v>
      </c>
      <c r="C409" s="23" t="s">
        <v>850</v>
      </c>
      <c r="D409" s="19"/>
      <c r="E409" s="23" t="s">
        <v>24</v>
      </c>
      <c r="G409" s="23" t="s">
        <v>16</v>
      </c>
      <c r="H409" s="18">
        <f>IF(G409="","",VALUE(SUBSTITUTE(VLOOKUP(G409,'Controle GEral'!F:G,2,FALSE),"R$ ", "")))</f>
        <v>45</v>
      </c>
      <c r="I409" s="23" t="s">
        <v>30</v>
      </c>
      <c r="J409" s="18">
        <f>IF(I409="","",VALUE(SUBSTITUTE(VLOOKUP(I409,'Controle GEral'!H:I,2,FALSE),"R$ ", "")))</f>
        <v>40</v>
      </c>
      <c r="K409" s="23" t="s">
        <v>18</v>
      </c>
      <c r="L409" s="23" t="s">
        <v>34</v>
      </c>
      <c r="N409" s="16"/>
      <c r="O409" s="17"/>
      <c r="P409" s="18">
        <f t="shared" si="12"/>
        <v>85</v>
      </c>
      <c r="Q409" s="22" t="e">
        <f t="shared" si="13"/>
        <v>#VALUE!</v>
      </c>
      <c r="R409" s="23"/>
    </row>
    <row r="410" spans="1:18" ht="12.75">
      <c r="A410" s="22">
        <v>46091</v>
      </c>
      <c r="B410" s="23" t="s">
        <v>812</v>
      </c>
      <c r="C410" s="23" t="s">
        <v>851</v>
      </c>
      <c r="D410" s="19"/>
      <c r="E410" s="23" t="s">
        <v>24</v>
      </c>
      <c r="G410" s="23" t="s">
        <v>16</v>
      </c>
      <c r="H410" s="18">
        <f>IF(G410="","",VALUE(SUBSTITUTE(VLOOKUP(G410,'Controle GEral'!F:G,2,FALSE),"R$ ", "")))</f>
        <v>45</v>
      </c>
      <c r="I410" s="23"/>
      <c r="J410" s="18" t="str">
        <f>IF(I410="","",VALUE(SUBSTITUTE(VLOOKUP(I410,'Controle GEral'!H:I,2,FALSE),"R$ ", "")))</f>
        <v/>
      </c>
      <c r="K410" s="23" t="s">
        <v>18</v>
      </c>
      <c r="L410" s="23" t="s">
        <v>34</v>
      </c>
      <c r="N410" s="16"/>
      <c r="O410" s="17"/>
      <c r="P410" s="18" t="e">
        <f t="shared" si="12"/>
        <v>#VALUE!</v>
      </c>
      <c r="Q410" s="22" t="e">
        <f t="shared" si="13"/>
        <v>#VALUE!</v>
      </c>
      <c r="R410" s="23"/>
    </row>
    <row r="411" spans="1:18" ht="12.75">
      <c r="A411" s="22">
        <v>46091</v>
      </c>
      <c r="B411" s="23" t="s">
        <v>814</v>
      </c>
      <c r="C411" s="23" t="s">
        <v>852</v>
      </c>
      <c r="D411" s="19"/>
      <c r="E411" s="23" t="s">
        <v>24</v>
      </c>
      <c r="G411" s="23" t="s">
        <v>32</v>
      </c>
      <c r="H411" s="18">
        <f>IF(G411="","",VALUE(SUBSTITUTE(VLOOKUP(G411,'Controle GEral'!F:G,2,FALSE),"R$ ", "")))</f>
        <v>35</v>
      </c>
      <c r="I411" s="23"/>
      <c r="J411" s="18" t="str">
        <f>IF(I411="","",VALUE(SUBSTITUTE(VLOOKUP(I411,'Controle GEral'!H:I,2,FALSE),"R$ ", "")))</f>
        <v/>
      </c>
      <c r="K411" s="23" t="s">
        <v>18</v>
      </c>
      <c r="L411" s="23" t="s">
        <v>28</v>
      </c>
      <c r="N411" s="16"/>
      <c r="O411" s="17"/>
      <c r="P411" s="18" t="e">
        <f t="shared" si="12"/>
        <v>#VALUE!</v>
      </c>
      <c r="Q411" s="22" t="e">
        <f t="shared" si="13"/>
        <v>#VALUE!</v>
      </c>
      <c r="R411" s="23"/>
    </row>
    <row r="412" spans="1:18" ht="12.75">
      <c r="A412" s="22">
        <v>46091</v>
      </c>
      <c r="B412" s="23" t="s">
        <v>814</v>
      </c>
      <c r="C412" s="23" t="s">
        <v>853</v>
      </c>
      <c r="D412" s="19"/>
      <c r="E412" s="23" t="s">
        <v>15</v>
      </c>
      <c r="G412" s="23" t="s">
        <v>16</v>
      </c>
      <c r="H412" s="18">
        <f>IF(G412="","",VALUE(SUBSTITUTE(VLOOKUP(G412,'Controle GEral'!F:G,2,FALSE),"R$ ", "")))</f>
        <v>45</v>
      </c>
      <c r="I412" s="23" t="s">
        <v>21</v>
      </c>
      <c r="J412" s="18">
        <f>IF(I412="","",VALUE(SUBSTITUTE(VLOOKUP(I412,'Controle GEral'!H:I,2,FALSE),"R$ ", "")))</f>
        <v>10</v>
      </c>
      <c r="K412" s="23" t="s">
        <v>18</v>
      </c>
      <c r="L412" s="23" t="s">
        <v>28</v>
      </c>
      <c r="N412" s="16"/>
      <c r="O412" s="17"/>
      <c r="P412" s="18">
        <f t="shared" si="12"/>
        <v>55</v>
      </c>
      <c r="Q412" s="22" t="e">
        <f t="shared" si="13"/>
        <v>#VALUE!</v>
      </c>
      <c r="R412" s="23"/>
    </row>
    <row r="413" spans="1:18" ht="12.75">
      <c r="A413" s="22">
        <v>46091</v>
      </c>
      <c r="B413" s="23" t="s">
        <v>814</v>
      </c>
      <c r="C413" s="23" t="s">
        <v>854</v>
      </c>
      <c r="D413" s="19"/>
      <c r="E413" s="23" t="s">
        <v>24</v>
      </c>
      <c r="G413" s="23" t="s">
        <v>25</v>
      </c>
      <c r="H413" s="18">
        <f>IF(G413="","",VALUE(SUBSTITUTE(VLOOKUP(G413,'Controle GEral'!F:G,2,FALSE),"R$ ", "")))</f>
        <v>80</v>
      </c>
      <c r="I413" s="23"/>
      <c r="J413" s="18" t="str">
        <f>IF(I413="","",VALUE(SUBSTITUTE(VLOOKUP(I413,'Controle GEral'!H:I,2,FALSE),"R$ ", "")))</f>
        <v/>
      </c>
      <c r="K413" s="23" t="s">
        <v>18</v>
      </c>
      <c r="L413" s="23" t="s">
        <v>39</v>
      </c>
      <c r="N413" s="16"/>
      <c r="O413" s="17"/>
      <c r="P413" s="18" t="e">
        <f t="shared" si="12"/>
        <v>#VALUE!</v>
      </c>
      <c r="Q413" s="22" t="e">
        <f t="shared" si="13"/>
        <v>#VALUE!</v>
      </c>
      <c r="R413" s="23"/>
    </row>
    <row r="414" spans="1:18" ht="12.75">
      <c r="A414" s="22">
        <v>46091</v>
      </c>
      <c r="B414" s="23" t="s">
        <v>814</v>
      </c>
      <c r="C414" s="23" t="s">
        <v>780</v>
      </c>
      <c r="D414" s="19"/>
      <c r="E414" s="23" t="s">
        <v>24</v>
      </c>
      <c r="G414" s="23"/>
      <c r="H414" s="18" t="str">
        <f>IF(G414="","",VALUE(SUBSTITUTE(VLOOKUP(G414,'Controle GEral'!F:G,2,FALSE),"R$ ", "")))</f>
        <v/>
      </c>
      <c r="I414" s="23"/>
      <c r="J414" s="18" t="str">
        <f>IF(I414="","",VALUE(SUBSTITUTE(VLOOKUP(I414,'Controle GEral'!H:I,2,FALSE),"R$ ", "")))</f>
        <v/>
      </c>
      <c r="K414" s="23"/>
      <c r="L414" s="23"/>
      <c r="N414" s="16"/>
      <c r="O414" s="17"/>
      <c r="P414" s="18" t="e">
        <f t="shared" si="12"/>
        <v>#VALUE!</v>
      </c>
      <c r="Q414" s="22" t="e">
        <f t="shared" si="13"/>
        <v>#VALUE!</v>
      </c>
      <c r="R414" s="23"/>
    </row>
    <row r="415" spans="1:18" ht="12.75">
      <c r="A415" s="22">
        <v>46091</v>
      </c>
      <c r="B415" s="23" t="s">
        <v>814</v>
      </c>
      <c r="C415" s="23" t="s">
        <v>855</v>
      </c>
      <c r="D415" s="19"/>
      <c r="E415" s="23" t="s">
        <v>24</v>
      </c>
      <c r="G415" s="23" t="s">
        <v>16</v>
      </c>
      <c r="H415" s="18">
        <f>IF(G415="","",VALUE(SUBSTITUTE(VLOOKUP(G415,'Controle GEral'!F:G,2,FALSE),"R$ ", "")))</f>
        <v>45</v>
      </c>
      <c r="I415" s="23"/>
      <c r="J415" s="18" t="str">
        <f>IF(I415="","",VALUE(SUBSTITUTE(VLOOKUP(I415,'Controle GEral'!H:I,2,FALSE),"R$ ", "")))</f>
        <v/>
      </c>
      <c r="K415" s="23" t="s">
        <v>18</v>
      </c>
      <c r="L415" s="23" t="s">
        <v>34</v>
      </c>
      <c r="N415" s="16"/>
      <c r="O415" s="17"/>
      <c r="P415" s="18" t="e">
        <f t="shared" si="12"/>
        <v>#VALUE!</v>
      </c>
      <c r="Q415" s="22" t="e">
        <f t="shared" si="13"/>
        <v>#VALUE!</v>
      </c>
      <c r="R415" s="23"/>
    </row>
    <row r="416" spans="1:18" ht="12.75">
      <c r="A416" s="22">
        <v>46092</v>
      </c>
      <c r="B416" s="23" t="s">
        <v>814</v>
      </c>
      <c r="C416" s="23" t="s">
        <v>856</v>
      </c>
      <c r="D416" s="19"/>
      <c r="E416" s="23" t="s">
        <v>15</v>
      </c>
      <c r="G416" s="23" t="s">
        <v>25</v>
      </c>
      <c r="H416" s="18">
        <f>IF(G416="","",VALUE(SUBSTITUTE(VLOOKUP(G416,'Controle GEral'!F:G,2,FALSE),"R$ ", "")))</f>
        <v>80</v>
      </c>
      <c r="I416" s="23"/>
      <c r="J416" s="18" t="str">
        <f>IF(I416="","",VALUE(SUBSTITUTE(VLOOKUP(I416,'Controle GEral'!H:I,2,FALSE),"R$ ", "")))</f>
        <v/>
      </c>
      <c r="K416" s="23" t="s">
        <v>18</v>
      </c>
      <c r="L416" s="23" t="s">
        <v>34</v>
      </c>
      <c r="N416" s="16"/>
      <c r="O416" s="17"/>
      <c r="P416" s="18" t="e">
        <f t="shared" si="12"/>
        <v>#VALUE!</v>
      </c>
      <c r="Q416" s="22" t="e">
        <f t="shared" si="13"/>
        <v>#VALUE!</v>
      </c>
      <c r="R416" s="23"/>
    </row>
    <row r="417" spans="1:18" ht="12.75">
      <c r="A417" s="22">
        <v>46092</v>
      </c>
      <c r="B417" s="23" t="s">
        <v>814</v>
      </c>
      <c r="C417" s="23" t="s">
        <v>857</v>
      </c>
      <c r="D417" s="19"/>
      <c r="E417" s="23" t="s">
        <v>24</v>
      </c>
      <c r="G417" s="23" t="s">
        <v>16</v>
      </c>
      <c r="H417" s="18">
        <f>IF(G417="","",VALUE(SUBSTITUTE(VLOOKUP(G417,'Controle GEral'!F:G,2,FALSE),"R$ ", "")))</f>
        <v>45</v>
      </c>
      <c r="I417" s="23"/>
      <c r="J417" s="18" t="str">
        <f>IF(I417="","",VALUE(SUBSTITUTE(VLOOKUP(I417,'Controle GEral'!H:I,2,FALSE),"R$ ", "")))</f>
        <v/>
      </c>
      <c r="K417" s="23" t="s">
        <v>18</v>
      </c>
      <c r="L417" s="23" t="s">
        <v>34</v>
      </c>
      <c r="N417" s="16"/>
      <c r="O417" s="17"/>
      <c r="P417" s="18" t="e">
        <f t="shared" si="12"/>
        <v>#VALUE!</v>
      </c>
      <c r="Q417" s="22" t="e">
        <f t="shared" si="13"/>
        <v>#VALUE!</v>
      </c>
      <c r="R417" s="23"/>
    </row>
    <row r="418" spans="1:18" ht="12.75">
      <c r="A418" s="22">
        <v>46092</v>
      </c>
      <c r="B418" s="23" t="s">
        <v>814</v>
      </c>
      <c r="C418" s="23" t="s">
        <v>858</v>
      </c>
      <c r="D418" s="19"/>
      <c r="E418" s="23" t="s">
        <v>24</v>
      </c>
      <c r="G418" s="23" t="s">
        <v>38</v>
      </c>
      <c r="H418" s="18">
        <f>IF(G418="","",VALUE(SUBSTITUTE(VLOOKUP(G418,'Controle GEral'!F:G,2,FALSE),"R$ ", "")))</f>
        <v>70</v>
      </c>
      <c r="I418" s="23"/>
      <c r="J418" s="18" t="str">
        <f>IF(I418="","",VALUE(SUBSTITUTE(VLOOKUP(I418,'Controle GEral'!H:I,2,FALSE),"R$ ", "")))</f>
        <v/>
      </c>
      <c r="K418" s="23" t="s">
        <v>18</v>
      </c>
      <c r="L418" s="23" t="s">
        <v>34</v>
      </c>
      <c r="N418" s="16"/>
      <c r="O418" s="17"/>
      <c r="P418" s="18" t="e">
        <f t="shared" si="12"/>
        <v>#VALUE!</v>
      </c>
      <c r="Q418" s="22" t="e">
        <f t="shared" si="13"/>
        <v>#VALUE!</v>
      </c>
      <c r="R418" s="23"/>
    </row>
    <row r="419" spans="1:18" ht="12.75">
      <c r="A419" s="22">
        <v>46092</v>
      </c>
      <c r="B419" s="23" t="s">
        <v>814</v>
      </c>
      <c r="C419" s="23" t="s">
        <v>578</v>
      </c>
      <c r="D419" s="19"/>
      <c r="E419" s="23" t="s">
        <v>24</v>
      </c>
      <c r="G419" s="23"/>
      <c r="H419" s="18" t="str">
        <f>IF(G419="","",VALUE(SUBSTITUTE(VLOOKUP(G419,'Controle GEral'!F:G,2,FALSE),"R$ ", "")))</f>
        <v/>
      </c>
      <c r="I419" s="23"/>
      <c r="J419" s="18" t="str">
        <f>IF(I419="","",VALUE(SUBSTITUTE(VLOOKUP(I419,'Controle GEral'!H:I,2,FALSE),"R$ ", "")))</f>
        <v/>
      </c>
      <c r="K419" s="23"/>
      <c r="L419" s="23"/>
      <c r="N419" s="16"/>
      <c r="O419" s="17"/>
      <c r="P419" s="18" t="e">
        <f t="shared" si="12"/>
        <v>#VALUE!</v>
      </c>
      <c r="Q419" s="22" t="e">
        <f t="shared" si="13"/>
        <v>#VALUE!</v>
      </c>
      <c r="R419" s="23"/>
    </row>
    <row r="420" spans="1:18" ht="12.75">
      <c r="A420" s="22">
        <v>46092</v>
      </c>
      <c r="B420" s="23" t="s">
        <v>812</v>
      </c>
      <c r="C420" s="23" t="s">
        <v>859</v>
      </c>
      <c r="D420" s="19"/>
      <c r="E420" s="23" t="s">
        <v>24</v>
      </c>
      <c r="G420" s="23" t="s">
        <v>25</v>
      </c>
      <c r="H420" s="18">
        <f>IF(G420="","",VALUE(SUBSTITUTE(VLOOKUP(G420,'Controle GEral'!F:G,2,FALSE),"R$ ", "")))</f>
        <v>80</v>
      </c>
      <c r="I420" s="23"/>
      <c r="J420" s="18" t="str">
        <f>IF(I420="","",VALUE(SUBSTITUTE(VLOOKUP(I420,'Controle GEral'!H:I,2,FALSE),"R$ ", "")))</f>
        <v/>
      </c>
      <c r="K420" s="23" t="s">
        <v>18</v>
      </c>
      <c r="L420" s="23" t="s">
        <v>34</v>
      </c>
      <c r="N420" s="16"/>
      <c r="O420" s="17"/>
      <c r="P420" s="18" t="e">
        <f t="shared" si="12"/>
        <v>#VALUE!</v>
      </c>
      <c r="Q420" s="22" t="e">
        <f t="shared" si="13"/>
        <v>#VALUE!</v>
      </c>
      <c r="R420" s="23"/>
    </row>
    <row r="421" spans="1:18" ht="12.75">
      <c r="A421" s="22">
        <v>46092</v>
      </c>
      <c r="B421" s="23" t="s">
        <v>14</v>
      </c>
      <c r="C421" s="23" t="s">
        <v>860</v>
      </c>
      <c r="D421" s="19"/>
      <c r="E421" s="23" t="s">
        <v>15</v>
      </c>
      <c r="G421" s="23" t="s">
        <v>16</v>
      </c>
      <c r="H421" s="18">
        <f>IF(G421="","",VALUE(SUBSTITUTE(VLOOKUP(G421,'Controle GEral'!F:G,2,FALSE),"R$ ", "")))</f>
        <v>45</v>
      </c>
      <c r="I421" s="23"/>
      <c r="J421" s="18" t="str">
        <f>IF(I421="","",VALUE(SUBSTITUTE(VLOOKUP(I421,'Controle GEral'!H:I,2,FALSE),"R$ ", "")))</f>
        <v/>
      </c>
      <c r="K421" s="23" t="s">
        <v>18</v>
      </c>
      <c r="L421" s="23" t="s">
        <v>34</v>
      </c>
      <c r="N421" s="16"/>
      <c r="O421" s="17"/>
      <c r="P421" s="18" t="e">
        <f t="shared" si="12"/>
        <v>#VALUE!</v>
      </c>
      <c r="Q421" s="22" t="e">
        <f t="shared" si="13"/>
        <v>#VALUE!</v>
      </c>
      <c r="R421" s="23"/>
    </row>
    <row r="422" spans="1:18" ht="12.75">
      <c r="A422" s="22">
        <v>46092</v>
      </c>
      <c r="B422" s="23" t="s">
        <v>14</v>
      </c>
      <c r="C422" s="23" t="s">
        <v>861</v>
      </c>
      <c r="D422" s="19"/>
      <c r="E422" s="23" t="s">
        <v>24</v>
      </c>
      <c r="G422" s="23" t="s">
        <v>16</v>
      </c>
      <c r="H422" s="18">
        <f>IF(G422="","",VALUE(SUBSTITUTE(VLOOKUP(G422,'Controle GEral'!F:G,2,FALSE),"R$ ", "")))</f>
        <v>45</v>
      </c>
      <c r="I422" s="23"/>
      <c r="J422" s="18" t="str">
        <f>IF(I422="","",VALUE(SUBSTITUTE(VLOOKUP(I422,'Controle GEral'!H:I,2,FALSE),"R$ ", "")))</f>
        <v/>
      </c>
      <c r="K422" s="23" t="s">
        <v>18</v>
      </c>
      <c r="L422" s="23" t="s">
        <v>34</v>
      </c>
      <c r="N422" s="16"/>
      <c r="O422" s="17"/>
      <c r="P422" s="18" t="e">
        <f t="shared" si="12"/>
        <v>#VALUE!</v>
      </c>
      <c r="Q422" s="22" t="e">
        <f t="shared" si="13"/>
        <v>#VALUE!</v>
      </c>
      <c r="R422" s="23"/>
    </row>
    <row r="423" spans="1:18" ht="12.75">
      <c r="A423" s="22">
        <v>46092</v>
      </c>
      <c r="B423" s="23" t="s">
        <v>812</v>
      </c>
      <c r="C423" s="23" t="s">
        <v>785</v>
      </c>
      <c r="D423" s="19"/>
      <c r="E423" s="23" t="s">
        <v>24</v>
      </c>
      <c r="G423" s="23" t="s">
        <v>38</v>
      </c>
      <c r="H423" s="18">
        <f>IF(G423="","",VALUE(SUBSTITUTE(VLOOKUP(G423,'Controle GEral'!F:G,2,FALSE),"R$ ", "")))</f>
        <v>70</v>
      </c>
      <c r="I423" s="23"/>
      <c r="J423" s="18" t="str">
        <f>IF(I423="","",VALUE(SUBSTITUTE(VLOOKUP(I423,'Controle GEral'!H:I,2,FALSE),"R$ ", "")))</f>
        <v/>
      </c>
      <c r="K423" s="23" t="s">
        <v>18</v>
      </c>
      <c r="L423" s="23" t="s">
        <v>19</v>
      </c>
      <c r="N423" s="16"/>
      <c r="O423" s="17"/>
      <c r="P423" s="18" t="e">
        <f t="shared" si="12"/>
        <v>#VALUE!</v>
      </c>
      <c r="Q423" s="22" t="e">
        <f t="shared" si="13"/>
        <v>#VALUE!</v>
      </c>
      <c r="R423" s="23"/>
    </row>
    <row r="424" spans="1:18" ht="12.75">
      <c r="A424" s="22">
        <v>46092</v>
      </c>
      <c r="B424" s="23" t="s">
        <v>14</v>
      </c>
      <c r="C424" s="23" t="s">
        <v>862</v>
      </c>
      <c r="D424" s="19"/>
      <c r="E424" s="23" t="s">
        <v>24</v>
      </c>
      <c r="G424" s="23" t="s">
        <v>16</v>
      </c>
      <c r="H424" s="18">
        <f>IF(G424="","",VALUE(SUBSTITUTE(VLOOKUP(G424,'Controle GEral'!F:G,2,FALSE),"R$ ", "")))</f>
        <v>45</v>
      </c>
      <c r="I424" s="23"/>
      <c r="J424" s="18" t="str">
        <f>IF(I424="","",VALUE(SUBSTITUTE(VLOOKUP(I424,'Controle GEral'!H:I,2,FALSE),"R$ ", "")))</f>
        <v/>
      </c>
      <c r="K424" s="23" t="s">
        <v>18</v>
      </c>
      <c r="L424" s="23" t="s">
        <v>34</v>
      </c>
      <c r="N424" s="16"/>
      <c r="O424" s="17"/>
      <c r="P424" s="18" t="e">
        <f t="shared" si="12"/>
        <v>#VALUE!</v>
      </c>
      <c r="Q424" s="22" t="e">
        <f t="shared" si="13"/>
        <v>#VALUE!</v>
      </c>
      <c r="R424" s="23"/>
    </row>
    <row r="425" spans="1:18" ht="12.75">
      <c r="A425" s="22">
        <v>46093</v>
      </c>
      <c r="B425" s="23" t="s">
        <v>814</v>
      </c>
      <c r="C425" s="23" t="s">
        <v>678</v>
      </c>
      <c r="D425" s="19"/>
      <c r="E425" s="23" t="s">
        <v>15</v>
      </c>
      <c r="G425" s="23" t="s">
        <v>16</v>
      </c>
      <c r="H425" s="18">
        <f>IF(G425="","",VALUE(SUBSTITUTE(VLOOKUP(G425,'Controle GEral'!F:G,2,FALSE),"R$ ", "")))</f>
        <v>45</v>
      </c>
      <c r="I425" s="23"/>
      <c r="J425" s="18" t="str">
        <f>IF(I425="","",VALUE(SUBSTITUTE(VLOOKUP(I425,'Controle GEral'!H:I,2,FALSE),"R$ ", "")))</f>
        <v/>
      </c>
      <c r="K425" s="23" t="s">
        <v>18</v>
      </c>
      <c r="L425" s="23" t="s">
        <v>34</v>
      </c>
      <c r="N425" s="16"/>
      <c r="O425" s="17"/>
      <c r="P425" s="18" t="e">
        <f t="shared" si="12"/>
        <v>#VALUE!</v>
      </c>
      <c r="Q425" s="22" t="e">
        <f t="shared" si="13"/>
        <v>#VALUE!</v>
      </c>
      <c r="R425" s="23"/>
    </row>
    <row r="426" spans="1:18" ht="12.75">
      <c r="A426" s="22">
        <v>46093</v>
      </c>
      <c r="B426" s="23" t="s">
        <v>814</v>
      </c>
      <c r="C426" s="23" t="s">
        <v>595</v>
      </c>
      <c r="D426" s="19"/>
      <c r="E426" s="23" t="s">
        <v>24</v>
      </c>
      <c r="G426" s="23" t="s">
        <v>16</v>
      </c>
      <c r="H426" s="18">
        <f>IF(G426="","",VALUE(SUBSTITUTE(VLOOKUP(G426,'Controle GEral'!F:G,2,FALSE),"R$ ", "")))</f>
        <v>45</v>
      </c>
      <c r="I426" s="23"/>
      <c r="J426" s="18" t="str">
        <f>IF(I426="","",VALUE(SUBSTITUTE(VLOOKUP(I426,'Controle GEral'!H:I,2,FALSE),"R$ ", "")))</f>
        <v/>
      </c>
      <c r="K426" s="23" t="s">
        <v>18</v>
      </c>
      <c r="L426" s="23" t="s">
        <v>34</v>
      </c>
      <c r="N426" s="16"/>
      <c r="O426" s="17"/>
      <c r="P426" s="18" t="e">
        <f t="shared" si="12"/>
        <v>#VALUE!</v>
      </c>
      <c r="Q426" s="22" t="e">
        <f t="shared" si="13"/>
        <v>#VALUE!</v>
      </c>
      <c r="R426" s="23"/>
    </row>
    <row r="427" spans="1:18" ht="12.75">
      <c r="A427" s="22">
        <v>46093</v>
      </c>
      <c r="B427" s="23" t="s">
        <v>14</v>
      </c>
      <c r="C427" s="23" t="s">
        <v>565</v>
      </c>
      <c r="D427" s="19"/>
      <c r="E427" s="23" t="s">
        <v>24</v>
      </c>
      <c r="G427" s="23" t="s">
        <v>25</v>
      </c>
      <c r="H427" s="18">
        <f>IF(G427="","",VALUE(SUBSTITUTE(VLOOKUP(G427,'Controle GEral'!F:G,2,FALSE),"R$ ", "")))</f>
        <v>80</v>
      </c>
      <c r="I427" s="23"/>
      <c r="J427" s="18" t="str">
        <f>IF(I427="","",VALUE(SUBSTITUTE(VLOOKUP(I427,'Controle GEral'!H:I,2,FALSE),"R$ ", "")))</f>
        <v/>
      </c>
      <c r="K427" s="23" t="s">
        <v>18</v>
      </c>
      <c r="L427" s="23" t="s">
        <v>34</v>
      </c>
      <c r="N427" s="16"/>
      <c r="O427" s="17"/>
      <c r="P427" s="18" t="e">
        <f t="shared" si="12"/>
        <v>#VALUE!</v>
      </c>
      <c r="Q427" s="22" t="e">
        <f t="shared" si="13"/>
        <v>#VALUE!</v>
      </c>
      <c r="R427" s="23"/>
    </row>
    <row r="428" spans="1:18" ht="12.75">
      <c r="A428" s="22">
        <v>46093</v>
      </c>
      <c r="B428" s="23" t="s">
        <v>812</v>
      </c>
      <c r="C428" s="23" t="s">
        <v>596</v>
      </c>
      <c r="D428" s="19"/>
      <c r="E428" s="23" t="s">
        <v>24</v>
      </c>
      <c r="G428" s="23" t="s">
        <v>16</v>
      </c>
      <c r="H428" s="18">
        <f>IF(G428="","",VALUE(SUBSTITUTE(VLOOKUP(G428,'Controle GEral'!F:G,2,FALSE),"R$ ", "")))</f>
        <v>45</v>
      </c>
      <c r="I428" s="23"/>
      <c r="J428" s="18" t="str">
        <f>IF(I428="","",VALUE(SUBSTITUTE(VLOOKUP(I428,'Controle GEral'!H:I,2,FALSE),"R$ ", "")))</f>
        <v/>
      </c>
      <c r="K428" s="23" t="s">
        <v>18</v>
      </c>
      <c r="L428" s="23" t="s">
        <v>34</v>
      </c>
      <c r="N428" s="16"/>
      <c r="O428" s="17"/>
      <c r="P428" s="18" t="e">
        <f t="shared" si="12"/>
        <v>#VALUE!</v>
      </c>
      <c r="Q428" s="22" t="e">
        <f t="shared" si="13"/>
        <v>#VALUE!</v>
      </c>
      <c r="R428" s="23"/>
    </row>
    <row r="429" spans="1:18" ht="12.75">
      <c r="A429" s="22">
        <v>46093</v>
      </c>
      <c r="B429" s="23" t="s">
        <v>812</v>
      </c>
      <c r="C429" s="23" t="s">
        <v>652</v>
      </c>
      <c r="D429" s="19"/>
      <c r="E429" s="23" t="s">
        <v>24</v>
      </c>
      <c r="G429" s="23" t="s">
        <v>38</v>
      </c>
      <c r="H429" s="18">
        <f>IF(G429="","",VALUE(SUBSTITUTE(VLOOKUP(G429,'Controle GEral'!F:G,2,FALSE),"R$ ", "")))</f>
        <v>70</v>
      </c>
      <c r="I429" s="23"/>
      <c r="J429" s="18" t="str">
        <f>IF(I429="","",VALUE(SUBSTITUTE(VLOOKUP(I429,'Controle GEral'!H:I,2,FALSE),"R$ ", "")))</f>
        <v/>
      </c>
      <c r="K429" s="23" t="s">
        <v>18</v>
      </c>
      <c r="L429" s="23" t="s">
        <v>19</v>
      </c>
      <c r="N429" s="16"/>
      <c r="O429" s="17"/>
      <c r="P429" s="18" t="e">
        <f t="shared" si="12"/>
        <v>#VALUE!</v>
      </c>
      <c r="Q429" s="22" t="e">
        <f t="shared" si="13"/>
        <v>#VALUE!</v>
      </c>
      <c r="R429" s="23"/>
    </row>
    <row r="430" spans="1:18" ht="12.75">
      <c r="A430" s="22">
        <v>46093</v>
      </c>
      <c r="B430" s="23" t="s">
        <v>812</v>
      </c>
      <c r="C430" s="23" t="s">
        <v>863</v>
      </c>
      <c r="D430" s="19"/>
      <c r="E430" s="23" t="s">
        <v>24</v>
      </c>
      <c r="G430" s="23" t="s">
        <v>38</v>
      </c>
      <c r="H430" s="18">
        <f>IF(G430="","",VALUE(SUBSTITUTE(VLOOKUP(G430,'Controle GEral'!F:G,2,FALSE),"R$ ", "")))</f>
        <v>70</v>
      </c>
      <c r="I430" s="23"/>
      <c r="J430" s="18" t="str">
        <f>IF(I430="","",VALUE(SUBSTITUTE(VLOOKUP(I430,'Controle GEral'!H:I,2,FALSE),"R$ ", "")))</f>
        <v/>
      </c>
      <c r="K430" s="23" t="s">
        <v>18</v>
      </c>
      <c r="L430" s="23" t="s">
        <v>34</v>
      </c>
      <c r="N430" s="16"/>
      <c r="O430" s="17"/>
      <c r="P430" s="18" t="e">
        <f t="shared" si="12"/>
        <v>#VALUE!</v>
      </c>
      <c r="Q430" s="22" t="e">
        <f t="shared" si="13"/>
        <v>#VALUE!</v>
      </c>
      <c r="R430" s="23"/>
    </row>
    <row r="431" spans="1:18" ht="12.75">
      <c r="A431" s="22">
        <v>46093</v>
      </c>
      <c r="B431" s="23" t="s">
        <v>812</v>
      </c>
      <c r="C431" s="23" t="s">
        <v>864</v>
      </c>
      <c r="D431" s="19"/>
      <c r="E431" s="23" t="s">
        <v>24</v>
      </c>
      <c r="G431" s="23"/>
      <c r="H431" s="18" t="str">
        <f>IF(G431="","",VALUE(SUBSTITUTE(VLOOKUP(G431,'Controle GEral'!F:G,2,FALSE),"R$ ", "")))</f>
        <v/>
      </c>
      <c r="I431" s="23"/>
      <c r="J431" s="18" t="str">
        <f>IF(I431="","",VALUE(SUBSTITUTE(VLOOKUP(I431,'Controle GEral'!H:I,2,FALSE),"R$ ", "")))</f>
        <v/>
      </c>
      <c r="K431" s="23"/>
      <c r="L431" s="23"/>
      <c r="N431" s="16"/>
      <c r="O431" s="17"/>
      <c r="P431" s="18" t="e">
        <f t="shared" si="12"/>
        <v>#VALUE!</v>
      </c>
      <c r="Q431" s="22" t="e">
        <f t="shared" si="13"/>
        <v>#VALUE!</v>
      </c>
      <c r="R431" s="23"/>
    </row>
    <row r="432" spans="1:18" ht="12.75">
      <c r="A432" s="22">
        <v>46093</v>
      </c>
      <c r="B432" s="23" t="s">
        <v>812</v>
      </c>
      <c r="C432" s="23" t="s">
        <v>865</v>
      </c>
      <c r="D432" s="19"/>
      <c r="E432" s="23" t="s">
        <v>24</v>
      </c>
      <c r="G432" s="23" t="s">
        <v>16</v>
      </c>
      <c r="H432" s="18">
        <f>IF(G432="","",VALUE(SUBSTITUTE(VLOOKUP(G432,'Controle GEral'!F:G,2,FALSE),"R$ ", "")))</f>
        <v>45</v>
      </c>
      <c r="I432" s="23"/>
      <c r="J432" s="18" t="str">
        <f>IF(I432="","",VALUE(SUBSTITUTE(VLOOKUP(I432,'Controle GEral'!H:I,2,FALSE),"R$ ", "")))</f>
        <v/>
      </c>
      <c r="K432" s="23" t="s">
        <v>18</v>
      </c>
      <c r="L432" s="23" t="s">
        <v>34</v>
      </c>
      <c r="N432" s="16"/>
      <c r="O432" s="17"/>
      <c r="P432" s="18" t="e">
        <f t="shared" si="12"/>
        <v>#VALUE!</v>
      </c>
      <c r="Q432" s="22" t="e">
        <f t="shared" si="13"/>
        <v>#VALUE!</v>
      </c>
      <c r="R432" s="23"/>
    </row>
    <row r="433" spans="1:18" ht="12.75">
      <c r="A433" s="22">
        <v>46093</v>
      </c>
      <c r="B433" s="23" t="s">
        <v>812</v>
      </c>
      <c r="C433" s="23" t="s">
        <v>698</v>
      </c>
      <c r="D433" s="19"/>
      <c r="E433" s="23" t="s">
        <v>24</v>
      </c>
      <c r="G433" s="23" t="s">
        <v>16</v>
      </c>
      <c r="H433" s="18">
        <f>IF(G433="","",VALUE(SUBSTITUTE(VLOOKUP(G433,'Controle GEral'!F:G,2,FALSE),"R$ ", "")))</f>
        <v>45</v>
      </c>
      <c r="I433" s="23"/>
      <c r="J433" s="18" t="str">
        <f>IF(I433="","",VALUE(SUBSTITUTE(VLOOKUP(I433,'Controle GEral'!H:I,2,FALSE),"R$ ", "")))</f>
        <v/>
      </c>
      <c r="K433" s="23" t="s">
        <v>18</v>
      </c>
      <c r="L433" s="23" t="s">
        <v>28</v>
      </c>
      <c r="N433" s="16"/>
      <c r="O433" s="17"/>
      <c r="P433" s="18" t="e">
        <f t="shared" si="12"/>
        <v>#VALUE!</v>
      </c>
      <c r="Q433" s="22" t="e">
        <f t="shared" si="13"/>
        <v>#VALUE!</v>
      </c>
      <c r="R433" s="23"/>
    </row>
    <row r="434" spans="1:18" ht="12.75">
      <c r="A434" s="22">
        <v>46093</v>
      </c>
      <c r="B434" s="23" t="s">
        <v>812</v>
      </c>
      <c r="C434" s="23" t="s">
        <v>629</v>
      </c>
      <c r="D434" s="19"/>
      <c r="E434" s="23" t="s">
        <v>24</v>
      </c>
      <c r="G434" s="23" t="s">
        <v>16</v>
      </c>
      <c r="H434" s="18">
        <f>IF(G434="","",VALUE(SUBSTITUTE(VLOOKUP(G434,'Controle GEral'!F:G,2,FALSE),"R$ ", "")))</f>
        <v>45</v>
      </c>
      <c r="I434" s="23"/>
      <c r="J434" s="18" t="str">
        <f>IF(I434="","",VALUE(SUBSTITUTE(VLOOKUP(I434,'Controle GEral'!H:I,2,FALSE),"R$ ", "")))</f>
        <v/>
      </c>
      <c r="K434" s="23" t="s">
        <v>18</v>
      </c>
      <c r="L434" s="23" t="s">
        <v>28</v>
      </c>
      <c r="N434" s="16"/>
      <c r="O434" s="17"/>
      <c r="P434" s="18" t="e">
        <f t="shared" si="12"/>
        <v>#VALUE!</v>
      </c>
      <c r="Q434" s="22" t="e">
        <f t="shared" si="13"/>
        <v>#VALUE!</v>
      </c>
      <c r="R434" s="23"/>
    </row>
    <row r="435" spans="1:18" ht="12.75">
      <c r="A435" s="22">
        <v>46093</v>
      </c>
      <c r="B435" s="23" t="s">
        <v>812</v>
      </c>
      <c r="C435" s="23" t="s">
        <v>635</v>
      </c>
      <c r="D435" s="19"/>
      <c r="E435" s="23" t="s">
        <v>24</v>
      </c>
      <c r="G435" s="23" t="s">
        <v>16</v>
      </c>
      <c r="H435" s="18">
        <f>IF(G435="","",VALUE(SUBSTITUTE(VLOOKUP(G435,'Controle GEral'!F:G,2,FALSE),"R$ ", "")))</f>
        <v>45</v>
      </c>
      <c r="I435" s="23"/>
      <c r="J435" s="18" t="str">
        <f>IF(I435="","",VALUE(SUBSTITUTE(VLOOKUP(I435,'Controle GEral'!H:I,2,FALSE),"R$ ", "")))</f>
        <v/>
      </c>
      <c r="K435" s="23" t="s">
        <v>18</v>
      </c>
      <c r="L435" s="23" t="s">
        <v>34</v>
      </c>
      <c r="N435" s="16"/>
      <c r="O435" s="17"/>
      <c r="P435" s="18" t="e">
        <f t="shared" si="12"/>
        <v>#VALUE!</v>
      </c>
      <c r="Q435" s="22" t="e">
        <f t="shared" si="13"/>
        <v>#VALUE!</v>
      </c>
      <c r="R435" s="23"/>
    </row>
    <row r="436" spans="1:18" ht="12.75">
      <c r="A436" s="22">
        <v>46094</v>
      </c>
      <c r="B436" s="23" t="s">
        <v>812</v>
      </c>
      <c r="C436" s="23" t="s">
        <v>866</v>
      </c>
      <c r="D436" s="19"/>
      <c r="E436" s="23" t="s">
        <v>24</v>
      </c>
      <c r="G436" s="23" t="s">
        <v>25</v>
      </c>
      <c r="H436" s="18">
        <f>IF(G436="","",VALUE(SUBSTITUTE(VLOOKUP(G436,'Controle GEral'!F:G,2,FALSE),"R$ ", "")))</f>
        <v>80</v>
      </c>
      <c r="I436" s="23"/>
      <c r="J436" s="18" t="str">
        <f>IF(I436="","",VALUE(SUBSTITUTE(VLOOKUP(I436,'Controle GEral'!H:I,2,FALSE),"R$ ", "")))</f>
        <v/>
      </c>
      <c r="K436" s="23" t="s">
        <v>18</v>
      </c>
      <c r="L436" s="23" t="s">
        <v>28</v>
      </c>
      <c r="N436" s="16"/>
      <c r="O436" s="17"/>
      <c r="P436" s="18" t="e">
        <f t="shared" si="12"/>
        <v>#VALUE!</v>
      </c>
      <c r="Q436" s="22" t="e">
        <f t="shared" si="13"/>
        <v>#VALUE!</v>
      </c>
      <c r="R436" s="23"/>
    </row>
    <row r="437" spans="1:18" ht="12.75">
      <c r="A437" s="22">
        <v>46094</v>
      </c>
      <c r="B437" s="23" t="s">
        <v>812</v>
      </c>
      <c r="C437" s="23" t="s">
        <v>867</v>
      </c>
      <c r="D437" s="19"/>
      <c r="E437" s="23" t="s">
        <v>24</v>
      </c>
      <c r="G437" s="23" t="s">
        <v>16</v>
      </c>
      <c r="H437" s="18">
        <f>IF(G437="","",VALUE(SUBSTITUTE(VLOOKUP(G437,'Controle GEral'!F:G,2,FALSE),"R$ ", "")))</f>
        <v>45</v>
      </c>
      <c r="I437" s="23"/>
      <c r="J437" s="18" t="str">
        <f>IF(I437="","",VALUE(SUBSTITUTE(VLOOKUP(I437,'Controle GEral'!H:I,2,FALSE),"R$ ", "")))</f>
        <v/>
      </c>
      <c r="K437" s="23" t="s">
        <v>18</v>
      </c>
      <c r="L437" s="23" t="s">
        <v>34</v>
      </c>
      <c r="N437" s="16"/>
      <c r="O437" s="17"/>
      <c r="P437" s="18" t="e">
        <f t="shared" si="12"/>
        <v>#VALUE!</v>
      </c>
      <c r="Q437" s="22" t="e">
        <f t="shared" si="13"/>
        <v>#VALUE!</v>
      </c>
      <c r="R437" s="23"/>
    </row>
    <row r="438" spans="1:18" ht="12.75">
      <c r="A438" s="22">
        <v>46094</v>
      </c>
      <c r="B438" s="23" t="s">
        <v>812</v>
      </c>
      <c r="C438" s="23" t="s">
        <v>599</v>
      </c>
      <c r="D438" s="19"/>
      <c r="E438" s="23" t="s">
        <v>24</v>
      </c>
      <c r="G438" s="23" t="s">
        <v>32</v>
      </c>
      <c r="H438" s="18">
        <f>IF(G438="","",VALUE(SUBSTITUTE(VLOOKUP(G438,'Controle GEral'!F:G,2,FALSE),"R$ ", "")))</f>
        <v>35</v>
      </c>
      <c r="I438" s="23"/>
      <c r="J438" s="18" t="str">
        <f>IF(I438="","",VALUE(SUBSTITUTE(VLOOKUP(I438,'Controle GEral'!H:I,2,FALSE),"R$ ", "")))</f>
        <v/>
      </c>
      <c r="K438" s="23" t="s">
        <v>18</v>
      </c>
      <c r="L438" s="23" t="s">
        <v>34</v>
      </c>
      <c r="N438" s="16"/>
      <c r="O438" s="17"/>
      <c r="P438" s="18" t="e">
        <f t="shared" si="12"/>
        <v>#VALUE!</v>
      </c>
      <c r="Q438" s="22" t="e">
        <f t="shared" si="13"/>
        <v>#VALUE!</v>
      </c>
      <c r="R438" s="23"/>
    </row>
    <row r="439" spans="1:18" ht="12.75">
      <c r="A439" s="22">
        <v>46094</v>
      </c>
      <c r="B439" s="23" t="s">
        <v>812</v>
      </c>
      <c r="C439" s="23" t="s">
        <v>706</v>
      </c>
      <c r="D439" s="19"/>
      <c r="E439" s="23" t="s">
        <v>24</v>
      </c>
      <c r="G439" s="23" t="s">
        <v>16</v>
      </c>
      <c r="H439" s="18">
        <f>IF(G439="","",VALUE(SUBSTITUTE(VLOOKUP(G439,'Controle GEral'!F:G,2,FALSE),"R$ ", "")))</f>
        <v>45</v>
      </c>
      <c r="I439" s="23"/>
      <c r="J439" s="18" t="str">
        <f>IF(I439="","",VALUE(SUBSTITUTE(VLOOKUP(I439,'Controle GEral'!H:I,2,FALSE),"R$ ", "")))</f>
        <v/>
      </c>
      <c r="K439" s="23" t="s">
        <v>18</v>
      </c>
      <c r="L439" s="23" t="s">
        <v>34</v>
      </c>
      <c r="N439" s="16"/>
      <c r="O439" s="17"/>
      <c r="P439" s="18" t="e">
        <f t="shared" si="12"/>
        <v>#VALUE!</v>
      </c>
      <c r="Q439" s="22" t="e">
        <f t="shared" si="13"/>
        <v>#VALUE!</v>
      </c>
      <c r="R439" s="23"/>
    </row>
    <row r="440" spans="1:18" ht="12.75">
      <c r="A440" s="22">
        <v>46094</v>
      </c>
      <c r="B440" s="23" t="s">
        <v>812</v>
      </c>
      <c r="C440" s="23" t="s">
        <v>601</v>
      </c>
      <c r="D440" s="19"/>
      <c r="E440" s="23" t="s">
        <v>24</v>
      </c>
      <c r="G440" s="23" t="s">
        <v>38</v>
      </c>
      <c r="H440" s="18">
        <f>IF(G440="","",VALUE(SUBSTITUTE(VLOOKUP(G440,'Controle GEral'!F:G,2,FALSE),"R$ ", "")))</f>
        <v>70</v>
      </c>
      <c r="I440" s="23"/>
      <c r="J440" s="18" t="str">
        <f>IF(I440="","",VALUE(SUBSTITUTE(VLOOKUP(I440,'Controle GEral'!H:I,2,FALSE),"R$ ", "")))</f>
        <v/>
      </c>
      <c r="K440" s="23" t="s">
        <v>18</v>
      </c>
      <c r="L440" s="23" t="s">
        <v>34</v>
      </c>
      <c r="N440" s="16"/>
      <c r="O440" s="17"/>
      <c r="P440" s="18" t="e">
        <f t="shared" si="12"/>
        <v>#VALUE!</v>
      </c>
      <c r="Q440" s="22" t="e">
        <f t="shared" si="13"/>
        <v>#VALUE!</v>
      </c>
      <c r="R440" s="23"/>
    </row>
    <row r="441" spans="1:18" ht="12.75">
      <c r="A441" s="22">
        <v>46094</v>
      </c>
      <c r="B441" s="23" t="s">
        <v>812</v>
      </c>
      <c r="C441" s="23" t="s">
        <v>829</v>
      </c>
      <c r="D441" s="19"/>
      <c r="E441" s="23" t="s">
        <v>24</v>
      </c>
      <c r="G441" s="23"/>
      <c r="H441" s="18" t="str">
        <f>IF(G441="","",VALUE(SUBSTITUTE(VLOOKUP(G441,'Controle GEral'!F:G,2,FALSE),"R$ ", "")))</f>
        <v/>
      </c>
      <c r="I441" s="23"/>
      <c r="J441" s="18" t="str">
        <f>IF(I441="","",VALUE(SUBSTITUTE(VLOOKUP(I441,'Controle GEral'!H:I,2,FALSE),"R$ ", "")))</f>
        <v/>
      </c>
      <c r="K441" s="23"/>
      <c r="L441" s="23"/>
      <c r="N441" s="16"/>
      <c r="O441" s="17"/>
      <c r="P441" s="18" t="e">
        <f t="shared" si="12"/>
        <v>#VALUE!</v>
      </c>
      <c r="Q441" s="22" t="e">
        <f t="shared" si="13"/>
        <v>#VALUE!</v>
      </c>
      <c r="R441" s="23"/>
    </row>
    <row r="442" spans="1:18" ht="12.75">
      <c r="A442" s="22">
        <v>46094</v>
      </c>
      <c r="B442" s="23" t="s">
        <v>812</v>
      </c>
      <c r="C442" s="23" t="s">
        <v>868</v>
      </c>
      <c r="D442" s="19"/>
      <c r="E442" s="23" t="s">
        <v>24</v>
      </c>
      <c r="G442" s="23" t="s">
        <v>16</v>
      </c>
      <c r="H442" s="18">
        <f>IF(G442="","",VALUE(SUBSTITUTE(VLOOKUP(G442,'Controle GEral'!F:G,2,FALSE),"R$ ", "")))</f>
        <v>45</v>
      </c>
      <c r="I442" s="23" t="s">
        <v>21</v>
      </c>
      <c r="J442" s="18">
        <f>IF(I442="","",VALUE(SUBSTITUTE(VLOOKUP(I442,'Controle GEral'!H:I,2,FALSE),"R$ ", "")))</f>
        <v>10</v>
      </c>
      <c r="K442" s="23" t="s">
        <v>18</v>
      </c>
      <c r="L442" s="23" t="s">
        <v>34</v>
      </c>
      <c r="N442" s="16"/>
      <c r="O442" s="17"/>
      <c r="P442" s="18">
        <f t="shared" si="12"/>
        <v>55</v>
      </c>
      <c r="Q442" s="22" t="e">
        <f t="shared" si="13"/>
        <v>#VALUE!</v>
      </c>
      <c r="R442" s="23"/>
    </row>
    <row r="443" spans="1:18" ht="12.75">
      <c r="A443" s="22">
        <v>46094</v>
      </c>
      <c r="B443" s="23" t="s">
        <v>812</v>
      </c>
      <c r="C443" s="23" t="s">
        <v>597</v>
      </c>
      <c r="D443" s="19"/>
      <c r="E443" s="23" t="s">
        <v>24</v>
      </c>
      <c r="G443" s="23"/>
      <c r="H443" s="18" t="str">
        <f>IF(G443="","",VALUE(SUBSTITUTE(VLOOKUP(G443,'Controle GEral'!F:G,2,FALSE),"R$ ", "")))</f>
        <v/>
      </c>
      <c r="I443" s="23"/>
      <c r="J443" s="18" t="str">
        <f>IF(I443="","",VALUE(SUBSTITUTE(VLOOKUP(I443,'Controle GEral'!H:I,2,FALSE),"R$ ", "")))</f>
        <v/>
      </c>
      <c r="K443" s="23"/>
      <c r="L443" s="23"/>
      <c r="N443" s="16"/>
      <c r="O443" s="17"/>
      <c r="P443" s="18" t="e">
        <f t="shared" si="12"/>
        <v>#VALUE!</v>
      </c>
      <c r="Q443" s="22" t="e">
        <f t="shared" si="13"/>
        <v>#VALUE!</v>
      </c>
      <c r="R443" s="23"/>
    </row>
    <row r="444" spans="1:18" ht="12.75">
      <c r="A444" s="22">
        <v>46094</v>
      </c>
      <c r="B444" s="23" t="s">
        <v>812</v>
      </c>
      <c r="C444" s="23" t="s">
        <v>566</v>
      </c>
      <c r="D444" s="19"/>
      <c r="E444" s="23" t="s">
        <v>24</v>
      </c>
      <c r="G444" s="23"/>
      <c r="H444" s="18" t="str">
        <f>IF(G444="","",VALUE(SUBSTITUTE(VLOOKUP(G444,'Controle GEral'!F:G,2,FALSE),"R$ ", "")))</f>
        <v/>
      </c>
      <c r="I444" s="23"/>
      <c r="J444" s="18" t="str">
        <f>IF(I444="","",VALUE(SUBSTITUTE(VLOOKUP(I444,'Controle GEral'!H:I,2,FALSE),"R$ ", "")))</f>
        <v/>
      </c>
      <c r="K444" s="23"/>
      <c r="L444" s="23"/>
      <c r="N444" s="16"/>
      <c r="O444" s="17"/>
      <c r="P444" s="18" t="e">
        <f t="shared" si="12"/>
        <v>#VALUE!</v>
      </c>
      <c r="Q444" s="22" t="e">
        <f t="shared" si="13"/>
        <v>#VALUE!</v>
      </c>
      <c r="R444" s="23"/>
    </row>
    <row r="445" spans="1:18" ht="12.75">
      <c r="A445" s="22">
        <v>46094</v>
      </c>
      <c r="B445" s="23" t="s">
        <v>812</v>
      </c>
      <c r="C445" s="23" t="s">
        <v>614</v>
      </c>
      <c r="D445" s="19"/>
      <c r="E445" s="23" t="s">
        <v>24</v>
      </c>
      <c r="G445" s="23" t="s">
        <v>16</v>
      </c>
      <c r="H445" s="18">
        <f>IF(G445="","",VALUE(SUBSTITUTE(VLOOKUP(G445,'Controle GEral'!F:G,2,FALSE),"R$ ", "")))</f>
        <v>45</v>
      </c>
      <c r="I445" s="23" t="s">
        <v>21</v>
      </c>
      <c r="J445" s="18">
        <f>IF(I445="","",VALUE(SUBSTITUTE(VLOOKUP(I445,'Controle GEral'!H:I,2,FALSE),"R$ ", "")))</f>
        <v>10</v>
      </c>
      <c r="K445" s="23" t="s">
        <v>18</v>
      </c>
      <c r="L445" s="23" t="s">
        <v>34</v>
      </c>
      <c r="N445" s="16"/>
      <c r="O445" s="17"/>
      <c r="P445" s="18">
        <f t="shared" si="12"/>
        <v>55</v>
      </c>
      <c r="Q445" s="22" t="e">
        <f t="shared" si="13"/>
        <v>#VALUE!</v>
      </c>
      <c r="R445" s="23"/>
    </row>
    <row r="446" spans="1:18" ht="12.75">
      <c r="A446" s="22">
        <v>46094</v>
      </c>
      <c r="B446" s="23" t="s">
        <v>812</v>
      </c>
      <c r="C446" s="23" t="s">
        <v>612</v>
      </c>
      <c r="D446" s="19"/>
      <c r="E446" s="23" t="s">
        <v>24</v>
      </c>
      <c r="G446" s="23" t="s">
        <v>38</v>
      </c>
      <c r="H446" s="18">
        <f>IF(G446="","",VALUE(SUBSTITUTE(VLOOKUP(G446,'Controle GEral'!F:G,2,FALSE),"R$ ", "")))</f>
        <v>70</v>
      </c>
      <c r="I446" s="23"/>
      <c r="J446" s="18" t="str">
        <f>IF(I446="","",VALUE(SUBSTITUTE(VLOOKUP(I446,'Controle GEral'!H:I,2,FALSE),"R$ ", "")))</f>
        <v/>
      </c>
      <c r="K446" s="23" t="s">
        <v>18</v>
      </c>
      <c r="L446" s="23" t="s">
        <v>34</v>
      </c>
      <c r="N446" s="16"/>
      <c r="O446" s="17"/>
      <c r="P446" s="18" t="e">
        <f t="shared" si="12"/>
        <v>#VALUE!</v>
      </c>
      <c r="Q446" s="22" t="e">
        <f t="shared" si="13"/>
        <v>#VALUE!</v>
      </c>
      <c r="R446" s="23"/>
    </row>
    <row r="447" spans="1:18" ht="12.75">
      <c r="A447" s="22">
        <v>46094</v>
      </c>
      <c r="B447" s="23" t="s">
        <v>812</v>
      </c>
      <c r="C447" s="23" t="s">
        <v>664</v>
      </c>
      <c r="D447" s="19"/>
      <c r="E447" s="23" t="s">
        <v>24</v>
      </c>
      <c r="G447" s="23" t="s">
        <v>16</v>
      </c>
      <c r="H447" s="18">
        <f>IF(G447="","",VALUE(SUBSTITUTE(VLOOKUP(G447,'Controle GEral'!F:G,2,FALSE),"R$ ", "")))</f>
        <v>45</v>
      </c>
      <c r="I447" s="23" t="s">
        <v>21</v>
      </c>
      <c r="J447" s="18">
        <f>IF(I447="","",VALUE(SUBSTITUTE(VLOOKUP(I447,'Controle GEral'!H:I,2,FALSE),"R$ ", "")))</f>
        <v>10</v>
      </c>
      <c r="K447" s="23" t="s">
        <v>18</v>
      </c>
      <c r="L447" s="23" t="s">
        <v>34</v>
      </c>
      <c r="N447" s="16"/>
      <c r="O447" s="17"/>
      <c r="P447" s="18">
        <f t="shared" si="12"/>
        <v>55</v>
      </c>
      <c r="Q447" s="22" t="e">
        <f t="shared" si="13"/>
        <v>#VALUE!</v>
      </c>
      <c r="R447" s="23"/>
    </row>
    <row r="448" spans="1:18" ht="12.75">
      <c r="A448" s="22">
        <v>46094</v>
      </c>
      <c r="B448" s="23" t="s">
        <v>814</v>
      </c>
      <c r="C448" s="23" t="s">
        <v>783</v>
      </c>
      <c r="D448" s="19"/>
      <c r="E448" s="23" t="s">
        <v>24</v>
      </c>
      <c r="G448" s="23" t="s">
        <v>25</v>
      </c>
      <c r="H448" s="18">
        <f>IF(G448="","",VALUE(SUBSTITUTE(VLOOKUP(G448,'Controle GEral'!F:G,2,FALSE),"R$ ", "")))</f>
        <v>80</v>
      </c>
      <c r="I448" s="23" t="s">
        <v>21</v>
      </c>
      <c r="J448" s="18">
        <f>IF(I448="","",VALUE(SUBSTITUTE(VLOOKUP(I448,'Controle GEral'!H:I,2,FALSE),"R$ ", "")))</f>
        <v>10</v>
      </c>
      <c r="K448" s="23" t="s">
        <v>18</v>
      </c>
      <c r="L448" s="23" t="s">
        <v>28</v>
      </c>
      <c r="N448" s="16"/>
      <c r="O448" s="17"/>
      <c r="P448" s="18">
        <f t="shared" si="12"/>
        <v>90</v>
      </c>
      <c r="Q448" s="22" t="e">
        <f t="shared" si="13"/>
        <v>#VALUE!</v>
      </c>
      <c r="R448" s="23"/>
    </row>
    <row r="449" spans="1:18" ht="12.75">
      <c r="A449" s="22">
        <v>46094</v>
      </c>
      <c r="B449" s="23" t="s">
        <v>814</v>
      </c>
      <c r="C449" s="23" t="s">
        <v>869</v>
      </c>
      <c r="D449" s="19"/>
      <c r="E449" s="23" t="s">
        <v>24</v>
      </c>
      <c r="G449" s="23" t="s">
        <v>25</v>
      </c>
      <c r="H449" s="18">
        <f>IF(G449="","",VALUE(SUBSTITUTE(VLOOKUP(G449,'Controle GEral'!F:G,2,FALSE),"R$ ", "")))</f>
        <v>80</v>
      </c>
      <c r="I449" s="23"/>
      <c r="J449" s="18" t="str">
        <f>IF(I449="","",VALUE(SUBSTITUTE(VLOOKUP(I449,'Controle GEral'!H:I,2,FALSE),"R$ ", "")))</f>
        <v/>
      </c>
      <c r="K449" s="23" t="s">
        <v>18</v>
      </c>
      <c r="L449" s="23" t="s">
        <v>34</v>
      </c>
      <c r="N449" s="16"/>
      <c r="O449" s="17"/>
      <c r="P449" s="18" t="e">
        <f t="shared" si="12"/>
        <v>#VALUE!</v>
      </c>
      <c r="Q449" s="22" t="e">
        <f t="shared" si="13"/>
        <v>#VALUE!</v>
      </c>
      <c r="R449" s="23"/>
    </row>
    <row r="450" spans="1:18" ht="12.75">
      <c r="A450" s="22">
        <v>46094</v>
      </c>
      <c r="B450" s="23" t="s">
        <v>814</v>
      </c>
      <c r="C450" s="23" t="s">
        <v>651</v>
      </c>
      <c r="D450" s="19"/>
      <c r="E450" s="23" t="s">
        <v>24</v>
      </c>
      <c r="G450" s="23" t="s">
        <v>16</v>
      </c>
      <c r="H450" s="18">
        <f>IF(G450="","",VALUE(SUBSTITUTE(VLOOKUP(G450,'Controle GEral'!F:G,2,FALSE),"R$ ", "")))</f>
        <v>45</v>
      </c>
      <c r="I450" s="23"/>
      <c r="J450" s="18" t="str">
        <f>IF(I450="","",VALUE(SUBSTITUTE(VLOOKUP(I450,'Controle GEral'!H:I,2,FALSE),"R$ ", "")))</f>
        <v/>
      </c>
      <c r="K450" s="23" t="s">
        <v>18</v>
      </c>
      <c r="L450" s="23" t="s">
        <v>34</v>
      </c>
      <c r="N450" s="16"/>
      <c r="O450" s="17"/>
      <c r="P450" s="18" t="e">
        <f t="shared" ref="P450:P513" si="14">H450+J450+S450</f>
        <v>#VALUE!</v>
      </c>
      <c r="Q450" s="22" t="e">
        <f t="shared" ref="Q450:Q513" si="15">DATEVALUE(A450)</f>
        <v>#VALUE!</v>
      </c>
      <c r="R450" s="23"/>
    </row>
    <row r="451" spans="1:18" ht="12.75">
      <c r="A451" s="22">
        <v>46094</v>
      </c>
      <c r="B451" s="23" t="s">
        <v>814</v>
      </c>
      <c r="C451" s="23" t="s">
        <v>716</v>
      </c>
      <c r="D451" s="19"/>
      <c r="E451" s="23" t="s">
        <v>24</v>
      </c>
      <c r="G451" s="23" t="s">
        <v>16</v>
      </c>
      <c r="H451" s="18">
        <f>IF(G451="","",VALUE(SUBSTITUTE(VLOOKUP(G451,'Controle GEral'!F:G,2,FALSE),"R$ ", "")))</f>
        <v>45</v>
      </c>
      <c r="I451" s="23"/>
      <c r="J451" s="18" t="str">
        <f>IF(I451="","",VALUE(SUBSTITUTE(VLOOKUP(I451,'Controle GEral'!H:I,2,FALSE),"R$ ", "")))</f>
        <v/>
      </c>
      <c r="K451" s="23" t="s">
        <v>18</v>
      </c>
      <c r="L451" s="23" t="s">
        <v>34</v>
      </c>
      <c r="N451" s="16"/>
      <c r="O451" s="17"/>
      <c r="P451" s="18" t="e">
        <f t="shared" si="14"/>
        <v>#VALUE!</v>
      </c>
      <c r="Q451" s="22" t="e">
        <f t="shared" si="15"/>
        <v>#VALUE!</v>
      </c>
      <c r="R451" s="23"/>
    </row>
    <row r="452" spans="1:18" ht="12.75">
      <c r="A452" s="22">
        <v>46094</v>
      </c>
      <c r="B452" s="23" t="s">
        <v>814</v>
      </c>
      <c r="C452" s="23" t="s">
        <v>623</v>
      </c>
      <c r="D452" s="19"/>
      <c r="E452" s="23" t="s">
        <v>24</v>
      </c>
      <c r="G452" s="23" t="s">
        <v>16</v>
      </c>
      <c r="H452" s="18">
        <f>IF(G452="","",VALUE(SUBSTITUTE(VLOOKUP(G452,'Controle GEral'!F:G,2,FALSE),"R$ ", "")))</f>
        <v>45</v>
      </c>
      <c r="I452" s="23"/>
      <c r="J452" s="18" t="str">
        <f>IF(I452="","",VALUE(SUBSTITUTE(VLOOKUP(I452,'Controle GEral'!H:I,2,FALSE),"R$ ", "")))</f>
        <v/>
      </c>
      <c r="K452" s="23" t="s">
        <v>18</v>
      </c>
      <c r="L452" s="23" t="s">
        <v>19</v>
      </c>
      <c r="N452" s="16"/>
      <c r="O452" s="17"/>
      <c r="P452" s="18" t="e">
        <f t="shared" si="14"/>
        <v>#VALUE!</v>
      </c>
      <c r="Q452" s="22" t="e">
        <f t="shared" si="15"/>
        <v>#VALUE!</v>
      </c>
      <c r="R452" s="23"/>
    </row>
    <row r="453" spans="1:18" ht="12.75">
      <c r="A453" s="22">
        <v>46094</v>
      </c>
      <c r="B453" s="23" t="s">
        <v>814</v>
      </c>
      <c r="C453" s="23" t="s">
        <v>870</v>
      </c>
      <c r="D453" s="19"/>
      <c r="E453" s="23" t="s">
        <v>24</v>
      </c>
      <c r="G453" s="23" t="s">
        <v>38</v>
      </c>
      <c r="H453" s="18">
        <f>IF(G453="","",VALUE(SUBSTITUTE(VLOOKUP(G453,'Controle GEral'!F:G,2,FALSE),"R$ ", "")))</f>
        <v>70</v>
      </c>
      <c r="I453" s="23"/>
      <c r="J453" s="18" t="str">
        <f>IF(I453="","",VALUE(SUBSTITUTE(VLOOKUP(I453,'Controle GEral'!H:I,2,FALSE),"R$ ", "")))</f>
        <v/>
      </c>
      <c r="K453" s="23" t="s">
        <v>18</v>
      </c>
      <c r="L453" s="23" t="s">
        <v>34</v>
      </c>
      <c r="N453" s="16"/>
      <c r="O453" s="17"/>
      <c r="P453" s="18" t="e">
        <f t="shared" si="14"/>
        <v>#VALUE!</v>
      </c>
      <c r="Q453" s="22" t="e">
        <f t="shared" si="15"/>
        <v>#VALUE!</v>
      </c>
      <c r="R453" s="23"/>
    </row>
    <row r="454" spans="1:18" ht="12.75">
      <c r="A454" s="22">
        <v>46094</v>
      </c>
      <c r="B454" s="23" t="s">
        <v>814</v>
      </c>
      <c r="C454" s="23" t="s">
        <v>669</v>
      </c>
      <c r="D454" s="19"/>
      <c r="E454" s="23" t="s">
        <v>24</v>
      </c>
      <c r="G454" s="23"/>
      <c r="H454" s="18" t="str">
        <f>IF(G454="","",VALUE(SUBSTITUTE(VLOOKUP(G454,'Controle GEral'!F:G,2,FALSE),"R$ ", "")))</f>
        <v/>
      </c>
      <c r="I454" s="23"/>
      <c r="J454" s="18" t="str">
        <f>IF(I454="","",VALUE(SUBSTITUTE(VLOOKUP(I454,'Controle GEral'!H:I,2,FALSE),"R$ ", "")))</f>
        <v/>
      </c>
      <c r="K454" s="23"/>
      <c r="L454" s="23"/>
      <c r="N454" s="16"/>
      <c r="O454" s="17"/>
      <c r="P454" s="18" t="e">
        <f t="shared" si="14"/>
        <v>#VALUE!</v>
      </c>
      <c r="Q454" s="22" t="e">
        <f t="shared" si="15"/>
        <v>#VALUE!</v>
      </c>
      <c r="R454" s="23"/>
    </row>
    <row r="455" spans="1:18" ht="12.75">
      <c r="A455" s="22">
        <v>46094</v>
      </c>
      <c r="B455" s="23" t="s">
        <v>814</v>
      </c>
      <c r="C455" s="23" t="s">
        <v>871</v>
      </c>
      <c r="D455" s="19"/>
      <c r="E455" s="23" t="s">
        <v>24</v>
      </c>
      <c r="G455" s="23" t="s">
        <v>16</v>
      </c>
      <c r="H455" s="18">
        <f>IF(G455="","",VALUE(SUBSTITUTE(VLOOKUP(G455,'Controle GEral'!F:G,2,FALSE),"R$ ", "")))</f>
        <v>45</v>
      </c>
      <c r="I455" s="23"/>
      <c r="J455" s="18" t="str">
        <f>IF(I455="","",VALUE(SUBSTITUTE(VLOOKUP(I455,'Controle GEral'!H:I,2,FALSE),"R$ ", "")))</f>
        <v/>
      </c>
      <c r="K455" s="23" t="s">
        <v>18</v>
      </c>
      <c r="L455" s="23" t="s">
        <v>34</v>
      </c>
      <c r="N455" s="16"/>
      <c r="O455" s="17"/>
      <c r="P455" s="18" t="e">
        <f t="shared" si="14"/>
        <v>#VALUE!</v>
      </c>
      <c r="Q455" s="22" t="e">
        <f t="shared" si="15"/>
        <v>#VALUE!</v>
      </c>
      <c r="R455" s="23"/>
    </row>
    <row r="456" spans="1:18" ht="12.75">
      <c r="A456" s="22">
        <v>46094</v>
      </c>
      <c r="B456" s="23" t="s">
        <v>814</v>
      </c>
      <c r="C456" s="23" t="s">
        <v>771</v>
      </c>
      <c r="D456" s="19"/>
      <c r="E456" s="23" t="s">
        <v>24</v>
      </c>
      <c r="G456" s="23" t="s">
        <v>16</v>
      </c>
      <c r="H456" s="18">
        <f>IF(G456="","",VALUE(SUBSTITUTE(VLOOKUP(G456,'Controle GEral'!F:G,2,FALSE),"R$ ", "")))</f>
        <v>45</v>
      </c>
      <c r="I456" s="23"/>
      <c r="J456" s="18" t="str">
        <f>IF(I456="","",VALUE(SUBSTITUTE(VLOOKUP(I456,'Controle GEral'!H:I,2,FALSE),"R$ ", "")))</f>
        <v/>
      </c>
      <c r="K456" s="23" t="s">
        <v>18</v>
      </c>
      <c r="L456" s="23" t="s">
        <v>34</v>
      </c>
      <c r="N456" s="16"/>
      <c r="O456" s="17"/>
      <c r="P456" s="18" t="e">
        <f t="shared" si="14"/>
        <v>#VALUE!</v>
      </c>
      <c r="Q456" s="22" t="e">
        <f t="shared" si="15"/>
        <v>#VALUE!</v>
      </c>
      <c r="R456" s="23"/>
    </row>
    <row r="457" spans="1:18" ht="12.75">
      <c r="A457" s="22">
        <v>46094</v>
      </c>
      <c r="B457" s="23" t="s">
        <v>814</v>
      </c>
      <c r="C457" s="23" t="s">
        <v>725</v>
      </c>
      <c r="D457" s="19"/>
      <c r="E457" s="23" t="s">
        <v>24</v>
      </c>
      <c r="G457" s="23"/>
      <c r="H457" s="18" t="str">
        <f>IF(G457="","",VALUE(SUBSTITUTE(VLOOKUP(G457,'Controle GEral'!F:G,2,FALSE),"R$ ", "")))</f>
        <v/>
      </c>
      <c r="I457" s="23"/>
      <c r="J457" s="18" t="str">
        <f>IF(I457="","",VALUE(SUBSTITUTE(VLOOKUP(I457,'Controle GEral'!H:I,2,FALSE),"R$ ", "")))</f>
        <v/>
      </c>
      <c r="K457" s="23"/>
      <c r="L457" s="23"/>
      <c r="N457" s="16"/>
      <c r="O457" s="17"/>
      <c r="P457" s="18" t="e">
        <f t="shared" si="14"/>
        <v>#VALUE!</v>
      </c>
      <c r="Q457" s="22" t="e">
        <f t="shared" si="15"/>
        <v>#VALUE!</v>
      </c>
      <c r="R457" s="23"/>
    </row>
    <row r="458" spans="1:18" ht="12.75">
      <c r="A458" s="22">
        <v>46094</v>
      </c>
      <c r="B458" s="23" t="s">
        <v>814</v>
      </c>
      <c r="C458" s="23" t="s">
        <v>872</v>
      </c>
      <c r="D458" s="19"/>
      <c r="E458" s="23" t="s">
        <v>24</v>
      </c>
      <c r="G458" s="23" t="s">
        <v>12</v>
      </c>
      <c r="H458" s="18" t="e">
        <f>IF(G458="","",VALUE(SUBSTITUTE(VLOOKUP(G458,'Controle GEral'!F:G,2,FALSE),"R$ ", "")))</f>
        <v>#N/A</v>
      </c>
      <c r="I458" s="23"/>
      <c r="J458" s="18" t="str">
        <f>IF(I458="","",VALUE(SUBSTITUTE(VLOOKUP(I458,'Controle GEral'!H:I,2,FALSE),"R$ ", "")))</f>
        <v/>
      </c>
      <c r="K458" s="23" t="s">
        <v>18</v>
      </c>
      <c r="L458" s="23" t="s">
        <v>34</v>
      </c>
      <c r="N458" s="16"/>
      <c r="O458" s="17"/>
      <c r="P458" s="23" t="e">
        <f t="shared" si="14"/>
        <v>#N/A</v>
      </c>
      <c r="Q458" s="22" t="e">
        <f t="shared" si="15"/>
        <v>#VALUE!</v>
      </c>
      <c r="R458" s="23"/>
    </row>
    <row r="459" spans="1:18" ht="12.75">
      <c r="A459" s="22">
        <v>46095</v>
      </c>
      <c r="B459" s="23" t="s">
        <v>14</v>
      </c>
      <c r="C459" s="23" t="s">
        <v>873</v>
      </c>
      <c r="D459" s="19"/>
      <c r="E459" s="23" t="s">
        <v>24</v>
      </c>
      <c r="G459" s="23" t="s">
        <v>38</v>
      </c>
      <c r="H459" s="18">
        <f>IF(G459="","",VALUE(SUBSTITUTE(VLOOKUP(G459,'Controle GEral'!F:G,2,FALSE),"R$ ", "")))</f>
        <v>70</v>
      </c>
      <c r="I459" s="23"/>
      <c r="J459" s="18" t="str">
        <f>IF(I459="","",VALUE(SUBSTITUTE(VLOOKUP(I459,'Controle GEral'!H:I,2,FALSE),"R$ ", "")))</f>
        <v/>
      </c>
      <c r="K459" s="23" t="s">
        <v>18</v>
      </c>
      <c r="L459" s="23" t="s">
        <v>19</v>
      </c>
      <c r="N459" s="16"/>
      <c r="O459" s="17"/>
      <c r="P459" s="18" t="e">
        <f t="shared" si="14"/>
        <v>#VALUE!</v>
      </c>
      <c r="Q459" s="22" t="e">
        <f t="shared" si="15"/>
        <v>#VALUE!</v>
      </c>
      <c r="R459" s="23"/>
    </row>
    <row r="460" spans="1:18" ht="12.75">
      <c r="A460" s="22">
        <v>46095</v>
      </c>
      <c r="B460" s="23" t="s">
        <v>14</v>
      </c>
      <c r="C460" s="23" t="s">
        <v>874</v>
      </c>
      <c r="D460" s="19"/>
      <c r="E460" s="23" t="s">
        <v>24</v>
      </c>
      <c r="G460" s="23" t="s">
        <v>25</v>
      </c>
      <c r="H460" s="18">
        <f>IF(G460="","",VALUE(SUBSTITUTE(VLOOKUP(G460,'Controle GEral'!F:G,2,FALSE),"R$ ", "")))</f>
        <v>80</v>
      </c>
      <c r="I460" s="23"/>
      <c r="J460" s="18" t="str">
        <f>IF(I460="","",VALUE(SUBSTITUTE(VLOOKUP(I460,'Controle GEral'!H:I,2,FALSE),"R$ ", "")))</f>
        <v/>
      </c>
      <c r="K460" s="23" t="s">
        <v>18</v>
      </c>
      <c r="L460" s="23" t="s">
        <v>34</v>
      </c>
      <c r="N460" s="16"/>
      <c r="O460" s="17"/>
      <c r="P460" s="18" t="e">
        <f t="shared" si="14"/>
        <v>#VALUE!</v>
      </c>
      <c r="Q460" s="22" t="e">
        <f t="shared" si="15"/>
        <v>#VALUE!</v>
      </c>
      <c r="R460" s="23"/>
    </row>
    <row r="461" spans="1:18" ht="12.75">
      <c r="A461" s="22">
        <v>46095</v>
      </c>
      <c r="B461" s="23" t="s">
        <v>14</v>
      </c>
      <c r="C461" s="23" t="s">
        <v>772</v>
      </c>
      <c r="D461" s="19"/>
      <c r="E461" s="23" t="s">
        <v>24</v>
      </c>
      <c r="G461" s="23" t="s">
        <v>12</v>
      </c>
      <c r="H461" s="18" t="e">
        <f>IF(G461="","",VALUE(SUBSTITUTE(VLOOKUP(G461,'Controle GEral'!F:G,2,FALSE),"R$ ", "")))</f>
        <v>#N/A</v>
      </c>
      <c r="I461" s="23"/>
      <c r="J461" s="18" t="str">
        <f>IF(I461="","",VALUE(SUBSTITUTE(VLOOKUP(I461,'Controle GEral'!H:I,2,FALSE),"R$ ", "")))</f>
        <v/>
      </c>
      <c r="K461" s="23" t="s">
        <v>18</v>
      </c>
      <c r="L461" s="23" t="s">
        <v>34</v>
      </c>
      <c r="N461" s="16"/>
      <c r="O461" s="17"/>
      <c r="P461" s="23" t="e">
        <f t="shared" si="14"/>
        <v>#N/A</v>
      </c>
      <c r="Q461" s="22" t="e">
        <f t="shared" si="15"/>
        <v>#VALUE!</v>
      </c>
      <c r="R461" s="23"/>
    </row>
    <row r="462" spans="1:18" ht="12.75">
      <c r="A462" s="22">
        <v>46095</v>
      </c>
      <c r="B462" s="23" t="s">
        <v>14</v>
      </c>
      <c r="C462" s="23" t="s">
        <v>608</v>
      </c>
      <c r="D462" s="19"/>
      <c r="E462" s="23" t="s">
        <v>24</v>
      </c>
      <c r="G462" s="23" t="s">
        <v>16</v>
      </c>
      <c r="H462" s="18">
        <f>IF(G462="","",VALUE(SUBSTITUTE(VLOOKUP(G462,'Controle GEral'!F:G,2,FALSE),"R$ ", "")))</f>
        <v>45</v>
      </c>
      <c r="I462" s="23"/>
      <c r="J462" s="18" t="str">
        <f>IF(I462="","",VALUE(SUBSTITUTE(VLOOKUP(I462,'Controle GEral'!H:I,2,FALSE),"R$ ", "")))</f>
        <v/>
      </c>
      <c r="K462" s="23" t="s">
        <v>18</v>
      </c>
      <c r="L462" s="23" t="s">
        <v>34</v>
      </c>
      <c r="N462" s="16"/>
      <c r="O462" s="17"/>
      <c r="P462" s="18" t="e">
        <f t="shared" si="14"/>
        <v>#VALUE!</v>
      </c>
      <c r="Q462" s="22" t="e">
        <f t="shared" si="15"/>
        <v>#VALUE!</v>
      </c>
      <c r="R462" s="23"/>
    </row>
    <row r="463" spans="1:18" ht="12.75">
      <c r="A463" s="22">
        <v>46095</v>
      </c>
      <c r="B463" s="23" t="s">
        <v>14</v>
      </c>
      <c r="C463" s="23" t="s">
        <v>875</v>
      </c>
      <c r="D463" s="19"/>
      <c r="E463" s="23" t="s">
        <v>24</v>
      </c>
      <c r="G463" s="23" t="s">
        <v>16</v>
      </c>
      <c r="H463" s="18">
        <f>IF(G463="","",VALUE(SUBSTITUTE(VLOOKUP(G463,'Controle GEral'!F:G,2,FALSE),"R$ ", "")))</f>
        <v>45</v>
      </c>
      <c r="I463" s="23"/>
      <c r="J463" s="18" t="str">
        <f>IF(I463="","",VALUE(SUBSTITUTE(VLOOKUP(I463,'Controle GEral'!H:I,2,FALSE),"R$ ", "")))</f>
        <v/>
      </c>
      <c r="K463" s="23" t="s">
        <v>18</v>
      </c>
      <c r="L463" s="23" t="s">
        <v>34</v>
      </c>
      <c r="N463" s="16"/>
      <c r="O463" s="17"/>
      <c r="P463" s="18" t="e">
        <f t="shared" si="14"/>
        <v>#VALUE!</v>
      </c>
      <c r="Q463" s="22" t="e">
        <f t="shared" si="15"/>
        <v>#VALUE!</v>
      </c>
      <c r="R463" s="23"/>
    </row>
    <row r="464" spans="1:18" ht="12.75">
      <c r="A464" s="22">
        <v>46095</v>
      </c>
      <c r="B464" s="23" t="s">
        <v>14</v>
      </c>
      <c r="C464" s="23" t="s">
        <v>600</v>
      </c>
      <c r="D464" s="19"/>
      <c r="E464" s="23" t="s">
        <v>24</v>
      </c>
      <c r="G464" s="23" t="s">
        <v>25</v>
      </c>
      <c r="H464" s="18">
        <f>IF(G464="","",VALUE(SUBSTITUTE(VLOOKUP(G464,'Controle GEral'!F:G,2,FALSE),"R$ ", "")))</f>
        <v>80</v>
      </c>
      <c r="I464" s="23"/>
      <c r="J464" s="18" t="str">
        <f>IF(I464="","",VALUE(SUBSTITUTE(VLOOKUP(I464,'Controle GEral'!H:I,2,FALSE),"R$ ", "")))</f>
        <v/>
      </c>
      <c r="K464" s="23" t="s">
        <v>18</v>
      </c>
      <c r="L464" s="23" t="s">
        <v>19</v>
      </c>
      <c r="N464" s="16"/>
      <c r="O464" s="17"/>
      <c r="P464" s="18" t="e">
        <f t="shared" si="14"/>
        <v>#VALUE!</v>
      </c>
      <c r="Q464" s="22" t="e">
        <f t="shared" si="15"/>
        <v>#VALUE!</v>
      </c>
      <c r="R464" s="23"/>
    </row>
    <row r="465" spans="1:18" ht="12.75">
      <c r="A465" s="22">
        <v>46095</v>
      </c>
      <c r="B465" s="23" t="s">
        <v>14</v>
      </c>
      <c r="C465" s="23" t="s">
        <v>876</v>
      </c>
      <c r="D465" s="19"/>
      <c r="E465" s="23" t="s">
        <v>24</v>
      </c>
      <c r="G465" s="23" t="s">
        <v>38</v>
      </c>
      <c r="H465" s="18">
        <f>IF(G465="","",VALUE(SUBSTITUTE(VLOOKUP(G465,'Controle GEral'!F:G,2,FALSE),"R$ ", "")))</f>
        <v>70</v>
      </c>
      <c r="I465" s="23"/>
      <c r="J465" s="18" t="str">
        <f>IF(I465="","",VALUE(SUBSTITUTE(VLOOKUP(I465,'Controle GEral'!H:I,2,FALSE),"R$ ", "")))</f>
        <v/>
      </c>
      <c r="K465" s="23" t="s">
        <v>18</v>
      </c>
      <c r="L465" s="23" t="s">
        <v>34</v>
      </c>
      <c r="N465" s="16"/>
      <c r="O465" s="17"/>
      <c r="P465" s="18" t="e">
        <f t="shared" si="14"/>
        <v>#VALUE!</v>
      </c>
      <c r="Q465" s="22" t="e">
        <f t="shared" si="15"/>
        <v>#VALUE!</v>
      </c>
      <c r="R465" s="23"/>
    </row>
    <row r="466" spans="1:18" ht="12.75">
      <c r="A466" s="22">
        <v>46095</v>
      </c>
      <c r="B466" s="23" t="s">
        <v>14</v>
      </c>
      <c r="C466" s="23" t="s">
        <v>586</v>
      </c>
      <c r="D466" s="19"/>
      <c r="E466" s="23" t="s">
        <v>24</v>
      </c>
      <c r="G466" s="23"/>
      <c r="H466" s="18" t="str">
        <f>IF(G466="","",VALUE(SUBSTITUTE(VLOOKUP(G466,'Controle GEral'!F:G,2,FALSE),"R$ ", "")))</f>
        <v/>
      </c>
      <c r="I466" s="23"/>
      <c r="J466" s="18" t="str">
        <f>IF(I466="","",VALUE(SUBSTITUTE(VLOOKUP(I466,'Controle GEral'!H:I,2,FALSE),"R$ ", "")))</f>
        <v/>
      </c>
      <c r="K466" s="23"/>
      <c r="L466" s="23"/>
      <c r="N466" s="16"/>
      <c r="O466" s="17"/>
      <c r="P466" s="18" t="e">
        <f t="shared" si="14"/>
        <v>#VALUE!</v>
      </c>
      <c r="Q466" s="22" t="e">
        <f t="shared" si="15"/>
        <v>#VALUE!</v>
      </c>
      <c r="R466" s="23"/>
    </row>
    <row r="467" spans="1:18" ht="12.75">
      <c r="A467" s="22">
        <v>46095</v>
      </c>
      <c r="B467" s="23" t="s">
        <v>14</v>
      </c>
      <c r="C467" s="23" t="s">
        <v>653</v>
      </c>
      <c r="D467" s="19"/>
      <c r="E467" s="23" t="s">
        <v>24</v>
      </c>
      <c r="G467" s="23" t="s">
        <v>43</v>
      </c>
      <c r="H467" s="18">
        <f>IF(G467="","",VALUE(SUBSTITUTE(VLOOKUP(G467,'Controle GEral'!F:G,2,FALSE),"R$ ", "")))</f>
        <v>25</v>
      </c>
      <c r="I467" s="23"/>
      <c r="J467" s="18" t="str">
        <f>IF(I467="","",VALUE(SUBSTITUTE(VLOOKUP(I467,'Controle GEral'!H:I,2,FALSE),"R$ ", "")))</f>
        <v/>
      </c>
      <c r="K467" s="23" t="s">
        <v>18</v>
      </c>
      <c r="L467" s="23" t="s">
        <v>19</v>
      </c>
      <c r="N467" s="16"/>
      <c r="O467" s="17"/>
      <c r="P467" s="18" t="e">
        <f t="shared" si="14"/>
        <v>#VALUE!</v>
      </c>
      <c r="Q467" s="22" t="e">
        <f t="shared" si="15"/>
        <v>#VALUE!</v>
      </c>
      <c r="R467" s="23"/>
    </row>
    <row r="468" spans="1:18" ht="12.75">
      <c r="A468" s="22">
        <v>46095</v>
      </c>
      <c r="B468" s="23" t="s">
        <v>14</v>
      </c>
      <c r="C468" s="23" t="s">
        <v>604</v>
      </c>
      <c r="D468" s="19"/>
      <c r="E468" s="23" t="s">
        <v>24</v>
      </c>
      <c r="G468" s="23" t="s">
        <v>38</v>
      </c>
      <c r="H468" s="18">
        <f>IF(G468="","",VALUE(SUBSTITUTE(VLOOKUP(G468,'Controle GEral'!F:G,2,FALSE),"R$ ", "")))</f>
        <v>70</v>
      </c>
      <c r="I468" s="23"/>
      <c r="J468" s="18" t="str">
        <f>IF(I468="","",VALUE(SUBSTITUTE(VLOOKUP(I468,'Controle GEral'!H:I,2,FALSE),"R$ ", "")))</f>
        <v/>
      </c>
      <c r="K468" s="23" t="s">
        <v>18</v>
      </c>
      <c r="L468" s="23" t="s">
        <v>28</v>
      </c>
      <c r="N468" s="16"/>
      <c r="O468" s="17"/>
      <c r="P468" s="18" t="e">
        <f t="shared" si="14"/>
        <v>#VALUE!</v>
      </c>
      <c r="Q468" s="22" t="e">
        <f t="shared" si="15"/>
        <v>#VALUE!</v>
      </c>
      <c r="R468" s="23"/>
    </row>
    <row r="469" spans="1:18" ht="12.75">
      <c r="A469" s="22">
        <v>46095</v>
      </c>
      <c r="B469" s="23" t="s">
        <v>14</v>
      </c>
      <c r="C469" s="23" t="s">
        <v>736</v>
      </c>
      <c r="D469" s="19"/>
      <c r="E469" s="23" t="s">
        <v>24</v>
      </c>
      <c r="G469" s="23"/>
      <c r="H469" s="18" t="str">
        <f>IF(G469="","",VALUE(SUBSTITUTE(VLOOKUP(G469,'Controle GEral'!F:G,2,FALSE),"R$ ", "")))</f>
        <v/>
      </c>
      <c r="I469" s="23"/>
      <c r="J469" s="18" t="str">
        <f>IF(I469="","",VALUE(SUBSTITUTE(VLOOKUP(I469,'Controle GEral'!H:I,2,FALSE),"R$ ", "")))</f>
        <v/>
      </c>
      <c r="K469" s="23"/>
      <c r="L469" s="23"/>
      <c r="N469" s="16"/>
      <c r="O469" s="17"/>
      <c r="P469" s="18" t="e">
        <f t="shared" si="14"/>
        <v>#VALUE!</v>
      </c>
      <c r="Q469" s="22" t="e">
        <f t="shared" si="15"/>
        <v>#VALUE!</v>
      </c>
      <c r="R469" s="23"/>
    </row>
    <row r="470" spans="1:18" ht="12.75">
      <c r="A470" s="22">
        <v>46095</v>
      </c>
      <c r="B470" s="23" t="s">
        <v>23</v>
      </c>
      <c r="C470" s="23" t="s">
        <v>877</v>
      </c>
      <c r="D470" s="19"/>
      <c r="E470" s="23" t="s">
        <v>24</v>
      </c>
      <c r="G470" s="23" t="s">
        <v>16</v>
      </c>
      <c r="H470" s="18">
        <f>IF(G470="","",VALUE(SUBSTITUTE(VLOOKUP(G470,'Controle GEral'!F:G,2,FALSE),"R$ ", "")))</f>
        <v>45</v>
      </c>
      <c r="I470" s="23"/>
      <c r="J470" s="18" t="str">
        <f>IF(I470="","",VALUE(SUBSTITUTE(VLOOKUP(I470,'Controle GEral'!H:I,2,FALSE),"R$ ", "")))</f>
        <v/>
      </c>
      <c r="K470" s="23" t="s">
        <v>18</v>
      </c>
      <c r="L470" s="23" t="s">
        <v>28</v>
      </c>
      <c r="N470" s="16"/>
      <c r="O470" s="17"/>
      <c r="P470" s="18" t="e">
        <f t="shared" si="14"/>
        <v>#VALUE!</v>
      </c>
      <c r="Q470" s="22" t="e">
        <f t="shared" si="15"/>
        <v>#VALUE!</v>
      </c>
      <c r="R470" s="23"/>
    </row>
    <row r="471" spans="1:18" ht="12.75">
      <c r="A471" s="22">
        <v>46095</v>
      </c>
      <c r="B471" s="23" t="s">
        <v>23</v>
      </c>
      <c r="C471" s="23" t="s">
        <v>620</v>
      </c>
      <c r="D471" s="19"/>
      <c r="E471" s="23" t="s">
        <v>24</v>
      </c>
      <c r="G471" s="23" t="s">
        <v>16</v>
      </c>
      <c r="H471" s="18">
        <f>IF(G471="","",VALUE(SUBSTITUTE(VLOOKUP(G471,'Controle GEral'!F:G,2,FALSE),"R$ ", "")))</f>
        <v>45</v>
      </c>
      <c r="I471" s="23" t="s">
        <v>21</v>
      </c>
      <c r="J471" s="18">
        <f>IF(I471="","",VALUE(SUBSTITUTE(VLOOKUP(I471,'Controle GEral'!H:I,2,FALSE),"R$ ", "")))</f>
        <v>10</v>
      </c>
      <c r="K471" s="23" t="s">
        <v>18</v>
      </c>
      <c r="L471" s="23" t="s">
        <v>28</v>
      </c>
      <c r="N471" s="16"/>
      <c r="O471" s="17"/>
      <c r="P471" s="18">
        <f t="shared" si="14"/>
        <v>55</v>
      </c>
      <c r="Q471" s="22" t="e">
        <f t="shared" si="15"/>
        <v>#VALUE!</v>
      </c>
      <c r="R471" s="23"/>
    </row>
    <row r="472" spans="1:18" ht="12.75">
      <c r="A472" s="22">
        <v>46095</v>
      </c>
      <c r="B472" s="23" t="s">
        <v>23</v>
      </c>
      <c r="C472" s="23" t="s">
        <v>878</v>
      </c>
      <c r="D472" s="19"/>
      <c r="E472" s="23" t="s">
        <v>24</v>
      </c>
      <c r="G472" s="23" t="s">
        <v>16</v>
      </c>
      <c r="H472" s="18">
        <f>IF(G472="","",VALUE(SUBSTITUTE(VLOOKUP(G472,'Controle GEral'!F:G,2,FALSE),"R$ ", "")))</f>
        <v>45</v>
      </c>
      <c r="I472" s="23"/>
      <c r="J472" s="18" t="str">
        <f>IF(I472="","",VALUE(SUBSTITUTE(VLOOKUP(I472,'Controle GEral'!H:I,2,FALSE),"R$ ", "")))</f>
        <v/>
      </c>
      <c r="K472" s="23" t="s">
        <v>18</v>
      </c>
      <c r="L472" s="23" t="s">
        <v>34</v>
      </c>
      <c r="N472" s="16"/>
      <c r="O472" s="17"/>
      <c r="P472" s="18" t="e">
        <f t="shared" si="14"/>
        <v>#VALUE!</v>
      </c>
      <c r="Q472" s="22" t="e">
        <f t="shared" si="15"/>
        <v>#VALUE!</v>
      </c>
      <c r="R472" s="23"/>
    </row>
    <row r="473" spans="1:18" ht="12.75">
      <c r="A473" s="22">
        <v>46095</v>
      </c>
      <c r="B473" s="23" t="s">
        <v>23</v>
      </c>
      <c r="C473" s="23" t="s">
        <v>644</v>
      </c>
      <c r="D473" s="19"/>
      <c r="E473" s="23" t="s">
        <v>24</v>
      </c>
      <c r="G473" s="23" t="s">
        <v>16</v>
      </c>
      <c r="H473" s="18">
        <f>IF(G473="","",VALUE(SUBSTITUTE(VLOOKUP(G473,'Controle GEral'!F:G,2,FALSE),"R$ ", "")))</f>
        <v>45</v>
      </c>
      <c r="I473" s="23" t="s">
        <v>30</v>
      </c>
      <c r="J473" s="18">
        <f>IF(I473="","",VALUE(SUBSTITUTE(VLOOKUP(I473,'Controle GEral'!H:I,2,FALSE),"R$ ", "")))</f>
        <v>40</v>
      </c>
      <c r="K473" s="23" t="s">
        <v>18</v>
      </c>
      <c r="L473" s="23" t="s">
        <v>34</v>
      </c>
      <c r="N473" s="16"/>
      <c r="O473" s="17"/>
      <c r="P473" s="18">
        <f t="shared" si="14"/>
        <v>85</v>
      </c>
      <c r="Q473" s="22" t="e">
        <f t="shared" si="15"/>
        <v>#VALUE!</v>
      </c>
      <c r="R473" s="23"/>
    </row>
    <row r="474" spans="1:18" ht="12.75">
      <c r="A474" s="22">
        <v>46095</v>
      </c>
      <c r="B474" s="23" t="s">
        <v>23</v>
      </c>
      <c r="C474" s="23" t="s">
        <v>879</v>
      </c>
      <c r="D474" s="19"/>
      <c r="E474" s="23" t="s">
        <v>24</v>
      </c>
      <c r="G474" s="23" t="s">
        <v>16</v>
      </c>
      <c r="H474" s="18">
        <f>IF(G474="","",VALUE(SUBSTITUTE(VLOOKUP(G474,'Controle GEral'!F:G,2,FALSE),"R$ ", "")))</f>
        <v>45</v>
      </c>
      <c r="I474" s="23"/>
      <c r="J474" s="18" t="str">
        <f>IF(I474="","",VALUE(SUBSTITUTE(VLOOKUP(I474,'Controle GEral'!H:I,2,FALSE),"R$ ", "")))</f>
        <v/>
      </c>
      <c r="K474" s="23" t="s">
        <v>18</v>
      </c>
      <c r="L474" s="23" t="s">
        <v>34</v>
      </c>
      <c r="N474" s="16"/>
      <c r="O474" s="17"/>
      <c r="P474" s="18" t="e">
        <f t="shared" si="14"/>
        <v>#VALUE!</v>
      </c>
      <c r="Q474" s="22" t="e">
        <f t="shared" si="15"/>
        <v>#VALUE!</v>
      </c>
      <c r="R474" s="23"/>
    </row>
    <row r="475" spans="1:18" ht="12.75">
      <c r="A475" s="22">
        <v>46095</v>
      </c>
      <c r="B475" s="23" t="s">
        <v>23</v>
      </c>
      <c r="C475" s="23" t="s">
        <v>606</v>
      </c>
      <c r="D475" s="19"/>
      <c r="E475" s="23" t="s">
        <v>24</v>
      </c>
      <c r="G475" s="23" t="s">
        <v>38</v>
      </c>
      <c r="H475" s="18">
        <f>IF(G475="","",VALUE(SUBSTITUTE(VLOOKUP(G475,'Controle GEral'!F:G,2,FALSE),"R$ ", "")))</f>
        <v>70</v>
      </c>
      <c r="I475" s="23"/>
      <c r="J475" s="18" t="str">
        <f>IF(I475="","",VALUE(SUBSTITUTE(VLOOKUP(I475,'Controle GEral'!H:I,2,FALSE),"R$ ", "")))</f>
        <v/>
      </c>
      <c r="K475" s="23" t="s">
        <v>18</v>
      </c>
      <c r="L475" s="23" t="s">
        <v>28</v>
      </c>
      <c r="N475" s="16"/>
      <c r="O475" s="17"/>
      <c r="P475" s="18" t="e">
        <f t="shared" si="14"/>
        <v>#VALUE!</v>
      </c>
      <c r="Q475" s="22" t="e">
        <f t="shared" si="15"/>
        <v>#VALUE!</v>
      </c>
      <c r="R475" s="23"/>
    </row>
    <row r="476" spans="1:18" ht="12.75">
      <c r="A476" s="22">
        <v>46095</v>
      </c>
      <c r="B476" s="23" t="s">
        <v>23</v>
      </c>
      <c r="C476" s="23" t="s">
        <v>679</v>
      </c>
      <c r="D476" s="19"/>
      <c r="E476" s="23" t="s">
        <v>24</v>
      </c>
      <c r="G476" s="23" t="s">
        <v>12</v>
      </c>
      <c r="H476" s="18" t="e">
        <f>IF(G476="","",VALUE(SUBSTITUTE(VLOOKUP(G476,'Controle GEral'!F:G,2,FALSE),"R$ ", "")))</f>
        <v>#N/A</v>
      </c>
      <c r="I476" s="23"/>
      <c r="J476" s="18" t="str">
        <f>IF(I476="","",VALUE(SUBSTITUTE(VLOOKUP(I476,'Controle GEral'!H:I,2,FALSE),"R$ ", "")))</f>
        <v/>
      </c>
      <c r="K476" s="23" t="s">
        <v>18</v>
      </c>
      <c r="L476" s="23" t="s">
        <v>34</v>
      </c>
      <c r="N476" s="16"/>
      <c r="O476" s="17"/>
      <c r="P476" s="23" t="e">
        <f t="shared" si="14"/>
        <v>#N/A</v>
      </c>
      <c r="Q476" s="22" t="e">
        <f t="shared" si="15"/>
        <v>#VALUE!</v>
      </c>
      <c r="R476" s="23"/>
    </row>
    <row r="477" spans="1:18" ht="12.75">
      <c r="A477" s="22">
        <v>46095</v>
      </c>
      <c r="B477" s="23" t="s">
        <v>23</v>
      </c>
      <c r="C477" s="23" t="s">
        <v>880</v>
      </c>
      <c r="D477" s="19"/>
      <c r="E477" s="23" t="s">
        <v>24</v>
      </c>
      <c r="G477" s="23" t="s">
        <v>12</v>
      </c>
      <c r="H477" s="18" t="e">
        <f>IF(G477="","",VALUE(SUBSTITUTE(VLOOKUP(G477,'Controle GEral'!F:G,2,FALSE),"R$ ", "")))</f>
        <v>#N/A</v>
      </c>
      <c r="I477" s="23"/>
      <c r="J477" s="18" t="str">
        <f>IF(I477="","",VALUE(SUBSTITUTE(VLOOKUP(I477,'Controle GEral'!H:I,2,FALSE),"R$ ", "")))</f>
        <v/>
      </c>
      <c r="K477" s="23" t="s">
        <v>18</v>
      </c>
      <c r="L477" s="23" t="s">
        <v>34</v>
      </c>
      <c r="N477" s="16"/>
      <c r="O477" s="17"/>
      <c r="P477" s="23" t="e">
        <f t="shared" si="14"/>
        <v>#N/A</v>
      </c>
      <c r="Q477" s="22" t="e">
        <f t="shared" si="15"/>
        <v>#VALUE!</v>
      </c>
      <c r="R477" s="23"/>
    </row>
    <row r="478" spans="1:18" ht="12.75">
      <c r="A478" s="22">
        <v>46095</v>
      </c>
      <c r="B478" s="23" t="s">
        <v>23</v>
      </c>
      <c r="C478" s="23" t="s">
        <v>854</v>
      </c>
      <c r="D478" s="19"/>
      <c r="E478" s="23" t="s">
        <v>24</v>
      </c>
      <c r="G478" s="23" t="s">
        <v>16</v>
      </c>
      <c r="H478" s="18">
        <f>IF(G478="","",VALUE(SUBSTITUTE(VLOOKUP(G478,'Controle GEral'!F:G,2,FALSE),"R$ ", "")))</f>
        <v>45</v>
      </c>
      <c r="I478" s="23"/>
      <c r="J478" s="18" t="str">
        <f>IF(I478="","",VALUE(SUBSTITUTE(VLOOKUP(I478,'Controle GEral'!H:I,2,FALSE),"R$ ", "")))</f>
        <v/>
      </c>
      <c r="K478" s="23" t="s">
        <v>18</v>
      </c>
      <c r="L478" s="23" t="s">
        <v>39</v>
      </c>
      <c r="N478" s="16"/>
      <c r="O478" s="17"/>
      <c r="P478" s="18" t="e">
        <f t="shared" si="14"/>
        <v>#VALUE!</v>
      </c>
      <c r="Q478" s="22" t="e">
        <f t="shared" si="15"/>
        <v>#VALUE!</v>
      </c>
      <c r="R478" s="23"/>
    </row>
    <row r="479" spans="1:18" ht="12.75">
      <c r="A479" s="22">
        <v>46095</v>
      </c>
      <c r="B479" s="23" t="s">
        <v>23</v>
      </c>
      <c r="C479" s="23" t="s">
        <v>881</v>
      </c>
      <c r="D479" s="19"/>
      <c r="E479" s="23" t="s">
        <v>24</v>
      </c>
      <c r="G479" s="23" t="s">
        <v>32</v>
      </c>
      <c r="H479" s="18">
        <f>IF(G479="","",VALUE(SUBSTITUTE(VLOOKUP(G479,'Controle GEral'!F:G,2,FALSE),"R$ ", "")))</f>
        <v>35</v>
      </c>
      <c r="I479" s="23"/>
      <c r="J479" s="18" t="str">
        <f>IF(I479="","",VALUE(SUBSTITUTE(VLOOKUP(I479,'Controle GEral'!H:I,2,FALSE),"R$ ", "")))</f>
        <v/>
      </c>
      <c r="K479" s="23" t="s">
        <v>18</v>
      </c>
      <c r="L479" s="23" t="s">
        <v>19</v>
      </c>
      <c r="N479" s="16"/>
      <c r="O479" s="17"/>
      <c r="P479" s="18" t="e">
        <f t="shared" si="14"/>
        <v>#VALUE!</v>
      </c>
      <c r="Q479" s="22" t="e">
        <f t="shared" si="15"/>
        <v>#VALUE!</v>
      </c>
      <c r="R479" s="23"/>
    </row>
    <row r="480" spans="1:18" ht="12.75">
      <c r="A480" s="22">
        <v>46096</v>
      </c>
      <c r="B480" s="23" t="s">
        <v>14</v>
      </c>
      <c r="C480" s="23" t="s">
        <v>625</v>
      </c>
      <c r="D480" s="19"/>
      <c r="E480" s="23" t="s">
        <v>24</v>
      </c>
      <c r="G480" s="23" t="s">
        <v>16</v>
      </c>
      <c r="H480" s="18">
        <f>IF(G480="","",VALUE(SUBSTITUTE(VLOOKUP(G480,'Controle GEral'!F:G,2,FALSE),"R$ ", "")))</f>
        <v>45</v>
      </c>
      <c r="I480" s="23"/>
      <c r="J480" s="18" t="str">
        <f>IF(I480="","",VALUE(SUBSTITUTE(VLOOKUP(I480,'Controle GEral'!H:I,2,FALSE),"R$ ", "")))</f>
        <v/>
      </c>
      <c r="K480" s="23" t="s">
        <v>18</v>
      </c>
      <c r="L480" s="23" t="s">
        <v>34</v>
      </c>
      <c r="N480" s="16"/>
      <c r="O480" s="17"/>
      <c r="P480" s="18" t="e">
        <f t="shared" si="14"/>
        <v>#VALUE!</v>
      </c>
      <c r="Q480" s="22" t="e">
        <f t="shared" si="15"/>
        <v>#VALUE!</v>
      </c>
      <c r="R480" s="23"/>
    </row>
    <row r="481" spans="1:18" ht="12.75">
      <c r="A481" s="22">
        <v>46096</v>
      </c>
      <c r="B481" s="23" t="s">
        <v>14</v>
      </c>
      <c r="C481" s="23" t="s">
        <v>882</v>
      </c>
      <c r="D481" s="19"/>
      <c r="E481" s="23" t="s">
        <v>24</v>
      </c>
      <c r="G481" s="23" t="s">
        <v>16</v>
      </c>
      <c r="H481" s="18">
        <f>IF(G481="","",VALUE(SUBSTITUTE(VLOOKUP(G481,'Controle GEral'!F:G,2,FALSE),"R$ ", "")))</f>
        <v>45</v>
      </c>
      <c r="I481" s="23"/>
      <c r="J481" s="18" t="str">
        <f>IF(I481="","",VALUE(SUBSTITUTE(VLOOKUP(I481,'Controle GEral'!H:I,2,FALSE),"R$ ", "")))</f>
        <v/>
      </c>
      <c r="K481" s="23" t="s">
        <v>18</v>
      </c>
      <c r="L481" s="23" t="s">
        <v>34</v>
      </c>
      <c r="N481" s="16"/>
      <c r="O481" s="17"/>
      <c r="P481" s="18" t="e">
        <f t="shared" si="14"/>
        <v>#VALUE!</v>
      </c>
      <c r="Q481" s="22" t="e">
        <f t="shared" si="15"/>
        <v>#VALUE!</v>
      </c>
      <c r="R481" s="23"/>
    </row>
    <row r="482" spans="1:18" ht="12.75">
      <c r="A482" s="22">
        <v>46096</v>
      </c>
      <c r="B482" s="23" t="s">
        <v>14</v>
      </c>
      <c r="C482" s="23" t="s">
        <v>602</v>
      </c>
      <c r="D482" s="19"/>
      <c r="E482" s="23" t="s">
        <v>24</v>
      </c>
      <c r="G482" s="23" t="s">
        <v>16</v>
      </c>
      <c r="H482" s="18">
        <f>IF(G482="","",VALUE(SUBSTITUTE(VLOOKUP(G482,'Controle GEral'!F:G,2,FALSE),"R$ ", "")))</f>
        <v>45</v>
      </c>
      <c r="I482" s="23" t="s">
        <v>21</v>
      </c>
      <c r="J482" s="18">
        <f>IF(I482="","",VALUE(SUBSTITUTE(VLOOKUP(I482,'Controle GEral'!H:I,2,FALSE),"R$ ", "")))</f>
        <v>10</v>
      </c>
      <c r="K482" s="23" t="s">
        <v>18</v>
      </c>
      <c r="L482" s="23" t="s">
        <v>34</v>
      </c>
      <c r="N482" s="16"/>
      <c r="O482" s="17"/>
      <c r="P482" s="18">
        <f t="shared" si="14"/>
        <v>55</v>
      </c>
      <c r="Q482" s="22" t="e">
        <f t="shared" si="15"/>
        <v>#VALUE!</v>
      </c>
      <c r="R482" s="23"/>
    </row>
    <row r="483" spans="1:18" ht="12.75">
      <c r="A483" s="22">
        <v>46096</v>
      </c>
      <c r="B483" s="23" t="s">
        <v>14</v>
      </c>
      <c r="C483" s="23" t="s">
        <v>569</v>
      </c>
      <c r="D483" s="19"/>
      <c r="E483" s="23" t="s">
        <v>24</v>
      </c>
      <c r="G483" s="23"/>
      <c r="H483" s="18" t="str">
        <f>IF(G483="","",VALUE(SUBSTITUTE(VLOOKUP(G483,'Controle GEral'!F:G,2,FALSE),"R$ ", "")))</f>
        <v/>
      </c>
      <c r="I483" s="23"/>
      <c r="J483" s="18" t="str">
        <f>IF(I483="","",VALUE(SUBSTITUTE(VLOOKUP(I483,'Controle GEral'!H:I,2,FALSE),"R$ ", "")))</f>
        <v/>
      </c>
      <c r="K483" s="23"/>
      <c r="L483" s="23"/>
      <c r="N483" s="16"/>
      <c r="O483" s="17"/>
      <c r="P483" s="18" t="e">
        <f t="shared" si="14"/>
        <v>#VALUE!</v>
      </c>
      <c r="Q483" s="22" t="e">
        <f t="shared" si="15"/>
        <v>#VALUE!</v>
      </c>
      <c r="R483" s="23"/>
    </row>
    <row r="484" spans="1:18" ht="12.75">
      <c r="A484" s="22">
        <v>46097</v>
      </c>
      <c r="B484" s="23" t="s">
        <v>14</v>
      </c>
      <c r="C484" s="23" t="s">
        <v>883</v>
      </c>
      <c r="D484" s="19"/>
      <c r="E484" s="23" t="s">
        <v>24</v>
      </c>
      <c r="G484" s="23" t="s">
        <v>16</v>
      </c>
      <c r="H484" s="18">
        <f>IF(G484="","",VALUE(SUBSTITUTE(VLOOKUP(G484,'Controle GEral'!F:G,2,FALSE),"R$ ", "")))</f>
        <v>45</v>
      </c>
      <c r="I484" s="23"/>
      <c r="J484" s="18" t="str">
        <f>IF(I484="","",VALUE(SUBSTITUTE(VLOOKUP(I484,'Controle GEral'!H:I,2,FALSE),"R$ ", "")))</f>
        <v/>
      </c>
      <c r="K484" s="23" t="s">
        <v>18</v>
      </c>
      <c r="L484" s="23" t="s">
        <v>34</v>
      </c>
      <c r="N484" s="16"/>
      <c r="O484" s="17"/>
      <c r="P484" s="18" t="e">
        <f t="shared" si="14"/>
        <v>#VALUE!</v>
      </c>
      <c r="Q484" s="22" t="e">
        <f t="shared" si="15"/>
        <v>#VALUE!</v>
      </c>
      <c r="R484" s="23"/>
    </row>
    <row r="485" spans="1:18" ht="12.75">
      <c r="A485" s="22">
        <v>46097</v>
      </c>
      <c r="B485" s="23" t="s">
        <v>14</v>
      </c>
      <c r="C485" s="23" t="s">
        <v>884</v>
      </c>
      <c r="D485" s="19"/>
      <c r="E485" s="23" t="s">
        <v>24</v>
      </c>
      <c r="G485" s="23" t="s">
        <v>16</v>
      </c>
      <c r="H485" s="18">
        <f>IF(G485="","",VALUE(SUBSTITUTE(VLOOKUP(G485,'Controle GEral'!F:G,2,FALSE),"R$ ", "")))</f>
        <v>45</v>
      </c>
      <c r="I485" s="23"/>
      <c r="J485" s="18" t="str">
        <f>IF(I485="","",VALUE(SUBSTITUTE(VLOOKUP(I485,'Controle GEral'!H:I,2,FALSE),"R$ ", "")))</f>
        <v/>
      </c>
      <c r="K485" s="23" t="s">
        <v>18</v>
      </c>
      <c r="L485" s="23" t="s">
        <v>34</v>
      </c>
      <c r="N485" s="16"/>
      <c r="O485" s="17"/>
      <c r="P485" s="18" t="e">
        <f t="shared" si="14"/>
        <v>#VALUE!</v>
      </c>
      <c r="Q485" s="22" t="e">
        <f t="shared" si="15"/>
        <v>#VALUE!</v>
      </c>
      <c r="R485" s="23"/>
    </row>
    <row r="486" spans="1:18" ht="12.75">
      <c r="A486" s="22">
        <v>46097</v>
      </c>
      <c r="B486" s="23" t="s">
        <v>14</v>
      </c>
      <c r="C486" s="23" t="s">
        <v>701</v>
      </c>
      <c r="D486" s="19"/>
      <c r="E486" s="23" t="s">
        <v>24</v>
      </c>
      <c r="G486" s="23" t="s">
        <v>16</v>
      </c>
      <c r="H486" s="18">
        <f>IF(G486="","",VALUE(SUBSTITUTE(VLOOKUP(G486,'Controle GEral'!F:G,2,FALSE),"R$ ", "")))</f>
        <v>45</v>
      </c>
      <c r="I486" s="23"/>
      <c r="J486" s="18" t="str">
        <f>IF(I486="","",VALUE(SUBSTITUTE(VLOOKUP(I486,'Controle GEral'!H:I,2,FALSE),"R$ ", "")))</f>
        <v/>
      </c>
      <c r="K486" s="23" t="s">
        <v>18</v>
      </c>
      <c r="L486" s="23" t="s">
        <v>34</v>
      </c>
      <c r="N486" s="16"/>
      <c r="O486" s="17"/>
      <c r="P486" s="18" t="e">
        <f t="shared" si="14"/>
        <v>#VALUE!</v>
      </c>
      <c r="Q486" s="22" t="e">
        <f t="shared" si="15"/>
        <v>#VALUE!</v>
      </c>
      <c r="R486" s="23"/>
    </row>
    <row r="487" spans="1:18" ht="12.75">
      <c r="A487" s="22">
        <v>46097</v>
      </c>
      <c r="B487" s="23" t="s">
        <v>23</v>
      </c>
      <c r="C487" s="23" t="s">
        <v>781</v>
      </c>
      <c r="D487" s="19"/>
      <c r="E487" s="23" t="s">
        <v>24</v>
      </c>
      <c r="G487" s="23" t="s">
        <v>16</v>
      </c>
      <c r="H487" s="18">
        <f>IF(G487="","",VALUE(SUBSTITUTE(VLOOKUP(G487,'Controle GEral'!F:G,2,FALSE),"R$ ", "")))</f>
        <v>45</v>
      </c>
      <c r="I487" s="23"/>
      <c r="J487" s="18" t="str">
        <f>IF(I487="","",VALUE(SUBSTITUTE(VLOOKUP(I487,'Controle GEral'!H:I,2,FALSE),"R$ ", "")))</f>
        <v/>
      </c>
      <c r="K487" s="23" t="s">
        <v>18</v>
      </c>
      <c r="L487" s="23" t="s">
        <v>34</v>
      </c>
      <c r="N487" s="16"/>
      <c r="O487" s="17"/>
      <c r="P487" s="18" t="e">
        <f t="shared" si="14"/>
        <v>#VALUE!</v>
      </c>
      <c r="Q487" s="22" t="e">
        <f t="shared" si="15"/>
        <v>#VALUE!</v>
      </c>
      <c r="R487" s="23"/>
    </row>
    <row r="488" spans="1:18" ht="12.75">
      <c r="A488" s="22">
        <v>46097</v>
      </c>
      <c r="B488" s="23" t="s">
        <v>23</v>
      </c>
      <c r="C488" s="23" t="s">
        <v>854</v>
      </c>
      <c r="D488" s="19"/>
      <c r="E488" s="23" t="s">
        <v>15</v>
      </c>
      <c r="G488" s="23" t="s">
        <v>16</v>
      </c>
      <c r="H488" s="18">
        <f>IF(G488="","",VALUE(SUBSTITUTE(VLOOKUP(G488,'Controle GEral'!F:G,2,FALSE),"R$ ", "")))</f>
        <v>45</v>
      </c>
      <c r="I488" s="23"/>
      <c r="J488" s="18" t="str">
        <f>IF(I488="","",VALUE(SUBSTITUTE(VLOOKUP(I488,'Controle GEral'!H:I,2,FALSE),"R$ ", "")))</f>
        <v/>
      </c>
      <c r="K488" s="23" t="s">
        <v>18</v>
      </c>
      <c r="L488" s="23" t="s">
        <v>34</v>
      </c>
      <c r="N488" s="16"/>
      <c r="O488" s="17"/>
      <c r="P488" s="18" t="e">
        <f t="shared" si="14"/>
        <v>#VALUE!</v>
      </c>
      <c r="Q488" s="22" t="e">
        <f t="shared" si="15"/>
        <v>#VALUE!</v>
      </c>
      <c r="R488" s="23"/>
    </row>
    <row r="489" spans="1:18" ht="12.75">
      <c r="A489" s="22">
        <v>46097</v>
      </c>
      <c r="B489" s="23" t="s">
        <v>23</v>
      </c>
      <c r="C489" s="23" t="s">
        <v>885</v>
      </c>
      <c r="D489" s="19"/>
      <c r="E489" s="23" t="s">
        <v>24</v>
      </c>
      <c r="G489" s="23" t="s">
        <v>16</v>
      </c>
      <c r="H489" s="18">
        <f>IF(G489="","",VALUE(SUBSTITUTE(VLOOKUP(G489,'Controle GEral'!F:G,2,FALSE),"R$ ", "")))</f>
        <v>45</v>
      </c>
      <c r="I489" s="23"/>
      <c r="J489" s="18" t="str">
        <f>IF(I489="","",VALUE(SUBSTITUTE(VLOOKUP(I489,'Controle GEral'!H:I,2,FALSE),"R$ ", "")))</f>
        <v/>
      </c>
      <c r="K489" s="23" t="s">
        <v>18</v>
      </c>
      <c r="L489" s="23" t="s">
        <v>34</v>
      </c>
      <c r="N489" s="16"/>
      <c r="O489" s="17"/>
      <c r="P489" s="18" t="e">
        <f t="shared" si="14"/>
        <v>#VALUE!</v>
      </c>
      <c r="Q489" s="22" t="e">
        <f t="shared" si="15"/>
        <v>#VALUE!</v>
      </c>
      <c r="R489" s="23"/>
    </row>
    <row r="490" spans="1:18" ht="12.75">
      <c r="A490" s="22">
        <v>46098</v>
      </c>
      <c r="B490" s="23" t="s">
        <v>23</v>
      </c>
      <c r="C490" s="23" t="s">
        <v>886</v>
      </c>
      <c r="D490" s="19"/>
      <c r="E490" s="23" t="s">
        <v>24</v>
      </c>
      <c r="G490" s="23" t="s">
        <v>16</v>
      </c>
      <c r="H490" s="18">
        <f>IF(G490="","",VALUE(SUBSTITUTE(VLOOKUP(G490,'Controle GEral'!F:G,2,FALSE),"R$ ", "")))</f>
        <v>45</v>
      </c>
      <c r="I490" s="23"/>
      <c r="J490" s="18" t="str">
        <f>IF(I490="","",VALUE(SUBSTITUTE(VLOOKUP(I490,'Controle GEral'!H:I,2,FALSE),"R$ ", "")))</f>
        <v/>
      </c>
      <c r="K490" s="23" t="s">
        <v>18</v>
      </c>
      <c r="L490" s="23" t="s">
        <v>34</v>
      </c>
      <c r="N490" s="16"/>
      <c r="O490" s="17"/>
      <c r="P490" s="18" t="e">
        <f t="shared" si="14"/>
        <v>#VALUE!</v>
      </c>
      <c r="Q490" s="22" t="e">
        <f t="shared" si="15"/>
        <v>#VALUE!</v>
      </c>
      <c r="R490" s="23"/>
    </row>
    <row r="491" spans="1:18" ht="12.75">
      <c r="A491" s="22">
        <v>46098</v>
      </c>
      <c r="B491" s="23" t="s">
        <v>23</v>
      </c>
      <c r="C491" s="23" t="s">
        <v>887</v>
      </c>
      <c r="D491" s="19"/>
      <c r="E491" s="23" t="s">
        <v>24</v>
      </c>
      <c r="G491" s="23" t="s">
        <v>25</v>
      </c>
      <c r="H491" s="18">
        <f>IF(G491="","",VALUE(SUBSTITUTE(VLOOKUP(G491,'Controle GEral'!F:G,2,FALSE),"R$ ", "")))</f>
        <v>80</v>
      </c>
      <c r="I491" s="23"/>
      <c r="J491" s="18" t="str">
        <f>IF(I491="","",VALUE(SUBSTITUTE(VLOOKUP(I491,'Controle GEral'!H:I,2,FALSE),"R$ ", "")))</f>
        <v/>
      </c>
      <c r="K491" s="23" t="s">
        <v>18</v>
      </c>
      <c r="L491" s="23" t="s">
        <v>34</v>
      </c>
      <c r="N491" s="16"/>
      <c r="O491" s="17"/>
      <c r="P491" s="18" t="e">
        <f t="shared" si="14"/>
        <v>#VALUE!</v>
      </c>
      <c r="Q491" s="22" t="e">
        <f t="shared" si="15"/>
        <v>#VALUE!</v>
      </c>
      <c r="R491" s="23"/>
    </row>
    <row r="492" spans="1:18" ht="12.75">
      <c r="A492" s="22">
        <v>46098</v>
      </c>
      <c r="B492" s="23" t="s">
        <v>23</v>
      </c>
      <c r="C492" s="23" t="s">
        <v>888</v>
      </c>
      <c r="D492" s="19"/>
      <c r="E492" s="23" t="s">
        <v>15</v>
      </c>
      <c r="G492" s="23" t="s">
        <v>25</v>
      </c>
      <c r="H492" s="18">
        <f>IF(G492="","",VALUE(SUBSTITUTE(VLOOKUP(G492,'Controle GEral'!F:G,2,FALSE),"R$ ", "")))</f>
        <v>80</v>
      </c>
      <c r="I492" s="23"/>
      <c r="J492" s="18" t="str">
        <f>IF(I492="","",VALUE(SUBSTITUTE(VLOOKUP(I492,'Controle GEral'!H:I,2,FALSE),"R$ ", "")))</f>
        <v/>
      </c>
      <c r="K492" s="23" t="s">
        <v>18</v>
      </c>
      <c r="L492" s="23" t="s">
        <v>34</v>
      </c>
      <c r="N492" s="16"/>
      <c r="O492" s="17"/>
      <c r="P492" s="18" t="e">
        <f t="shared" si="14"/>
        <v>#VALUE!</v>
      </c>
      <c r="Q492" s="22" t="e">
        <f t="shared" si="15"/>
        <v>#VALUE!</v>
      </c>
      <c r="R492" s="23"/>
    </row>
    <row r="493" spans="1:18" ht="12.75">
      <c r="A493" s="22">
        <v>46098</v>
      </c>
      <c r="B493" s="23" t="s">
        <v>23</v>
      </c>
      <c r="C493" s="23" t="s">
        <v>754</v>
      </c>
      <c r="D493" s="19"/>
      <c r="E493" s="23" t="s">
        <v>24</v>
      </c>
      <c r="G493" s="23" t="s">
        <v>16</v>
      </c>
      <c r="H493" s="18">
        <f>IF(G493="","",VALUE(SUBSTITUTE(VLOOKUP(G493,'Controle GEral'!F:G,2,FALSE),"R$ ", "")))</f>
        <v>45</v>
      </c>
      <c r="I493" s="23"/>
      <c r="J493" s="18" t="str">
        <f>IF(I493="","",VALUE(SUBSTITUTE(VLOOKUP(I493,'Controle GEral'!H:I,2,FALSE),"R$ ", "")))</f>
        <v/>
      </c>
      <c r="K493" s="23" t="s">
        <v>18</v>
      </c>
      <c r="L493" s="23" t="s">
        <v>34</v>
      </c>
      <c r="N493" s="16"/>
      <c r="O493" s="17"/>
      <c r="P493" s="18" t="e">
        <f t="shared" si="14"/>
        <v>#VALUE!</v>
      </c>
      <c r="Q493" s="22" t="e">
        <f t="shared" si="15"/>
        <v>#VALUE!</v>
      </c>
      <c r="R493" s="23"/>
    </row>
    <row r="494" spans="1:18" ht="12.75">
      <c r="A494" s="22">
        <v>46098</v>
      </c>
      <c r="B494" s="23" t="s">
        <v>23</v>
      </c>
      <c r="C494" s="23" t="s">
        <v>665</v>
      </c>
      <c r="D494" s="19"/>
      <c r="E494" s="23" t="s">
        <v>24</v>
      </c>
      <c r="G494" s="23" t="s">
        <v>16</v>
      </c>
      <c r="H494" s="18">
        <f>IF(G494="","",VALUE(SUBSTITUTE(VLOOKUP(G494,'Controle GEral'!F:G,2,FALSE),"R$ ", "")))</f>
        <v>45</v>
      </c>
      <c r="I494" s="23"/>
      <c r="J494" s="18" t="str">
        <f>IF(I494="","",VALUE(SUBSTITUTE(VLOOKUP(I494,'Controle GEral'!H:I,2,FALSE),"R$ ", "")))</f>
        <v/>
      </c>
      <c r="K494" s="23" t="s">
        <v>18</v>
      </c>
      <c r="L494" s="23" t="s">
        <v>34</v>
      </c>
      <c r="N494" s="16"/>
      <c r="O494" s="17"/>
      <c r="P494" s="18" t="e">
        <f t="shared" si="14"/>
        <v>#VALUE!</v>
      </c>
      <c r="Q494" s="22" t="e">
        <f t="shared" si="15"/>
        <v>#VALUE!</v>
      </c>
      <c r="R494" s="23"/>
    </row>
    <row r="495" spans="1:18" ht="12.75">
      <c r="A495" s="22">
        <v>46098</v>
      </c>
      <c r="B495" s="23" t="s">
        <v>23</v>
      </c>
      <c r="C495" s="23" t="s">
        <v>889</v>
      </c>
      <c r="D495" s="19"/>
      <c r="E495" s="23" t="s">
        <v>24</v>
      </c>
      <c r="G495" s="23" t="s">
        <v>16</v>
      </c>
      <c r="H495" s="18">
        <f>IF(G495="","",VALUE(SUBSTITUTE(VLOOKUP(G495,'Controle GEral'!F:G,2,FALSE),"R$ ", "")))</f>
        <v>45</v>
      </c>
      <c r="I495" s="23"/>
      <c r="J495" s="18" t="str">
        <f>IF(I495="","",VALUE(SUBSTITUTE(VLOOKUP(I495,'Controle GEral'!H:I,2,FALSE),"R$ ", "")))</f>
        <v/>
      </c>
      <c r="K495" s="23" t="s">
        <v>18</v>
      </c>
      <c r="L495" s="23" t="s">
        <v>34</v>
      </c>
      <c r="N495" s="16"/>
      <c r="O495" s="17"/>
      <c r="P495" s="18" t="e">
        <f t="shared" si="14"/>
        <v>#VALUE!</v>
      </c>
      <c r="Q495" s="22" t="e">
        <f t="shared" si="15"/>
        <v>#VALUE!</v>
      </c>
      <c r="R495" s="23"/>
    </row>
    <row r="496" spans="1:18" ht="12.75">
      <c r="A496" s="22">
        <v>46098</v>
      </c>
      <c r="B496" s="23" t="s">
        <v>14</v>
      </c>
      <c r="C496" s="23" t="s">
        <v>890</v>
      </c>
      <c r="D496" s="19"/>
      <c r="E496" s="23" t="s">
        <v>24</v>
      </c>
      <c r="G496" s="23" t="s">
        <v>16</v>
      </c>
      <c r="H496" s="18">
        <f>IF(G496="","",VALUE(SUBSTITUTE(VLOOKUP(G496,'Controle GEral'!F:G,2,FALSE),"R$ ", "")))</f>
        <v>45</v>
      </c>
      <c r="I496" s="23"/>
      <c r="J496" s="18" t="str">
        <f>IF(I496="","",VALUE(SUBSTITUTE(VLOOKUP(I496,'Controle GEral'!H:I,2,FALSE),"R$ ", "")))</f>
        <v/>
      </c>
      <c r="K496" s="23" t="s">
        <v>18</v>
      </c>
      <c r="L496" s="23" t="s">
        <v>19</v>
      </c>
      <c r="N496" s="16"/>
      <c r="O496" s="17"/>
      <c r="P496" s="18" t="e">
        <f t="shared" si="14"/>
        <v>#VALUE!</v>
      </c>
      <c r="Q496" s="22" t="e">
        <f t="shared" si="15"/>
        <v>#VALUE!</v>
      </c>
      <c r="R496" s="23"/>
    </row>
    <row r="497" spans="1:19" ht="12.75">
      <c r="A497" s="22">
        <v>46098</v>
      </c>
      <c r="B497" s="23" t="s">
        <v>14</v>
      </c>
      <c r="C497" s="23" t="s">
        <v>585</v>
      </c>
      <c r="D497" s="19"/>
      <c r="E497" s="23" t="s">
        <v>24</v>
      </c>
      <c r="G497" s="23" t="s">
        <v>38</v>
      </c>
      <c r="H497" s="18">
        <f>IF(G497="","",VALUE(SUBSTITUTE(VLOOKUP(G497,'Controle GEral'!F:G,2,FALSE),"R$ ", "")))</f>
        <v>70</v>
      </c>
      <c r="I497" s="23"/>
      <c r="J497" s="18" t="str">
        <f>IF(I497="","",VALUE(SUBSTITUTE(VLOOKUP(I497,'Controle GEral'!H:I,2,FALSE),"R$ ", "")))</f>
        <v/>
      </c>
      <c r="K497" s="23" t="s">
        <v>18</v>
      </c>
      <c r="L497" s="23" t="s">
        <v>34</v>
      </c>
      <c r="N497" s="16"/>
      <c r="O497" s="17"/>
      <c r="P497" s="18" t="e">
        <f t="shared" si="14"/>
        <v>#VALUE!</v>
      </c>
      <c r="Q497" s="22" t="e">
        <f t="shared" si="15"/>
        <v>#VALUE!</v>
      </c>
      <c r="R497" s="23"/>
    </row>
    <row r="498" spans="1:19" ht="12.75">
      <c r="A498" s="22">
        <v>46098</v>
      </c>
      <c r="B498" s="23" t="s">
        <v>14</v>
      </c>
      <c r="C498" s="23" t="s">
        <v>891</v>
      </c>
      <c r="D498" s="19"/>
      <c r="E498" s="23" t="s">
        <v>24</v>
      </c>
      <c r="G498" s="23" t="s">
        <v>16</v>
      </c>
      <c r="H498" s="18">
        <f>IF(G498="","",VALUE(SUBSTITUTE(VLOOKUP(G498,'Controle GEral'!F:G,2,FALSE),"R$ ", "")))</f>
        <v>45</v>
      </c>
      <c r="I498" s="23" t="s">
        <v>41</v>
      </c>
      <c r="J498" s="18">
        <f>IF(I498="","",VALUE(SUBSTITUTE(VLOOKUP(I498,'Controle GEral'!H:I,2,FALSE),"R$ ", "")))</f>
        <v>25</v>
      </c>
      <c r="K498" s="23" t="s">
        <v>18</v>
      </c>
      <c r="L498" s="23" t="s">
        <v>34</v>
      </c>
      <c r="N498" s="16"/>
      <c r="O498" s="17"/>
      <c r="P498" s="18">
        <f t="shared" si="14"/>
        <v>70</v>
      </c>
      <c r="Q498" s="22" t="e">
        <f t="shared" si="15"/>
        <v>#VALUE!</v>
      </c>
      <c r="R498" s="23"/>
    </row>
    <row r="499" spans="1:19" ht="12.75">
      <c r="A499" s="22">
        <v>46099</v>
      </c>
      <c r="B499" s="23" t="s">
        <v>14</v>
      </c>
      <c r="C499" s="23" t="s">
        <v>892</v>
      </c>
      <c r="D499" s="19"/>
      <c r="E499" s="23" t="s">
        <v>15</v>
      </c>
      <c r="G499" s="23" t="s">
        <v>16</v>
      </c>
      <c r="H499" s="18">
        <f>IF(G499="","",VALUE(SUBSTITUTE(VLOOKUP(G499,'Controle GEral'!F:G,2,FALSE),"R$ ", "")))</f>
        <v>45</v>
      </c>
      <c r="I499" s="23"/>
      <c r="J499" s="18" t="str">
        <f>IF(I499="","",VALUE(SUBSTITUTE(VLOOKUP(I499,'Controle GEral'!H:I,2,FALSE),"R$ ", "")))</f>
        <v/>
      </c>
      <c r="K499" s="23" t="s">
        <v>18</v>
      </c>
      <c r="L499" s="23" t="s">
        <v>28</v>
      </c>
      <c r="N499" s="16"/>
      <c r="O499" s="17"/>
      <c r="P499" s="18" t="e">
        <f t="shared" si="14"/>
        <v>#VALUE!</v>
      </c>
      <c r="Q499" s="22" t="e">
        <f t="shared" si="15"/>
        <v>#VALUE!</v>
      </c>
      <c r="R499" s="23"/>
      <c r="S499" s="23" t="str">
        <f>IF(I499="","",VALUE(SUBSTITUTE(VLOOKUP(R499,'Controle GEral'!Q:R,2,FALSE),"R$ ", "")))</f>
        <v/>
      </c>
    </row>
    <row r="500" spans="1:19" ht="12.75">
      <c r="A500" s="22">
        <v>46099</v>
      </c>
      <c r="B500" s="23" t="s">
        <v>14</v>
      </c>
      <c r="C500" s="23" t="s">
        <v>578</v>
      </c>
      <c r="D500" s="19"/>
      <c r="E500" s="23" t="s">
        <v>24</v>
      </c>
      <c r="G500" s="23"/>
      <c r="H500" s="18" t="str">
        <f>IF(G500="","",VALUE(SUBSTITUTE(VLOOKUP(G500,'Controle GEral'!F:G,2,FALSE),"R$ ", "")))</f>
        <v/>
      </c>
      <c r="I500" s="23"/>
      <c r="J500" s="18" t="str">
        <f>IF(I500="","",VALUE(SUBSTITUTE(VLOOKUP(I500,'Controle GEral'!H:I,2,FALSE),"R$ ", "")))</f>
        <v/>
      </c>
      <c r="K500" s="23"/>
      <c r="L500" s="23"/>
      <c r="N500" s="16"/>
      <c r="O500" s="17"/>
      <c r="P500" s="18" t="e">
        <f t="shared" si="14"/>
        <v>#VALUE!</v>
      </c>
      <c r="Q500" s="22" t="e">
        <f t="shared" si="15"/>
        <v>#VALUE!</v>
      </c>
      <c r="R500" s="23"/>
      <c r="S500" s="23" t="str">
        <f>IF(I500="","",VALUE(SUBSTITUTE(VLOOKUP(R500,'Controle GEral'!Q:R,2,FALSE),"R$ ", "")))</f>
        <v/>
      </c>
    </row>
    <row r="501" spans="1:19" ht="12.75">
      <c r="A501" s="22">
        <v>46099</v>
      </c>
      <c r="B501" s="23" t="s">
        <v>14</v>
      </c>
      <c r="C501" s="23" t="s">
        <v>618</v>
      </c>
      <c r="D501" s="19"/>
      <c r="E501" s="23" t="s">
        <v>24</v>
      </c>
      <c r="G501" s="23" t="s">
        <v>16</v>
      </c>
      <c r="H501" s="18">
        <f>IF(G501="","",VALUE(SUBSTITUTE(VLOOKUP(G501,'Controle GEral'!F:G,2,FALSE),"R$ ", "")))</f>
        <v>45</v>
      </c>
      <c r="I501" s="23"/>
      <c r="J501" s="18" t="str">
        <f>IF(I501="","",VALUE(SUBSTITUTE(VLOOKUP(I501,'Controle GEral'!H:I,2,FALSE),"R$ ", "")))</f>
        <v/>
      </c>
      <c r="K501" s="23" t="s">
        <v>18</v>
      </c>
      <c r="L501" s="23" t="s">
        <v>19</v>
      </c>
      <c r="N501" s="16"/>
      <c r="O501" s="17"/>
      <c r="P501" s="18" t="e">
        <f t="shared" si="14"/>
        <v>#VALUE!</v>
      </c>
      <c r="Q501" s="22" t="e">
        <f t="shared" si="15"/>
        <v>#VALUE!</v>
      </c>
      <c r="R501" s="23"/>
      <c r="S501" s="23" t="str">
        <f>IF(I501="","",VALUE(SUBSTITUTE(VLOOKUP(R501,'Controle GEral'!Q:R,2,FALSE),"R$ ", "")))</f>
        <v/>
      </c>
    </row>
    <row r="502" spans="1:19" ht="12.75">
      <c r="A502" s="22">
        <v>46099</v>
      </c>
      <c r="B502" s="23" t="s">
        <v>14</v>
      </c>
      <c r="C502" s="23" t="s">
        <v>796</v>
      </c>
      <c r="D502" s="19"/>
      <c r="E502" s="23" t="s">
        <v>24</v>
      </c>
      <c r="G502" s="23" t="s">
        <v>16</v>
      </c>
      <c r="H502" s="18">
        <f>IF(G502="","",VALUE(SUBSTITUTE(VLOOKUP(G502,'Controle GEral'!F:G,2,FALSE),"R$ ", "")))</f>
        <v>45</v>
      </c>
      <c r="I502" s="23" t="s">
        <v>21</v>
      </c>
      <c r="J502" s="18">
        <f>IF(I502="","",VALUE(SUBSTITUTE(VLOOKUP(I502,'Controle GEral'!H:I,2,FALSE),"R$ ", "")))</f>
        <v>10</v>
      </c>
      <c r="K502" s="23" t="s">
        <v>18</v>
      </c>
      <c r="L502" s="23" t="s">
        <v>28</v>
      </c>
      <c r="N502" s="16"/>
      <c r="O502" s="17"/>
      <c r="P502" s="18">
        <f t="shared" si="14"/>
        <v>55</v>
      </c>
      <c r="Q502" s="22" t="e">
        <f t="shared" si="15"/>
        <v>#VALUE!</v>
      </c>
      <c r="R502" s="23"/>
    </row>
    <row r="503" spans="1:19" ht="12.75">
      <c r="A503" s="22">
        <v>46099</v>
      </c>
      <c r="B503" s="23" t="s">
        <v>14</v>
      </c>
      <c r="C503" s="23" t="s">
        <v>616</v>
      </c>
      <c r="D503" s="19"/>
      <c r="E503" s="23" t="s">
        <v>24</v>
      </c>
      <c r="G503" s="23" t="s">
        <v>16</v>
      </c>
      <c r="H503" s="18">
        <f>IF(G503="","",VALUE(SUBSTITUTE(VLOOKUP(G503,'Controle GEral'!F:G,2,FALSE),"R$ ", "")))</f>
        <v>45</v>
      </c>
      <c r="I503" s="23"/>
      <c r="J503" s="18" t="str">
        <f>IF(I503="","",VALUE(SUBSTITUTE(VLOOKUP(I503,'Controle GEral'!H:I,2,FALSE),"R$ ", "")))</f>
        <v/>
      </c>
      <c r="K503" s="23" t="s">
        <v>18</v>
      </c>
      <c r="L503" s="23" t="s">
        <v>39</v>
      </c>
      <c r="N503" s="16"/>
      <c r="O503" s="17"/>
      <c r="P503" s="18" t="e">
        <f t="shared" si="14"/>
        <v>#VALUE!</v>
      </c>
      <c r="Q503" s="22" t="e">
        <f t="shared" si="15"/>
        <v>#VALUE!</v>
      </c>
      <c r="R503" s="23"/>
      <c r="S503" s="23" t="str">
        <f>IF(I503="","",VALUE(SUBSTITUTE(VLOOKUP(R503,'Controle GEral'!Q:R,2,FALSE),"R$ ", "")))</f>
        <v/>
      </c>
    </row>
    <row r="504" spans="1:19" ht="12.75">
      <c r="A504" s="22">
        <v>46100</v>
      </c>
      <c r="B504" s="23" t="s">
        <v>14</v>
      </c>
      <c r="C504" s="23" t="s">
        <v>893</v>
      </c>
      <c r="D504" s="19"/>
      <c r="E504" s="23" t="s">
        <v>24</v>
      </c>
      <c r="G504" s="23" t="s">
        <v>16</v>
      </c>
      <c r="H504" s="18">
        <f>IF(G504="","",VALUE(SUBSTITUTE(VLOOKUP(G504,'Controle GEral'!F:G,2,FALSE),"R$ ", "")))</f>
        <v>45</v>
      </c>
      <c r="I504" s="23"/>
      <c r="J504" s="18" t="str">
        <f>IF(I504="","",VALUE(SUBSTITUTE(VLOOKUP(I504,'Controle GEral'!H:I,2,FALSE),"R$ ", "")))</f>
        <v/>
      </c>
      <c r="K504" s="23" t="s">
        <v>18</v>
      </c>
      <c r="L504" s="23" t="s">
        <v>28</v>
      </c>
      <c r="N504" s="16"/>
      <c r="O504" s="17"/>
      <c r="P504" s="18" t="e">
        <f t="shared" si="14"/>
        <v>#VALUE!</v>
      </c>
      <c r="Q504" s="22" t="e">
        <f t="shared" si="15"/>
        <v>#VALUE!</v>
      </c>
      <c r="R504" s="23"/>
      <c r="S504" s="23" t="str">
        <f>IF(I504="","",VALUE(SUBSTITUTE(VLOOKUP(R504,'Controle GEral'!Q:R,2,FALSE),"R$ ", "")))</f>
        <v/>
      </c>
    </row>
    <row r="505" spans="1:19" ht="12.75">
      <c r="A505" s="22">
        <v>46161</v>
      </c>
      <c r="B505" s="23" t="s">
        <v>14</v>
      </c>
      <c r="C505" s="23" t="s">
        <v>652</v>
      </c>
      <c r="D505" s="19"/>
      <c r="E505" s="23" t="s">
        <v>24</v>
      </c>
      <c r="G505" s="23" t="s">
        <v>38</v>
      </c>
      <c r="H505" s="18">
        <f>IF(G505="","",VALUE(SUBSTITUTE(VLOOKUP(G505,'Controle GEral'!F:G,2,FALSE),"R$ ", "")))</f>
        <v>70</v>
      </c>
      <c r="I505" s="23"/>
      <c r="J505" s="18" t="str">
        <f>IF(I505="","",VALUE(SUBSTITUTE(VLOOKUP(I505,'Controle GEral'!H:I,2,FALSE),"R$ ", "")))</f>
        <v/>
      </c>
      <c r="K505" s="23" t="s">
        <v>18</v>
      </c>
      <c r="L505" s="23" t="s">
        <v>34</v>
      </c>
      <c r="N505" s="16"/>
      <c r="O505" s="17"/>
      <c r="P505" s="18" t="e">
        <f t="shared" si="14"/>
        <v>#VALUE!</v>
      </c>
      <c r="Q505" s="22" t="e">
        <f t="shared" si="15"/>
        <v>#VALUE!</v>
      </c>
      <c r="R505" s="23"/>
      <c r="S505" s="23" t="str">
        <f>IF(I505="","",VALUE(SUBSTITUTE(VLOOKUP(R505,'Controle GEral'!Q:R,2,FALSE),"R$ ", "")))</f>
        <v/>
      </c>
    </row>
    <row r="506" spans="1:19" ht="12.75">
      <c r="A506" s="22">
        <v>46100</v>
      </c>
      <c r="B506" s="23" t="s">
        <v>14</v>
      </c>
      <c r="C506" s="23" t="s">
        <v>894</v>
      </c>
      <c r="D506" s="19"/>
      <c r="E506" s="23" t="s">
        <v>24</v>
      </c>
      <c r="G506" s="23" t="s">
        <v>32</v>
      </c>
      <c r="H506" s="18">
        <f>IF(G506="","",VALUE(SUBSTITUTE(VLOOKUP(G506,'Controle GEral'!F:G,2,FALSE),"R$ ", "")))</f>
        <v>35</v>
      </c>
      <c r="I506" s="23"/>
      <c r="J506" s="18" t="str">
        <f>IF(I506="","",VALUE(SUBSTITUTE(VLOOKUP(I506,'Controle GEral'!H:I,2,FALSE),"R$ ", "")))</f>
        <v/>
      </c>
      <c r="K506" s="23" t="s">
        <v>18</v>
      </c>
      <c r="L506" s="23" t="s">
        <v>19</v>
      </c>
      <c r="N506" s="16"/>
      <c r="O506" s="17"/>
      <c r="P506" s="18" t="e">
        <f t="shared" si="14"/>
        <v>#VALUE!</v>
      </c>
      <c r="Q506" s="22" t="e">
        <f t="shared" si="15"/>
        <v>#VALUE!</v>
      </c>
      <c r="R506" s="23"/>
      <c r="S506" s="23" t="str">
        <f>IF(I506="","",VALUE(SUBSTITUTE(VLOOKUP(R506,'Controle GEral'!Q:R,2,FALSE),"R$ ", "")))</f>
        <v/>
      </c>
    </row>
    <row r="507" spans="1:19" ht="12.75">
      <c r="A507" s="22">
        <v>46100</v>
      </c>
      <c r="B507" s="23" t="s">
        <v>14</v>
      </c>
      <c r="C507" s="23" t="s">
        <v>759</v>
      </c>
      <c r="D507" s="19"/>
      <c r="E507" s="23" t="s">
        <v>24</v>
      </c>
      <c r="G507" s="23" t="s">
        <v>16</v>
      </c>
      <c r="H507" s="18">
        <f>IF(G507="","",VALUE(SUBSTITUTE(VLOOKUP(G507,'Controle GEral'!F:G,2,FALSE),"R$ ", "")))</f>
        <v>45</v>
      </c>
      <c r="I507" s="23"/>
      <c r="J507" s="18" t="str">
        <f>IF(I507="","",VALUE(SUBSTITUTE(VLOOKUP(I507,'Controle GEral'!H:I,2,FALSE),"R$ ", "")))</f>
        <v/>
      </c>
      <c r="K507" s="23" t="s">
        <v>18</v>
      </c>
      <c r="L507" s="23" t="s">
        <v>34</v>
      </c>
      <c r="N507" s="16"/>
      <c r="O507" s="17"/>
      <c r="P507" s="18" t="e">
        <f t="shared" si="14"/>
        <v>#VALUE!</v>
      </c>
      <c r="Q507" s="22" t="e">
        <f t="shared" si="15"/>
        <v>#VALUE!</v>
      </c>
      <c r="R507" s="23"/>
      <c r="S507" s="23" t="str">
        <f>IF(I507="","",VALUE(SUBSTITUTE(VLOOKUP(R507,'Controle GEral'!Q:R,2,FALSE),"R$ ", "")))</f>
        <v/>
      </c>
    </row>
    <row r="508" spans="1:19" ht="12.75">
      <c r="A508" s="22">
        <v>46100</v>
      </c>
      <c r="B508" s="23" t="s">
        <v>14</v>
      </c>
      <c r="C508" s="23" t="s">
        <v>564</v>
      </c>
      <c r="D508" s="19"/>
      <c r="E508" s="23" t="s">
        <v>24</v>
      </c>
      <c r="G508" s="23"/>
      <c r="H508" s="18" t="str">
        <f>IF(G508="","",VALUE(SUBSTITUTE(VLOOKUP(G508,'Controle GEral'!F:G,2,FALSE),"R$ ", "")))</f>
        <v/>
      </c>
      <c r="I508" s="23"/>
      <c r="J508" s="18" t="str">
        <f>IF(I508="","",VALUE(SUBSTITUTE(VLOOKUP(I508,'Controle GEral'!H:I,2,FALSE),"R$ ", "")))</f>
        <v/>
      </c>
      <c r="K508" s="23"/>
      <c r="L508" s="23"/>
      <c r="N508" s="16"/>
      <c r="O508" s="17"/>
      <c r="P508" s="18" t="e">
        <f t="shared" si="14"/>
        <v>#VALUE!</v>
      </c>
      <c r="Q508" s="22" t="e">
        <f t="shared" si="15"/>
        <v>#VALUE!</v>
      </c>
      <c r="R508" s="23"/>
      <c r="S508" s="23" t="str">
        <f>IF(I508="","",VALUE(SUBSTITUTE(VLOOKUP(R508,'Controle GEral'!Q:R,2,FALSE),"R$ ", "")))</f>
        <v/>
      </c>
    </row>
    <row r="509" spans="1:19" ht="12.75">
      <c r="A509" s="22">
        <v>46100</v>
      </c>
      <c r="B509" s="23" t="s">
        <v>14</v>
      </c>
      <c r="C509" s="23" t="s">
        <v>895</v>
      </c>
      <c r="D509" s="19"/>
      <c r="E509" s="23" t="s">
        <v>15</v>
      </c>
      <c r="G509" s="23" t="s">
        <v>25</v>
      </c>
      <c r="H509" s="18">
        <f>IF(G509="","",VALUE(SUBSTITUTE(VLOOKUP(G509,'Controle GEral'!F:G,2,FALSE),"R$ ", "")))</f>
        <v>80</v>
      </c>
      <c r="I509" s="23"/>
      <c r="J509" s="18" t="str">
        <f>IF(I509="","",VALUE(SUBSTITUTE(VLOOKUP(I509,'Controle GEral'!H:I,2,FALSE),"R$ ", "")))</f>
        <v/>
      </c>
      <c r="K509" s="23" t="s">
        <v>18</v>
      </c>
      <c r="L509" s="23" t="s">
        <v>28</v>
      </c>
      <c r="N509" s="16"/>
      <c r="O509" s="17"/>
      <c r="P509" s="18" t="e">
        <f t="shared" si="14"/>
        <v>#VALUE!</v>
      </c>
      <c r="Q509" s="22" t="e">
        <f t="shared" si="15"/>
        <v>#VALUE!</v>
      </c>
      <c r="R509" s="23"/>
      <c r="S509" s="23" t="str">
        <f>IF(I509="","",VALUE(SUBSTITUTE(VLOOKUP(R509,'Controle GEral'!Q:R,2,FALSE),"R$ ", "")))</f>
        <v/>
      </c>
    </row>
    <row r="510" spans="1:19" ht="12.75">
      <c r="A510" s="22">
        <v>46100</v>
      </c>
      <c r="B510" s="23" t="s">
        <v>14</v>
      </c>
      <c r="C510" s="23" t="s">
        <v>896</v>
      </c>
      <c r="D510" s="19"/>
      <c r="E510" s="23" t="s">
        <v>24</v>
      </c>
      <c r="G510" s="23" t="s">
        <v>16</v>
      </c>
      <c r="H510" s="18">
        <f>IF(G510="","",VALUE(SUBSTITUTE(VLOOKUP(G510,'Controle GEral'!F:G,2,FALSE),"R$ ", "")))</f>
        <v>45</v>
      </c>
      <c r="I510" s="23"/>
      <c r="J510" s="18" t="str">
        <f>IF(I510="","",VALUE(SUBSTITUTE(VLOOKUP(I510,'Controle GEral'!H:I,2,FALSE),"R$ ", "")))</f>
        <v/>
      </c>
      <c r="K510" s="23" t="s">
        <v>18</v>
      </c>
      <c r="L510" s="23" t="s">
        <v>34</v>
      </c>
      <c r="N510" s="16"/>
      <c r="O510" s="17"/>
      <c r="P510" s="18" t="e">
        <f t="shared" si="14"/>
        <v>#VALUE!</v>
      </c>
      <c r="Q510" s="22" t="e">
        <f t="shared" si="15"/>
        <v>#VALUE!</v>
      </c>
      <c r="R510" s="23"/>
      <c r="S510" s="23" t="str">
        <f>IF(I510="","",VALUE(SUBSTITUTE(VLOOKUP(R510,'Controle GEral'!Q:R,2,FALSE),"R$ ", "")))</f>
        <v/>
      </c>
    </row>
    <row r="511" spans="1:19" ht="12.75">
      <c r="A511" s="22">
        <v>46100</v>
      </c>
      <c r="B511" s="23" t="s">
        <v>14</v>
      </c>
      <c r="C511" s="23" t="s">
        <v>752</v>
      </c>
      <c r="D511" s="19"/>
      <c r="E511" s="23" t="s">
        <v>24</v>
      </c>
      <c r="G511" s="23" t="s">
        <v>16</v>
      </c>
      <c r="H511" s="18">
        <f>IF(G511="","",VALUE(SUBSTITUTE(VLOOKUP(G511,'Controle GEral'!F:G,2,FALSE),"R$ ", "")))</f>
        <v>45</v>
      </c>
      <c r="I511" s="23" t="s">
        <v>21</v>
      </c>
      <c r="J511" s="18">
        <f>IF(I511="","",VALUE(SUBSTITUTE(VLOOKUP(I511,'Controle GEral'!H:I,2,FALSE),"R$ ", "")))</f>
        <v>10</v>
      </c>
      <c r="K511" s="23" t="s">
        <v>18</v>
      </c>
      <c r="L511" s="23"/>
      <c r="N511" s="16"/>
      <c r="O511" s="17"/>
      <c r="P511" s="18">
        <f t="shared" si="14"/>
        <v>55</v>
      </c>
      <c r="Q511" s="22" t="e">
        <f t="shared" si="15"/>
        <v>#VALUE!</v>
      </c>
      <c r="R511" s="23"/>
    </row>
    <row r="512" spans="1:19" ht="12.75">
      <c r="A512" s="22">
        <v>46100</v>
      </c>
      <c r="B512" s="23" t="s">
        <v>14</v>
      </c>
      <c r="C512" s="23" t="s">
        <v>897</v>
      </c>
      <c r="D512" s="19"/>
      <c r="E512" s="23" t="s">
        <v>24</v>
      </c>
      <c r="G512" s="23"/>
      <c r="H512" s="18" t="str">
        <f>IF(G512="","",VALUE(SUBSTITUTE(VLOOKUP(G512,'Controle GEral'!F:G,2,FALSE),"R$ ", "")))</f>
        <v/>
      </c>
      <c r="I512" s="23"/>
      <c r="J512" s="18" t="str">
        <f>IF(I512="","",VALUE(SUBSTITUTE(VLOOKUP(I512,'Controle GEral'!H:I,2,FALSE),"R$ ", "")))</f>
        <v/>
      </c>
      <c r="K512" s="23"/>
      <c r="L512" s="23"/>
      <c r="N512" s="16"/>
      <c r="O512" s="17"/>
      <c r="P512" s="18" t="e">
        <f t="shared" si="14"/>
        <v>#VALUE!</v>
      </c>
      <c r="Q512" s="22" t="e">
        <f t="shared" si="15"/>
        <v>#VALUE!</v>
      </c>
      <c r="R512" s="23"/>
      <c r="S512" s="23" t="str">
        <f>IF(I512="","",VALUE(SUBSTITUTE(VLOOKUP(R512,'Controle GEral'!Q:R,2,FALSE),"R$ ", "")))</f>
        <v/>
      </c>
    </row>
    <row r="513" spans="1:19" ht="12.75">
      <c r="A513" s="22">
        <v>46101</v>
      </c>
      <c r="B513" s="23"/>
      <c r="D513" s="19"/>
      <c r="E513" s="23"/>
      <c r="G513" s="23"/>
      <c r="H513" s="18" t="str">
        <f>IF(G513="","",VALUE(SUBSTITUTE(VLOOKUP(G513,'Controle GEral'!F:G,2,FALSE),"R$ ", "")))</f>
        <v/>
      </c>
      <c r="I513" s="23"/>
      <c r="J513" s="18" t="str">
        <f>IF(I513="","",VALUE(SUBSTITUTE(VLOOKUP(I513,'Controle GEral'!H:I,2,FALSE),"R$ ", "")))</f>
        <v/>
      </c>
      <c r="K513" s="23"/>
      <c r="L513" s="23"/>
      <c r="N513" s="16"/>
      <c r="O513" s="17"/>
      <c r="P513" s="18" t="e">
        <f t="shared" si="14"/>
        <v>#VALUE!</v>
      </c>
      <c r="Q513" s="22" t="e">
        <f t="shared" si="15"/>
        <v>#VALUE!</v>
      </c>
      <c r="R513" s="23"/>
      <c r="S513" s="23" t="str">
        <f>IF(I513="","",VALUE(SUBSTITUTE(VLOOKUP(R513,'Controle GEral'!Q:R,2,FALSE),"R$ ", "")))</f>
        <v/>
      </c>
    </row>
    <row r="514" spans="1:19" ht="12.75">
      <c r="A514" s="22">
        <v>46119</v>
      </c>
      <c r="B514" s="23" t="s">
        <v>14</v>
      </c>
      <c r="C514" s="23" t="s">
        <v>89</v>
      </c>
      <c r="D514" s="19" t="e">
        <v>#VALUE!</v>
      </c>
      <c r="E514" s="23" t="s">
        <v>24</v>
      </c>
      <c r="F514" s="23">
        <v>11989643287</v>
      </c>
      <c r="G514" s="23" t="s">
        <v>16</v>
      </c>
      <c r="H514" s="18">
        <v>40</v>
      </c>
      <c r="J514" s="18"/>
      <c r="K514" s="23" t="s">
        <v>18</v>
      </c>
      <c r="L514" s="23" t="s">
        <v>34</v>
      </c>
      <c r="N514" s="16"/>
      <c r="O514" s="17"/>
      <c r="P514" s="23">
        <v>40</v>
      </c>
      <c r="Q514" s="22"/>
      <c r="R514" s="23"/>
    </row>
    <row r="515" spans="1:19" ht="12.75">
      <c r="A515" s="22">
        <v>46121</v>
      </c>
      <c r="B515" s="23" t="s">
        <v>14</v>
      </c>
      <c r="C515" s="23" t="s">
        <v>898</v>
      </c>
      <c r="D515" s="19">
        <v>32645</v>
      </c>
      <c r="E515" s="23" t="s">
        <v>24</v>
      </c>
      <c r="F515" s="23">
        <v>11990213156</v>
      </c>
      <c r="G515" s="23" t="s">
        <v>16</v>
      </c>
      <c r="H515" s="18">
        <v>40</v>
      </c>
      <c r="J515" s="18"/>
      <c r="K515" s="23" t="s">
        <v>18</v>
      </c>
      <c r="L515" s="23" t="s">
        <v>34</v>
      </c>
      <c r="N515" s="16"/>
      <c r="O515" s="17"/>
      <c r="P515" s="23">
        <v>40</v>
      </c>
      <c r="Q515" s="22"/>
      <c r="R515" s="23"/>
    </row>
    <row r="516" spans="1:19" ht="12.75">
      <c r="A516" s="22">
        <v>46121</v>
      </c>
      <c r="B516" s="23" t="s">
        <v>14</v>
      </c>
      <c r="C516" s="23" t="s">
        <v>158</v>
      </c>
      <c r="D516" s="19">
        <v>41513</v>
      </c>
      <c r="E516" s="23" t="s">
        <v>24</v>
      </c>
      <c r="F516" s="23">
        <v>11920147492</v>
      </c>
      <c r="G516" s="23" t="s">
        <v>16</v>
      </c>
      <c r="H516" s="18">
        <v>40</v>
      </c>
      <c r="J516" s="18"/>
      <c r="K516" s="23" t="s">
        <v>18</v>
      </c>
      <c r="L516" s="23" t="s">
        <v>34</v>
      </c>
      <c r="N516" s="16"/>
      <c r="O516" s="17"/>
      <c r="P516" s="23">
        <v>40</v>
      </c>
      <c r="Q516" s="22"/>
      <c r="R516" s="23"/>
    </row>
    <row r="517" spans="1:19" ht="12.75">
      <c r="A517" s="22"/>
      <c r="D517" s="19"/>
      <c r="H517" s="18"/>
      <c r="J517" s="18"/>
      <c r="N517" s="16"/>
      <c r="O517" s="17"/>
      <c r="P517" s="18">
        <f t="shared" ref="P517:P580" si="16">H517+J517+S517</f>
        <v>0</v>
      </c>
      <c r="Q517" s="22" t="e">
        <f t="shared" ref="Q517:Q580" si="17">DATEVALUE(A517)</f>
        <v>#VALUE!</v>
      </c>
      <c r="R517" s="23"/>
    </row>
    <row r="518" spans="1:19" ht="12.75">
      <c r="A518" s="22"/>
      <c r="D518" s="19"/>
      <c r="H518" s="18"/>
      <c r="J518" s="18"/>
      <c r="N518" s="16"/>
      <c r="O518" s="17"/>
      <c r="P518" s="18">
        <f t="shared" si="16"/>
        <v>0</v>
      </c>
      <c r="Q518" s="22" t="e">
        <f t="shared" si="17"/>
        <v>#VALUE!</v>
      </c>
      <c r="R518" s="23"/>
    </row>
    <row r="519" spans="1:19" ht="12.75">
      <c r="A519" s="22"/>
      <c r="D519" s="19"/>
      <c r="H519" s="18"/>
      <c r="J519" s="18"/>
      <c r="N519" s="16"/>
      <c r="O519" s="17"/>
      <c r="P519" s="18">
        <f t="shared" si="16"/>
        <v>0</v>
      </c>
      <c r="Q519" s="22" t="e">
        <f t="shared" si="17"/>
        <v>#VALUE!</v>
      </c>
      <c r="R519" s="23"/>
    </row>
    <row r="520" spans="1:19" ht="12.75">
      <c r="A520" s="22"/>
      <c r="D520" s="19"/>
      <c r="H520" s="18"/>
      <c r="J520" s="18"/>
      <c r="N520" s="16"/>
      <c r="O520" s="17"/>
      <c r="P520" s="18">
        <f t="shared" si="16"/>
        <v>0</v>
      </c>
      <c r="Q520" s="22" t="e">
        <f t="shared" si="17"/>
        <v>#VALUE!</v>
      </c>
      <c r="R520" s="23"/>
    </row>
    <row r="521" spans="1:19" ht="12.75">
      <c r="A521" s="22"/>
      <c r="D521" s="19"/>
      <c r="H521" s="18"/>
      <c r="J521" s="18"/>
      <c r="N521" s="16"/>
      <c r="O521" s="17"/>
      <c r="P521" s="18">
        <f t="shared" si="16"/>
        <v>0</v>
      </c>
      <c r="Q521" s="22" t="e">
        <f t="shared" si="17"/>
        <v>#VALUE!</v>
      </c>
      <c r="R521" s="23"/>
    </row>
    <row r="522" spans="1:19" ht="12.75">
      <c r="A522" s="22"/>
      <c r="D522" s="19"/>
      <c r="H522" s="18"/>
      <c r="J522" s="18"/>
      <c r="N522" s="16"/>
      <c r="O522" s="17"/>
      <c r="P522" s="18">
        <f t="shared" si="16"/>
        <v>0</v>
      </c>
      <c r="Q522" s="22" t="e">
        <f t="shared" si="17"/>
        <v>#VALUE!</v>
      </c>
      <c r="R522" s="23"/>
    </row>
    <row r="523" spans="1:19" ht="12.75">
      <c r="A523" s="22"/>
      <c r="D523" s="19"/>
      <c r="H523" s="18"/>
      <c r="J523" s="18"/>
      <c r="N523" s="16"/>
      <c r="O523" s="17"/>
      <c r="P523" s="18">
        <f t="shared" si="16"/>
        <v>0</v>
      </c>
      <c r="Q523" s="22" t="e">
        <f t="shared" si="17"/>
        <v>#VALUE!</v>
      </c>
      <c r="R523" s="23"/>
    </row>
    <row r="524" spans="1:19" ht="12.75">
      <c r="A524" s="22"/>
      <c r="D524" s="19"/>
      <c r="H524" s="18"/>
      <c r="J524" s="18"/>
      <c r="N524" s="16"/>
      <c r="O524" s="17"/>
      <c r="P524" s="18">
        <f t="shared" si="16"/>
        <v>0</v>
      </c>
      <c r="Q524" s="22" t="e">
        <f t="shared" si="17"/>
        <v>#VALUE!</v>
      </c>
      <c r="R524" s="23"/>
    </row>
    <row r="525" spans="1:19" ht="12.75">
      <c r="A525" s="22"/>
      <c r="D525" s="19"/>
      <c r="H525" s="18"/>
      <c r="J525" s="18"/>
      <c r="N525" s="16"/>
      <c r="O525" s="17"/>
      <c r="P525" s="18">
        <f t="shared" si="16"/>
        <v>0</v>
      </c>
      <c r="Q525" s="22" t="e">
        <f t="shared" si="17"/>
        <v>#VALUE!</v>
      </c>
      <c r="R525" s="23"/>
    </row>
    <row r="526" spans="1:19" ht="12.75">
      <c r="A526" s="22"/>
      <c r="D526" s="19"/>
      <c r="H526" s="18"/>
      <c r="J526" s="18"/>
      <c r="N526" s="16"/>
      <c r="O526" s="17"/>
      <c r="P526" s="18">
        <f t="shared" si="16"/>
        <v>0</v>
      </c>
      <c r="Q526" s="22" t="e">
        <f t="shared" si="17"/>
        <v>#VALUE!</v>
      </c>
      <c r="R526" s="23"/>
    </row>
    <row r="527" spans="1:19" ht="12.75">
      <c r="A527" s="22"/>
      <c r="D527" s="19"/>
      <c r="H527" s="18"/>
      <c r="J527" s="18"/>
      <c r="N527" s="16"/>
      <c r="O527" s="17"/>
      <c r="P527" s="18">
        <f t="shared" si="16"/>
        <v>0</v>
      </c>
      <c r="Q527" s="22" t="e">
        <f t="shared" si="17"/>
        <v>#VALUE!</v>
      </c>
      <c r="R527" s="23"/>
    </row>
    <row r="528" spans="1:19" ht="12.75">
      <c r="A528" s="22"/>
      <c r="D528" s="19"/>
      <c r="H528" s="18"/>
      <c r="J528" s="18"/>
      <c r="N528" s="16"/>
      <c r="O528" s="17"/>
      <c r="P528" s="18">
        <f t="shared" si="16"/>
        <v>0</v>
      </c>
      <c r="Q528" s="22" t="e">
        <f t="shared" si="17"/>
        <v>#VALUE!</v>
      </c>
      <c r="R528" s="23"/>
    </row>
    <row r="529" spans="1:18" ht="12.75">
      <c r="A529" s="22"/>
      <c r="D529" s="19"/>
      <c r="H529" s="18"/>
      <c r="J529" s="18"/>
      <c r="N529" s="16"/>
      <c r="O529" s="17"/>
      <c r="P529" s="18">
        <f t="shared" si="16"/>
        <v>0</v>
      </c>
      <c r="Q529" s="22" t="e">
        <f t="shared" si="17"/>
        <v>#VALUE!</v>
      </c>
      <c r="R529" s="23"/>
    </row>
    <row r="530" spans="1:18" ht="12.75">
      <c r="A530" s="22"/>
      <c r="D530" s="19"/>
      <c r="H530" s="18"/>
      <c r="J530" s="18"/>
      <c r="N530" s="16"/>
      <c r="O530" s="17"/>
      <c r="P530" s="18">
        <f t="shared" si="16"/>
        <v>0</v>
      </c>
      <c r="Q530" s="22" t="e">
        <f t="shared" si="17"/>
        <v>#VALUE!</v>
      </c>
      <c r="R530" s="23"/>
    </row>
    <row r="531" spans="1:18" ht="12.75">
      <c r="A531" s="22"/>
      <c r="D531" s="19"/>
      <c r="H531" s="18"/>
      <c r="J531" s="18"/>
      <c r="N531" s="16"/>
      <c r="O531" s="17"/>
      <c r="P531" s="18">
        <f t="shared" si="16"/>
        <v>0</v>
      </c>
      <c r="Q531" s="22" t="e">
        <f t="shared" si="17"/>
        <v>#VALUE!</v>
      </c>
      <c r="R531" s="23"/>
    </row>
    <row r="532" spans="1:18" ht="12.75">
      <c r="A532" s="22"/>
      <c r="D532" s="19"/>
      <c r="H532" s="18"/>
      <c r="J532" s="18"/>
      <c r="N532" s="16"/>
      <c r="O532" s="17"/>
      <c r="P532" s="18">
        <f t="shared" si="16"/>
        <v>0</v>
      </c>
      <c r="Q532" s="22" t="e">
        <f t="shared" si="17"/>
        <v>#VALUE!</v>
      </c>
      <c r="R532" s="23"/>
    </row>
    <row r="533" spans="1:18" ht="12.75">
      <c r="A533" s="22"/>
      <c r="D533" s="19"/>
      <c r="H533" s="18"/>
      <c r="J533" s="18"/>
      <c r="N533" s="16"/>
      <c r="O533" s="17"/>
      <c r="P533" s="18">
        <f t="shared" si="16"/>
        <v>0</v>
      </c>
      <c r="Q533" s="22" t="e">
        <f t="shared" si="17"/>
        <v>#VALUE!</v>
      </c>
      <c r="R533" s="23"/>
    </row>
    <row r="534" spans="1:18" ht="12.75">
      <c r="A534" s="22"/>
      <c r="D534" s="19"/>
      <c r="H534" s="18"/>
      <c r="J534" s="18"/>
      <c r="N534" s="16"/>
      <c r="O534" s="17"/>
      <c r="P534" s="18">
        <f t="shared" si="16"/>
        <v>0</v>
      </c>
      <c r="Q534" s="22" t="e">
        <f t="shared" si="17"/>
        <v>#VALUE!</v>
      </c>
      <c r="R534" s="23"/>
    </row>
    <row r="535" spans="1:18" ht="12.75">
      <c r="A535" s="22"/>
      <c r="D535" s="19"/>
      <c r="H535" s="18"/>
      <c r="J535" s="18"/>
      <c r="N535" s="16"/>
      <c r="O535" s="17"/>
      <c r="P535" s="18">
        <f t="shared" si="16"/>
        <v>0</v>
      </c>
      <c r="Q535" s="22" t="e">
        <f t="shared" si="17"/>
        <v>#VALUE!</v>
      </c>
      <c r="R535" s="23"/>
    </row>
    <row r="536" spans="1:18" ht="12.75">
      <c r="A536" s="22"/>
      <c r="D536" s="19"/>
      <c r="H536" s="18"/>
      <c r="J536" s="18"/>
      <c r="N536" s="16"/>
      <c r="O536" s="17"/>
      <c r="P536" s="18">
        <f t="shared" si="16"/>
        <v>0</v>
      </c>
      <c r="Q536" s="22" t="e">
        <f t="shared" si="17"/>
        <v>#VALUE!</v>
      </c>
      <c r="R536" s="23"/>
    </row>
    <row r="537" spans="1:18" ht="12.75">
      <c r="A537" s="22"/>
      <c r="D537" s="19"/>
      <c r="H537" s="18"/>
      <c r="J537" s="18"/>
      <c r="N537" s="16"/>
      <c r="O537" s="17"/>
      <c r="P537" s="18">
        <f t="shared" si="16"/>
        <v>0</v>
      </c>
      <c r="Q537" s="22" t="e">
        <f t="shared" si="17"/>
        <v>#VALUE!</v>
      </c>
      <c r="R537" s="23"/>
    </row>
    <row r="538" spans="1:18" ht="12.75">
      <c r="A538" s="22"/>
      <c r="D538" s="19"/>
      <c r="H538" s="18"/>
      <c r="J538" s="18"/>
      <c r="N538" s="16"/>
      <c r="O538" s="17"/>
      <c r="P538" s="18">
        <f t="shared" si="16"/>
        <v>0</v>
      </c>
      <c r="Q538" s="22" t="e">
        <f t="shared" si="17"/>
        <v>#VALUE!</v>
      </c>
      <c r="R538" s="23"/>
    </row>
    <row r="539" spans="1:18" ht="12.75">
      <c r="A539" s="22"/>
      <c r="D539" s="19"/>
      <c r="H539" s="18"/>
      <c r="J539" s="18"/>
      <c r="N539" s="16"/>
      <c r="O539" s="17"/>
      <c r="P539" s="18">
        <f t="shared" si="16"/>
        <v>0</v>
      </c>
      <c r="Q539" s="22" t="e">
        <f t="shared" si="17"/>
        <v>#VALUE!</v>
      </c>
      <c r="R539" s="23"/>
    </row>
    <row r="540" spans="1:18" ht="12.75">
      <c r="A540" s="22"/>
      <c r="D540" s="19"/>
      <c r="H540" s="18"/>
      <c r="J540" s="18"/>
      <c r="N540" s="16"/>
      <c r="O540" s="17"/>
      <c r="P540" s="18">
        <f t="shared" si="16"/>
        <v>0</v>
      </c>
      <c r="Q540" s="22" t="e">
        <f t="shared" si="17"/>
        <v>#VALUE!</v>
      </c>
      <c r="R540" s="23"/>
    </row>
    <row r="541" spans="1:18" ht="12.75">
      <c r="A541" s="22"/>
      <c r="D541" s="19"/>
      <c r="H541" s="18"/>
      <c r="J541" s="18"/>
      <c r="N541" s="16"/>
      <c r="O541" s="17"/>
      <c r="P541" s="18">
        <f t="shared" si="16"/>
        <v>0</v>
      </c>
      <c r="Q541" s="22" t="e">
        <f t="shared" si="17"/>
        <v>#VALUE!</v>
      </c>
      <c r="R541" s="23"/>
    </row>
    <row r="542" spans="1:18" ht="12.75">
      <c r="A542" s="22"/>
      <c r="D542" s="19"/>
      <c r="H542" s="18"/>
      <c r="J542" s="18"/>
      <c r="N542" s="16"/>
      <c r="O542" s="17"/>
      <c r="P542" s="18">
        <f t="shared" si="16"/>
        <v>0</v>
      </c>
      <c r="Q542" s="22" t="e">
        <f t="shared" si="17"/>
        <v>#VALUE!</v>
      </c>
      <c r="R542" s="23"/>
    </row>
    <row r="543" spans="1:18" ht="12.75">
      <c r="A543" s="22"/>
      <c r="D543" s="19"/>
      <c r="H543" s="18"/>
      <c r="J543" s="18"/>
      <c r="N543" s="16"/>
      <c r="O543" s="17"/>
      <c r="P543" s="18">
        <f t="shared" si="16"/>
        <v>0</v>
      </c>
      <c r="Q543" s="22" t="e">
        <f t="shared" si="17"/>
        <v>#VALUE!</v>
      </c>
      <c r="R543" s="23"/>
    </row>
    <row r="544" spans="1:18" ht="12.75">
      <c r="A544" s="22"/>
      <c r="D544" s="19"/>
      <c r="H544" s="18"/>
      <c r="J544" s="18"/>
      <c r="N544" s="16"/>
      <c r="O544" s="17"/>
      <c r="P544" s="18">
        <f t="shared" si="16"/>
        <v>0</v>
      </c>
      <c r="Q544" s="22" t="e">
        <f t="shared" si="17"/>
        <v>#VALUE!</v>
      </c>
      <c r="R544" s="23"/>
    </row>
    <row r="545" spans="1:18" ht="12.75">
      <c r="A545" s="22"/>
      <c r="D545" s="19"/>
      <c r="H545" s="18"/>
      <c r="J545" s="18"/>
      <c r="N545" s="16"/>
      <c r="O545" s="17"/>
      <c r="P545" s="18">
        <f t="shared" si="16"/>
        <v>0</v>
      </c>
      <c r="Q545" s="22" t="e">
        <f t="shared" si="17"/>
        <v>#VALUE!</v>
      </c>
      <c r="R545" s="23"/>
    </row>
    <row r="546" spans="1:18" ht="12.75">
      <c r="A546" s="22"/>
      <c r="D546" s="19"/>
      <c r="H546" s="18"/>
      <c r="J546" s="18"/>
      <c r="N546" s="16"/>
      <c r="O546" s="17"/>
      <c r="P546" s="18">
        <f t="shared" si="16"/>
        <v>0</v>
      </c>
      <c r="Q546" s="22" t="e">
        <f t="shared" si="17"/>
        <v>#VALUE!</v>
      </c>
      <c r="R546" s="23"/>
    </row>
    <row r="547" spans="1:18" ht="12.75">
      <c r="A547" s="22"/>
      <c r="D547" s="19"/>
      <c r="H547" s="18"/>
      <c r="J547" s="18"/>
      <c r="N547" s="16"/>
      <c r="O547" s="17"/>
      <c r="P547" s="18">
        <f t="shared" si="16"/>
        <v>0</v>
      </c>
      <c r="Q547" s="22" t="e">
        <f t="shared" si="17"/>
        <v>#VALUE!</v>
      </c>
      <c r="R547" s="23"/>
    </row>
    <row r="548" spans="1:18" ht="12.75">
      <c r="A548" s="22"/>
      <c r="D548" s="19"/>
      <c r="H548" s="18"/>
      <c r="J548" s="18"/>
      <c r="N548" s="16"/>
      <c r="O548" s="17"/>
      <c r="P548" s="18">
        <f t="shared" si="16"/>
        <v>0</v>
      </c>
      <c r="Q548" s="22" t="e">
        <f t="shared" si="17"/>
        <v>#VALUE!</v>
      </c>
      <c r="R548" s="23"/>
    </row>
    <row r="549" spans="1:18" ht="12.75">
      <c r="A549" s="22"/>
      <c r="D549" s="19"/>
      <c r="H549" s="18"/>
      <c r="J549" s="18"/>
      <c r="N549" s="16"/>
      <c r="O549" s="17"/>
      <c r="P549" s="18">
        <f t="shared" si="16"/>
        <v>0</v>
      </c>
      <c r="Q549" s="22" t="e">
        <f t="shared" si="17"/>
        <v>#VALUE!</v>
      </c>
      <c r="R549" s="23"/>
    </row>
    <row r="550" spans="1:18" ht="12.75">
      <c r="A550" s="22"/>
      <c r="D550" s="19"/>
      <c r="H550" s="18"/>
      <c r="J550" s="18"/>
      <c r="N550" s="16"/>
      <c r="O550" s="17"/>
      <c r="P550" s="18">
        <f t="shared" si="16"/>
        <v>0</v>
      </c>
      <c r="Q550" s="22" t="e">
        <f t="shared" si="17"/>
        <v>#VALUE!</v>
      </c>
      <c r="R550" s="23"/>
    </row>
    <row r="551" spans="1:18" ht="12.75">
      <c r="A551" s="22"/>
      <c r="D551" s="19"/>
      <c r="H551" s="18"/>
      <c r="J551" s="18"/>
      <c r="N551" s="16"/>
      <c r="O551" s="17"/>
      <c r="P551" s="18">
        <f t="shared" si="16"/>
        <v>0</v>
      </c>
      <c r="Q551" s="22" t="e">
        <f t="shared" si="17"/>
        <v>#VALUE!</v>
      </c>
      <c r="R551" s="23"/>
    </row>
    <row r="552" spans="1:18" ht="12.75">
      <c r="A552" s="22"/>
      <c r="D552" s="19"/>
      <c r="H552" s="18"/>
      <c r="J552" s="18"/>
      <c r="N552" s="16"/>
      <c r="O552" s="17"/>
      <c r="P552" s="18">
        <f t="shared" si="16"/>
        <v>0</v>
      </c>
      <c r="Q552" s="22" t="e">
        <f t="shared" si="17"/>
        <v>#VALUE!</v>
      </c>
      <c r="R552" s="23"/>
    </row>
    <row r="553" spans="1:18" ht="12.75">
      <c r="A553" s="22"/>
      <c r="D553" s="19"/>
      <c r="H553" s="18"/>
      <c r="J553" s="18"/>
      <c r="N553" s="16"/>
      <c r="O553" s="17"/>
      <c r="P553" s="18">
        <f t="shared" si="16"/>
        <v>0</v>
      </c>
      <c r="Q553" s="22" t="e">
        <f t="shared" si="17"/>
        <v>#VALUE!</v>
      </c>
      <c r="R553" s="23"/>
    </row>
    <row r="554" spans="1:18" ht="12.75">
      <c r="A554" s="22"/>
      <c r="D554" s="19"/>
      <c r="H554" s="18"/>
      <c r="J554" s="18"/>
      <c r="N554" s="16"/>
      <c r="O554" s="17"/>
      <c r="P554" s="18">
        <f t="shared" si="16"/>
        <v>0</v>
      </c>
      <c r="Q554" s="22" t="e">
        <f t="shared" si="17"/>
        <v>#VALUE!</v>
      </c>
      <c r="R554" s="23"/>
    </row>
    <row r="555" spans="1:18" ht="12.75">
      <c r="A555" s="22"/>
      <c r="D555" s="19"/>
      <c r="H555" s="18"/>
      <c r="J555" s="18"/>
      <c r="N555" s="16"/>
      <c r="O555" s="17"/>
      <c r="P555" s="18">
        <f t="shared" si="16"/>
        <v>0</v>
      </c>
      <c r="Q555" s="22" t="e">
        <f t="shared" si="17"/>
        <v>#VALUE!</v>
      </c>
      <c r="R555" s="23"/>
    </row>
    <row r="556" spans="1:18" ht="12.75">
      <c r="A556" s="22"/>
      <c r="D556" s="19"/>
      <c r="H556" s="18"/>
      <c r="J556" s="18"/>
      <c r="N556" s="16"/>
      <c r="O556" s="17"/>
      <c r="P556" s="18">
        <f t="shared" si="16"/>
        <v>0</v>
      </c>
      <c r="Q556" s="22" t="e">
        <f t="shared" si="17"/>
        <v>#VALUE!</v>
      </c>
      <c r="R556" s="23"/>
    </row>
    <row r="557" spans="1:18" ht="12.75">
      <c r="A557" s="22"/>
      <c r="D557" s="19"/>
      <c r="H557" s="18"/>
      <c r="J557" s="18"/>
      <c r="N557" s="16"/>
      <c r="O557" s="17"/>
      <c r="P557" s="18">
        <f t="shared" si="16"/>
        <v>0</v>
      </c>
      <c r="Q557" s="22" t="e">
        <f t="shared" si="17"/>
        <v>#VALUE!</v>
      </c>
      <c r="R557" s="23"/>
    </row>
    <row r="558" spans="1:18" ht="12.75">
      <c r="A558" s="22"/>
      <c r="D558" s="19"/>
      <c r="H558" s="18"/>
      <c r="J558" s="18"/>
      <c r="N558" s="16"/>
      <c r="O558" s="17"/>
      <c r="P558" s="18">
        <f t="shared" si="16"/>
        <v>0</v>
      </c>
      <c r="Q558" s="22" t="e">
        <f t="shared" si="17"/>
        <v>#VALUE!</v>
      </c>
      <c r="R558" s="23"/>
    </row>
    <row r="559" spans="1:18" ht="12.75">
      <c r="A559" s="22"/>
      <c r="D559" s="19"/>
      <c r="H559" s="18"/>
      <c r="J559" s="18"/>
      <c r="N559" s="16"/>
      <c r="O559" s="17"/>
      <c r="P559" s="18">
        <f t="shared" si="16"/>
        <v>0</v>
      </c>
      <c r="Q559" s="22" t="e">
        <f t="shared" si="17"/>
        <v>#VALUE!</v>
      </c>
      <c r="R559" s="23"/>
    </row>
    <row r="560" spans="1:18" ht="12.75">
      <c r="A560" s="22"/>
      <c r="D560" s="19"/>
      <c r="H560" s="18"/>
      <c r="J560" s="18"/>
      <c r="N560" s="16"/>
      <c r="O560" s="17"/>
      <c r="P560" s="18">
        <f t="shared" si="16"/>
        <v>0</v>
      </c>
      <c r="Q560" s="22" t="e">
        <f t="shared" si="17"/>
        <v>#VALUE!</v>
      </c>
      <c r="R560" s="23"/>
    </row>
    <row r="561" spans="1:18" ht="12.75">
      <c r="A561" s="22"/>
      <c r="D561" s="19"/>
      <c r="H561" s="18"/>
      <c r="J561" s="18"/>
      <c r="N561" s="16"/>
      <c r="O561" s="17"/>
      <c r="P561" s="18">
        <f t="shared" si="16"/>
        <v>0</v>
      </c>
      <c r="Q561" s="22" t="e">
        <f t="shared" si="17"/>
        <v>#VALUE!</v>
      </c>
      <c r="R561" s="23"/>
    </row>
    <row r="562" spans="1:18" ht="12.75">
      <c r="A562" s="22"/>
      <c r="D562" s="19"/>
      <c r="H562" s="18"/>
      <c r="J562" s="18"/>
      <c r="N562" s="16"/>
      <c r="O562" s="17"/>
      <c r="P562" s="18">
        <f t="shared" si="16"/>
        <v>0</v>
      </c>
      <c r="Q562" s="22" t="e">
        <f t="shared" si="17"/>
        <v>#VALUE!</v>
      </c>
      <c r="R562" s="23"/>
    </row>
    <row r="563" spans="1:18" ht="12.75">
      <c r="A563" s="22"/>
      <c r="D563" s="19"/>
      <c r="H563" s="18"/>
      <c r="J563" s="18"/>
      <c r="N563" s="16"/>
      <c r="O563" s="17"/>
      <c r="P563" s="18">
        <f t="shared" si="16"/>
        <v>0</v>
      </c>
      <c r="Q563" s="22" t="e">
        <f t="shared" si="17"/>
        <v>#VALUE!</v>
      </c>
      <c r="R563" s="23"/>
    </row>
    <row r="564" spans="1:18" ht="12.75">
      <c r="A564" s="22"/>
      <c r="D564" s="19"/>
      <c r="H564" s="18"/>
      <c r="J564" s="18"/>
      <c r="N564" s="16"/>
      <c r="O564" s="17"/>
      <c r="P564" s="18">
        <f t="shared" si="16"/>
        <v>0</v>
      </c>
      <c r="Q564" s="22" t="e">
        <f t="shared" si="17"/>
        <v>#VALUE!</v>
      </c>
      <c r="R564" s="23"/>
    </row>
    <row r="565" spans="1:18" ht="12.75">
      <c r="A565" s="22"/>
      <c r="D565" s="19"/>
      <c r="H565" s="18"/>
      <c r="J565" s="18"/>
      <c r="N565" s="16"/>
      <c r="O565" s="17"/>
      <c r="P565" s="18">
        <f t="shared" si="16"/>
        <v>0</v>
      </c>
      <c r="Q565" s="22" t="e">
        <f t="shared" si="17"/>
        <v>#VALUE!</v>
      </c>
      <c r="R565" s="23"/>
    </row>
    <row r="566" spans="1:18" ht="12.75">
      <c r="A566" s="22"/>
      <c r="D566" s="19"/>
      <c r="H566" s="18"/>
      <c r="J566" s="18"/>
      <c r="N566" s="16"/>
      <c r="O566" s="17"/>
      <c r="P566" s="18">
        <f t="shared" si="16"/>
        <v>0</v>
      </c>
      <c r="Q566" s="22" t="e">
        <f t="shared" si="17"/>
        <v>#VALUE!</v>
      </c>
      <c r="R566" s="23"/>
    </row>
    <row r="567" spans="1:18" ht="12.75">
      <c r="A567" s="22"/>
      <c r="D567" s="19"/>
      <c r="H567" s="18"/>
      <c r="J567" s="18"/>
      <c r="N567" s="16"/>
      <c r="O567" s="17"/>
      <c r="P567" s="18">
        <f t="shared" si="16"/>
        <v>0</v>
      </c>
      <c r="Q567" s="22" t="e">
        <f t="shared" si="17"/>
        <v>#VALUE!</v>
      </c>
      <c r="R567" s="23"/>
    </row>
    <row r="568" spans="1:18" ht="12.75">
      <c r="A568" s="22"/>
      <c r="D568" s="19"/>
      <c r="H568" s="18"/>
      <c r="J568" s="18"/>
      <c r="N568" s="16"/>
      <c r="O568" s="17"/>
      <c r="P568" s="18">
        <f t="shared" si="16"/>
        <v>0</v>
      </c>
      <c r="Q568" s="22" t="e">
        <f t="shared" si="17"/>
        <v>#VALUE!</v>
      </c>
      <c r="R568" s="23"/>
    </row>
    <row r="569" spans="1:18" ht="12.75">
      <c r="A569" s="22"/>
      <c r="D569" s="19"/>
      <c r="H569" s="18"/>
      <c r="J569" s="18"/>
      <c r="N569" s="16"/>
      <c r="O569" s="17"/>
      <c r="P569" s="18">
        <f t="shared" si="16"/>
        <v>0</v>
      </c>
      <c r="Q569" s="22" t="e">
        <f t="shared" si="17"/>
        <v>#VALUE!</v>
      </c>
      <c r="R569" s="23"/>
    </row>
    <row r="570" spans="1:18" ht="12.75">
      <c r="A570" s="22"/>
      <c r="D570" s="19"/>
      <c r="H570" s="18"/>
      <c r="J570" s="18"/>
      <c r="N570" s="16"/>
      <c r="O570" s="17"/>
      <c r="P570" s="18">
        <f t="shared" si="16"/>
        <v>0</v>
      </c>
      <c r="Q570" s="22" t="e">
        <f t="shared" si="17"/>
        <v>#VALUE!</v>
      </c>
      <c r="R570" s="23"/>
    </row>
    <row r="571" spans="1:18" ht="12.75">
      <c r="A571" s="22"/>
      <c r="D571" s="19"/>
      <c r="H571" s="18"/>
      <c r="J571" s="18"/>
      <c r="N571" s="16"/>
      <c r="O571" s="17"/>
      <c r="P571" s="18">
        <f t="shared" si="16"/>
        <v>0</v>
      </c>
      <c r="Q571" s="22" t="e">
        <f t="shared" si="17"/>
        <v>#VALUE!</v>
      </c>
      <c r="R571" s="23"/>
    </row>
    <row r="572" spans="1:18" ht="12.75">
      <c r="A572" s="22"/>
      <c r="D572" s="19"/>
      <c r="H572" s="18"/>
      <c r="J572" s="18"/>
      <c r="N572" s="16"/>
      <c r="O572" s="17"/>
      <c r="P572" s="18">
        <f t="shared" si="16"/>
        <v>0</v>
      </c>
      <c r="Q572" s="22" t="e">
        <f t="shared" si="17"/>
        <v>#VALUE!</v>
      </c>
      <c r="R572" s="23"/>
    </row>
    <row r="573" spans="1:18" ht="12.75">
      <c r="A573" s="22"/>
      <c r="D573" s="19"/>
      <c r="H573" s="18"/>
      <c r="J573" s="18"/>
      <c r="N573" s="16"/>
      <c r="O573" s="17"/>
      <c r="P573" s="18">
        <f t="shared" si="16"/>
        <v>0</v>
      </c>
      <c r="Q573" s="22" t="e">
        <f t="shared" si="17"/>
        <v>#VALUE!</v>
      </c>
      <c r="R573" s="23"/>
    </row>
    <row r="574" spans="1:18" ht="12.75">
      <c r="A574" s="22"/>
      <c r="D574" s="19"/>
      <c r="H574" s="18"/>
      <c r="J574" s="18"/>
      <c r="N574" s="16"/>
      <c r="O574" s="17"/>
      <c r="P574" s="18">
        <f t="shared" si="16"/>
        <v>0</v>
      </c>
      <c r="Q574" s="22" t="e">
        <f t="shared" si="17"/>
        <v>#VALUE!</v>
      </c>
      <c r="R574" s="23"/>
    </row>
    <row r="575" spans="1:18" ht="12.75">
      <c r="A575" s="22"/>
      <c r="D575" s="19"/>
      <c r="H575" s="18"/>
      <c r="J575" s="18"/>
      <c r="N575" s="16"/>
      <c r="O575" s="17"/>
      <c r="P575" s="18">
        <f t="shared" si="16"/>
        <v>0</v>
      </c>
      <c r="Q575" s="22" t="e">
        <f t="shared" si="17"/>
        <v>#VALUE!</v>
      </c>
      <c r="R575" s="23"/>
    </row>
    <row r="576" spans="1:18" ht="12.75">
      <c r="A576" s="22"/>
      <c r="D576" s="19"/>
      <c r="H576" s="18"/>
      <c r="J576" s="18"/>
      <c r="N576" s="16"/>
      <c r="O576" s="17"/>
      <c r="P576" s="18">
        <f t="shared" si="16"/>
        <v>0</v>
      </c>
      <c r="Q576" s="22" t="e">
        <f t="shared" si="17"/>
        <v>#VALUE!</v>
      </c>
      <c r="R576" s="23"/>
    </row>
    <row r="577" spans="1:18" ht="12.75">
      <c r="A577" s="22"/>
      <c r="D577" s="19"/>
      <c r="H577" s="18"/>
      <c r="J577" s="18"/>
      <c r="N577" s="16"/>
      <c r="O577" s="17"/>
      <c r="P577" s="18">
        <f t="shared" si="16"/>
        <v>0</v>
      </c>
      <c r="Q577" s="22" t="e">
        <f t="shared" si="17"/>
        <v>#VALUE!</v>
      </c>
      <c r="R577" s="23"/>
    </row>
    <row r="578" spans="1:18" ht="12.75">
      <c r="A578" s="22"/>
      <c r="D578" s="19"/>
      <c r="H578" s="18"/>
      <c r="J578" s="18"/>
      <c r="N578" s="16"/>
      <c r="O578" s="17"/>
      <c r="P578" s="18">
        <f t="shared" si="16"/>
        <v>0</v>
      </c>
      <c r="Q578" s="22" t="e">
        <f t="shared" si="17"/>
        <v>#VALUE!</v>
      </c>
      <c r="R578" s="23"/>
    </row>
    <row r="579" spans="1:18" ht="12.75">
      <c r="A579" s="22"/>
      <c r="D579" s="19"/>
      <c r="H579" s="18"/>
      <c r="J579" s="18"/>
      <c r="N579" s="16"/>
      <c r="O579" s="17"/>
      <c r="P579" s="18">
        <f t="shared" si="16"/>
        <v>0</v>
      </c>
      <c r="Q579" s="22" t="e">
        <f t="shared" si="17"/>
        <v>#VALUE!</v>
      </c>
      <c r="R579" s="23"/>
    </row>
    <row r="580" spans="1:18" ht="12.75">
      <c r="A580" s="22"/>
      <c r="D580" s="19"/>
      <c r="H580" s="18"/>
      <c r="J580" s="18"/>
      <c r="N580" s="16"/>
      <c r="O580" s="17"/>
      <c r="P580" s="18">
        <f t="shared" si="16"/>
        <v>0</v>
      </c>
      <c r="Q580" s="22" t="e">
        <f t="shared" si="17"/>
        <v>#VALUE!</v>
      </c>
      <c r="R580" s="23"/>
    </row>
    <row r="581" spans="1:18" ht="12.75">
      <c r="A581" s="22"/>
      <c r="D581" s="19"/>
      <c r="H581" s="18"/>
      <c r="J581" s="18"/>
      <c r="N581" s="16"/>
      <c r="O581" s="17"/>
      <c r="P581" s="18">
        <f t="shared" ref="P581:P644" si="18">H581+J581+S581</f>
        <v>0</v>
      </c>
      <c r="Q581" s="22" t="e">
        <f t="shared" ref="Q581:Q644" si="19">DATEVALUE(A581)</f>
        <v>#VALUE!</v>
      </c>
      <c r="R581" s="23"/>
    </row>
    <row r="582" spans="1:18" ht="12.75">
      <c r="A582" s="22"/>
      <c r="D582" s="19"/>
      <c r="H582" s="18"/>
      <c r="J582" s="18"/>
      <c r="N582" s="16"/>
      <c r="O582" s="17"/>
      <c r="P582" s="18">
        <f t="shared" si="18"/>
        <v>0</v>
      </c>
      <c r="Q582" s="22" t="e">
        <f t="shared" si="19"/>
        <v>#VALUE!</v>
      </c>
      <c r="R582" s="23"/>
    </row>
    <row r="583" spans="1:18" ht="12.75">
      <c r="A583" s="22"/>
      <c r="D583" s="19"/>
      <c r="H583" s="18"/>
      <c r="J583" s="18"/>
      <c r="N583" s="16"/>
      <c r="O583" s="17"/>
      <c r="P583" s="18">
        <f t="shared" si="18"/>
        <v>0</v>
      </c>
      <c r="Q583" s="22" t="e">
        <f t="shared" si="19"/>
        <v>#VALUE!</v>
      </c>
      <c r="R583" s="23"/>
    </row>
    <row r="584" spans="1:18" ht="12.75">
      <c r="A584" s="22"/>
      <c r="D584" s="19"/>
      <c r="H584" s="18"/>
      <c r="J584" s="18"/>
      <c r="N584" s="16"/>
      <c r="O584" s="17"/>
      <c r="P584" s="18">
        <f t="shared" si="18"/>
        <v>0</v>
      </c>
      <c r="Q584" s="22" t="e">
        <f t="shared" si="19"/>
        <v>#VALUE!</v>
      </c>
      <c r="R584" s="23"/>
    </row>
    <row r="585" spans="1:18" ht="12.75">
      <c r="A585" s="22"/>
      <c r="D585" s="19"/>
      <c r="H585" s="18"/>
      <c r="J585" s="18"/>
      <c r="N585" s="16"/>
      <c r="O585" s="17"/>
      <c r="P585" s="18">
        <f t="shared" si="18"/>
        <v>0</v>
      </c>
      <c r="Q585" s="22" t="e">
        <f t="shared" si="19"/>
        <v>#VALUE!</v>
      </c>
      <c r="R585" s="23"/>
    </row>
    <row r="586" spans="1:18" ht="12.75">
      <c r="A586" s="22"/>
      <c r="D586" s="19"/>
      <c r="H586" s="18"/>
      <c r="J586" s="18"/>
      <c r="N586" s="16"/>
      <c r="O586" s="17"/>
      <c r="P586" s="18">
        <f t="shared" si="18"/>
        <v>0</v>
      </c>
      <c r="Q586" s="22" t="e">
        <f t="shared" si="19"/>
        <v>#VALUE!</v>
      </c>
      <c r="R586" s="23"/>
    </row>
    <row r="587" spans="1:18" ht="12.75">
      <c r="A587" s="22"/>
      <c r="D587" s="19"/>
      <c r="H587" s="18"/>
      <c r="J587" s="18"/>
      <c r="N587" s="16"/>
      <c r="O587" s="17"/>
      <c r="P587" s="18">
        <f t="shared" si="18"/>
        <v>0</v>
      </c>
      <c r="Q587" s="22" t="e">
        <f t="shared" si="19"/>
        <v>#VALUE!</v>
      </c>
      <c r="R587" s="23"/>
    </row>
    <row r="588" spans="1:18" ht="12.75">
      <c r="A588" s="22"/>
      <c r="D588" s="19"/>
      <c r="H588" s="18"/>
      <c r="J588" s="18"/>
      <c r="N588" s="16"/>
      <c r="O588" s="17"/>
      <c r="P588" s="18">
        <f t="shared" si="18"/>
        <v>0</v>
      </c>
      <c r="Q588" s="22" t="e">
        <f t="shared" si="19"/>
        <v>#VALUE!</v>
      </c>
      <c r="R588" s="23"/>
    </row>
    <row r="589" spans="1:18" ht="12.75">
      <c r="A589" s="22"/>
      <c r="D589" s="19"/>
      <c r="H589" s="18"/>
      <c r="J589" s="18"/>
      <c r="N589" s="16"/>
      <c r="O589" s="17"/>
      <c r="P589" s="18">
        <f t="shared" si="18"/>
        <v>0</v>
      </c>
      <c r="Q589" s="22" t="e">
        <f t="shared" si="19"/>
        <v>#VALUE!</v>
      </c>
      <c r="R589" s="23"/>
    </row>
    <row r="590" spans="1:18" ht="12.75">
      <c r="A590" s="22"/>
      <c r="D590" s="19"/>
      <c r="H590" s="18"/>
      <c r="J590" s="18"/>
      <c r="N590" s="16"/>
      <c r="O590" s="17"/>
      <c r="P590" s="18">
        <f t="shared" si="18"/>
        <v>0</v>
      </c>
      <c r="Q590" s="22" t="e">
        <f t="shared" si="19"/>
        <v>#VALUE!</v>
      </c>
      <c r="R590" s="23"/>
    </row>
    <row r="591" spans="1:18" ht="12.75">
      <c r="A591" s="22"/>
      <c r="D591" s="19"/>
      <c r="H591" s="18"/>
      <c r="J591" s="18"/>
      <c r="N591" s="16"/>
      <c r="O591" s="17"/>
      <c r="P591" s="18">
        <f t="shared" si="18"/>
        <v>0</v>
      </c>
      <c r="Q591" s="22" t="e">
        <f t="shared" si="19"/>
        <v>#VALUE!</v>
      </c>
      <c r="R591" s="23"/>
    </row>
    <row r="592" spans="1:18" ht="12.75">
      <c r="A592" s="22"/>
      <c r="D592" s="19"/>
      <c r="H592" s="18"/>
      <c r="J592" s="18"/>
      <c r="N592" s="16"/>
      <c r="O592" s="17"/>
      <c r="P592" s="18">
        <f t="shared" si="18"/>
        <v>0</v>
      </c>
      <c r="Q592" s="22" t="e">
        <f t="shared" si="19"/>
        <v>#VALUE!</v>
      </c>
      <c r="R592" s="23"/>
    </row>
    <row r="593" spans="1:18" ht="12.75">
      <c r="A593" s="22"/>
      <c r="D593" s="19"/>
      <c r="H593" s="18"/>
      <c r="J593" s="18"/>
      <c r="N593" s="16"/>
      <c r="O593" s="17"/>
      <c r="P593" s="18">
        <f t="shared" si="18"/>
        <v>0</v>
      </c>
      <c r="Q593" s="22" t="e">
        <f t="shared" si="19"/>
        <v>#VALUE!</v>
      </c>
      <c r="R593" s="23"/>
    </row>
    <row r="594" spans="1:18" ht="12.75">
      <c r="A594" s="22"/>
      <c r="D594" s="19"/>
      <c r="H594" s="18"/>
      <c r="J594" s="18"/>
      <c r="N594" s="16"/>
      <c r="O594" s="17"/>
      <c r="P594" s="18">
        <f t="shared" si="18"/>
        <v>0</v>
      </c>
      <c r="Q594" s="22" t="e">
        <f t="shared" si="19"/>
        <v>#VALUE!</v>
      </c>
      <c r="R594" s="23"/>
    </row>
    <row r="595" spans="1:18" ht="12.75">
      <c r="A595" s="22"/>
      <c r="D595" s="19"/>
      <c r="H595" s="18"/>
      <c r="J595" s="18"/>
      <c r="N595" s="16"/>
      <c r="O595" s="17"/>
      <c r="P595" s="18">
        <f t="shared" si="18"/>
        <v>0</v>
      </c>
      <c r="Q595" s="22" t="e">
        <f t="shared" si="19"/>
        <v>#VALUE!</v>
      </c>
      <c r="R595" s="23"/>
    </row>
    <row r="596" spans="1:18" ht="12.75">
      <c r="A596" s="22"/>
      <c r="D596" s="19"/>
      <c r="H596" s="18"/>
      <c r="J596" s="18"/>
      <c r="N596" s="16"/>
      <c r="O596" s="17"/>
      <c r="P596" s="18">
        <f t="shared" si="18"/>
        <v>0</v>
      </c>
      <c r="Q596" s="22" t="e">
        <f t="shared" si="19"/>
        <v>#VALUE!</v>
      </c>
      <c r="R596" s="23"/>
    </row>
    <row r="597" spans="1:18" ht="12.75">
      <c r="A597" s="22"/>
      <c r="D597" s="19"/>
      <c r="H597" s="18"/>
      <c r="J597" s="18"/>
      <c r="N597" s="16"/>
      <c r="O597" s="17"/>
      <c r="P597" s="18">
        <f t="shared" si="18"/>
        <v>0</v>
      </c>
      <c r="Q597" s="22" t="e">
        <f t="shared" si="19"/>
        <v>#VALUE!</v>
      </c>
      <c r="R597" s="23"/>
    </row>
    <row r="598" spans="1:18" ht="12.75">
      <c r="A598" s="22"/>
      <c r="D598" s="19"/>
      <c r="H598" s="18"/>
      <c r="J598" s="18"/>
      <c r="N598" s="16"/>
      <c r="O598" s="17"/>
      <c r="P598" s="18">
        <f t="shared" si="18"/>
        <v>0</v>
      </c>
      <c r="Q598" s="22" t="e">
        <f t="shared" si="19"/>
        <v>#VALUE!</v>
      </c>
      <c r="R598" s="23"/>
    </row>
    <row r="599" spans="1:18" ht="12.75">
      <c r="A599" s="22"/>
      <c r="D599" s="19"/>
      <c r="H599" s="18"/>
      <c r="J599" s="18"/>
      <c r="N599" s="16"/>
      <c r="O599" s="17"/>
      <c r="P599" s="18">
        <f t="shared" si="18"/>
        <v>0</v>
      </c>
      <c r="Q599" s="22" t="e">
        <f t="shared" si="19"/>
        <v>#VALUE!</v>
      </c>
      <c r="R599" s="23"/>
    </row>
    <row r="600" spans="1:18" ht="12.75">
      <c r="A600" s="22"/>
      <c r="D600" s="19"/>
      <c r="H600" s="18"/>
      <c r="J600" s="18"/>
      <c r="N600" s="16"/>
      <c r="O600" s="17"/>
      <c r="P600" s="18">
        <f t="shared" si="18"/>
        <v>0</v>
      </c>
      <c r="Q600" s="22" t="e">
        <f t="shared" si="19"/>
        <v>#VALUE!</v>
      </c>
      <c r="R600" s="23"/>
    </row>
    <row r="601" spans="1:18" ht="12.75">
      <c r="A601" s="22"/>
      <c r="D601" s="19"/>
      <c r="H601" s="18"/>
      <c r="J601" s="18"/>
      <c r="N601" s="16"/>
      <c r="O601" s="17"/>
      <c r="P601" s="18">
        <f t="shared" si="18"/>
        <v>0</v>
      </c>
      <c r="Q601" s="22" t="e">
        <f t="shared" si="19"/>
        <v>#VALUE!</v>
      </c>
      <c r="R601" s="23"/>
    </row>
    <row r="602" spans="1:18" ht="12.75">
      <c r="A602" s="22"/>
      <c r="D602" s="19"/>
      <c r="H602" s="18"/>
      <c r="J602" s="18"/>
      <c r="N602" s="16"/>
      <c r="O602" s="17"/>
      <c r="P602" s="18">
        <f t="shared" si="18"/>
        <v>0</v>
      </c>
      <c r="Q602" s="22" t="e">
        <f t="shared" si="19"/>
        <v>#VALUE!</v>
      </c>
      <c r="R602" s="23"/>
    </row>
    <row r="603" spans="1:18" ht="12.75">
      <c r="A603" s="22"/>
      <c r="D603" s="19"/>
      <c r="H603" s="18"/>
      <c r="J603" s="18"/>
      <c r="N603" s="16"/>
      <c r="O603" s="17"/>
      <c r="P603" s="18">
        <f t="shared" si="18"/>
        <v>0</v>
      </c>
      <c r="Q603" s="22" t="e">
        <f t="shared" si="19"/>
        <v>#VALUE!</v>
      </c>
      <c r="R603" s="23"/>
    </row>
    <row r="604" spans="1:18" ht="12.75">
      <c r="A604" s="22"/>
      <c r="D604" s="19"/>
      <c r="H604" s="18"/>
      <c r="J604" s="18"/>
      <c r="N604" s="16"/>
      <c r="O604" s="17"/>
      <c r="P604" s="18">
        <f t="shared" si="18"/>
        <v>0</v>
      </c>
      <c r="Q604" s="22" t="e">
        <f t="shared" si="19"/>
        <v>#VALUE!</v>
      </c>
      <c r="R604" s="23"/>
    </row>
    <row r="605" spans="1:18" ht="12.75">
      <c r="A605" s="22"/>
      <c r="D605" s="19"/>
      <c r="H605" s="18"/>
      <c r="J605" s="18"/>
      <c r="N605" s="16"/>
      <c r="O605" s="17"/>
      <c r="P605" s="18">
        <f t="shared" si="18"/>
        <v>0</v>
      </c>
      <c r="Q605" s="22" t="e">
        <f t="shared" si="19"/>
        <v>#VALUE!</v>
      </c>
      <c r="R605" s="23"/>
    </row>
    <row r="606" spans="1:18" ht="12.75">
      <c r="A606" s="22"/>
      <c r="D606" s="19"/>
      <c r="H606" s="18"/>
      <c r="J606" s="18"/>
      <c r="N606" s="16"/>
      <c r="O606" s="17"/>
      <c r="P606" s="18">
        <f t="shared" si="18"/>
        <v>0</v>
      </c>
      <c r="Q606" s="22" t="e">
        <f t="shared" si="19"/>
        <v>#VALUE!</v>
      </c>
      <c r="R606" s="23"/>
    </row>
    <row r="607" spans="1:18" ht="12.75">
      <c r="A607" s="22"/>
      <c r="D607" s="19"/>
      <c r="H607" s="18"/>
      <c r="J607" s="18"/>
      <c r="N607" s="16"/>
      <c r="O607" s="17"/>
      <c r="P607" s="18">
        <f t="shared" si="18"/>
        <v>0</v>
      </c>
      <c r="Q607" s="22" t="e">
        <f t="shared" si="19"/>
        <v>#VALUE!</v>
      </c>
      <c r="R607" s="23"/>
    </row>
    <row r="608" spans="1:18" ht="12.75">
      <c r="A608" s="22"/>
      <c r="D608" s="19"/>
      <c r="H608" s="18"/>
      <c r="J608" s="18"/>
      <c r="N608" s="16"/>
      <c r="O608" s="17"/>
      <c r="P608" s="18">
        <f t="shared" si="18"/>
        <v>0</v>
      </c>
      <c r="Q608" s="22" t="e">
        <f t="shared" si="19"/>
        <v>#VALUE!</v>
      </c>
      <c r="R608" s="23"/>
    </row>
    <row r="609" spans="1:18" ht="12.75">
      <c r="A609" s="22"/>
      <c r="D609" s="19"/>
      <c r="H609" s="18"/>
      <c r="J609" s="18"/>
      <c r="N609" s="16"/>
      <c r="O609" s="17"/>
      <c r="P609" s="18">
        <f t="shared" si="18"/>
        <v>0</v>
      </c>
      <c r="Q609" s="22" t="e">
        <f t="shared" si="19"/>
        <v>#VALUE!</v>
      </c>
      <c r="R609" s="23"/>
    </row>
    <row r="610" spans="1:18" ht="12.75">
      <c r="A610" s="22"/>
      <c r="D610" s="19"/>
      <c r="H610" s="18"/>
      <c r="J610" s="18"/>
      <c r="N610" s="16"/>
      <c r="O610" s="17"/>
      <c r="P610" s="18">
        <f t="shared" si="18"/>
        <v>0</v>
      </c>
      <c r="Q610" s="22" t="e">
        <f t="shared" si="19"/>
        <v>#VALUE!</v>
      </c>
      <c r="R610" s="23"/>
    </row>
    <row r="611" spans="1:18" ht="12.75">
      <c r="A611" s="22"/>
      <c r="D611" s="19"/>
      <c r="H611" s="18"/>
      <c r="J611" s="18"/>
      <c r="N611" s="16"/>
      <c r="O611" s="17"/>
      <c r="P611" s="18">
        <f t="shared" si="18"/>
        <v>0</v>
      </c>
      <c r="Q611" s="22" t="e">
        <f t="shared" si="19"/>
        <v>#VALUE!</v>
      </c>
      <c r="R611" s="23"/>
    </row>
    <row r="612" spans="1:18" ht="12.75">
      <c r="A612" s="22"/>
      <c r="D612" s="19"/>
      <c r="H612" s="18"/>
      <c r="J612" s="18"/>
      <c r="N612" s="16"/>
      <c r="O612" s="17"/>
      <c r="P612" s="18">
        <f t="shared" si="18"/>
        <v>0</v>
      </c>
      <c r="Q612" s="22" t="e">
        <f t="shared" si="19"/>
        <v>#VALUE!</v>
      </c>
      <c r="R612" s="23"/>
    </row>
    <row r="613" spans="1:18" ht="12.75">
      <c r="A613" s="22"/>
      <c r="D613" s="19"/>
      <c r="H613" s="18"/>
      <c r="J613" s="18"/>
      <c r="N613" s="16"/>
      <c r="O613" s="17"/>
      <c r="P613" s="18">
        <f t="shared" si="18"/>
        <v>0</v>
      </c>
      <c r="Q613" s="22" t="e">
        <f t="shared" si="19"/>
        <v>#VALUE!</v>
      </c>
      <c r="R613" s="23"/>
    </row>
    <row r="614" spans="1:18" ht="12.75">
      <c r="A614" s="22"/>
      <c r="D614" s="19"/>
      <c r="H614" s="18"/>
      <c r="J614" s="18"/>
      <c r="N614" s="16"/>
      <c r="O614" s="17"/>
      <c r="P614" s="18">
        <f t="shared" si="18"/>
        <v>0</v>
      </c>
      <c r="Q614" s="22" t="e">
        <f t="shared" si="19"/>
        <v>#VALUE!</v>
      </c>
      <c r="R614" s="23"/>
    </row>
    <row r="615" spans="1:18" ht="12.75">
      <c r="A615" s="22"/>
      <c r="D615" s="19"/>
      <c r="H615" s="18"/>
      <c r="J615" s="18"/>
      <c r="N615" s="16"/>
      <c r="O615" s="17"/>
      <c r="P615" s="18">
        <f t="shared" si="18"/>
        <v>0</v>
      </c>
      <c r="Q615" s="22" t="e">
        <f t="shared" si="19"/>
        <v>#VALUE!</v>
      </c>
      <c r="R615" s="23"/>
    </row>
    <row r="616" spans="1:18" ht="12.75">
      <c r="A616" s="22"/>
      <c r="D616" s="19"/>
      <c r="H616" s="18"/>
      <c r="J616" s="18"/>
      <c r="N616" s="16"/>
      <c r="O616" s="17"/>
      <c r="P616" s="18">
        <f t="shared" si="18"/>
        <v>0</v>
      </c>
      <c r="Q616" s="22" t="e">
        <f t="shared" si="19"/>
        <v>#VALUE!</v>
      </c>
      <c r="R616" s="23"/>
    </row>
    <row r="617" spans="1:18" ht="12.75">
      <c r="A617" s="22"/>
      <c r="D617" s="19"/>
      <c r="H617" s="18"/>
      <c r="J617" s="18"/>
      <c r="N617" s="16"/>
      <c r="O617" s="17"/>
      <c r="P617" s="18">
        <f t="shared" si="18"/>
        <v>0</v>
      </c>
      <c r="Q617" s="22" t="e">
        <f t="shared" si="19"/>
        <v>#VALUE!</v>
      </c>
      <c r="R617" s="23"/>
    </row>
    <row r="618" spans="1:18" ht="12.75">
      <c r="A618" s="22"/>
      <c r="D618" s="19"/>
      <c r="H618" s="18"/>
      <c r="J618" s="18"/>
      <c r="N618" s="16"/>
      <c r="O618" s="17"/>
      <c r="P618" s="18">
        <f t="shared" si="18"/>
        <v>0</v>
      </c>
      <c r="Q618" s="22" t="e">
        <f t="shared" si="19"/>
        <v>#VALUE!</v>
      </c>
      <c r="R618" s="23"/>
    </row>
    <row r="619" spans="1:18" ht="12.75">
      <c r="A619" s="22"/>
      <c r="D619" s="19"/>
      <c r="H619" s="18"/>
      <c r="J619" s="18"/>
      <c r="N619" s="16"/>
      <c r="O619" s="17"/>
      <c r="P619" s="18">
        <f t="shared" si="18"/>
        <v>0</v>
      </c>
      <c r="Q619" s="22" t="e">
        <f t="shared" si="19"/>
        <v>#VALUE!</v>
      </c>
      <c r="R619" s="23"/>
    </row>
    <row r="620" spans="1:18" ht="12.75">
      <c r="A620" s="22"/>
      <c r="D620" s="19"/>
      <c r="H620" s="18"/>
      <c r="J620" s="18"/>
      <c r="N620" s="16"/>
      <c r="O620" s="17"/>
      <c r="P620" s="18">
        <f t="shared" si="18"/>
        <v>0</v>
      </c>
      <c r="Q620" s="22" t="e">
        <f t="shared" si="19"/>
        <v>#VALUE!</v>
      </c>
      <c r="R620" s="23"/>
    </row>
    <row r="621" spans="1:18" ht="12.75">
      <c r="A621" s="22"/>
      <c r="D621" s="19"/>
      <c r="H621" s="18"/>
      <c r="J621" s="18"/>
      <c r="N621" s="16"/>
      <c r="O621" s="17"/>
      <c r="P621" s="18">
        <f t="shared" si="18"/>
        <v>0</v>
      </c>
      <c r="Q621" s="22" t="e">
        <f t="shared" si="19"/>
        <v>#VALUE!</v>
      </c>
      <c r="R621" s="23"/>
    </row>
    <row r="622" spans="1:18" ht="12.75">
      <c r="A622" s="22"/>
      <c r="D622" s="19"/>
      <c r="H622" s="18"/>
      <c r="J622" s="18"/>
      <c r="N622" s="16"/>
      <c r="O622" s="17"/>
      <c r="P622" s="18">
        <f t="shared" si="18"/>
        <v>0</v>
      </c>
      <c r="Q622" s="22" t="e">
        <f t="shared" si="19"/>
        <v>#VALUE!</v>
      </c>
      <c r="R622" s="23"/>
    </row>
    <row r="623" spans="1:18" ht="12.75">
      <c r="A623" s="22"/>
      <c r="D623" s="19"/>
      <c r="H623" s="18"/>
      <c r="J623" s="18"/>
      <c r="N623" s="16"/>
      <c r="O623" s="17"/>
      <c r="P623" s="18">
        <f t="shared" si="18"/>
        <v>0</v>
      </c>
      <c r="Q623" s="22" t="e">
        <f t="shared" si="19"/>
        <v>#VALUE!</v>
      </c>
      <c r="R623" s="23"/>
    </row>
    <row r="624" spans="1:18" ht="12.75">
      <c r="A624" s="22"/>
      <c r="D624" s="19"/>
      <c r="H624" s="18"/>
      <c r="J624" s="18"/>
      <c r="N624" s="16"/>
      <c r="O624" s="17"/>
      <c r="P624" s="18">
        <f t="shared" si="18"/>
        <v>0</v>
      </c>
      <c r="Q624" s="22" t="e">
        <f t="shared" si="19"/>
        <v>#VALUE!</v>
      </c>
      <c r="R624" s="23"/>
    </row>
    <row r="625" spans="1:18" ht="12.75">
      <c r="A625" s="22"/>
      <c r="D625" s="19"/>
      <c r="H625" s="18"/>
      <c r="J625" s="18"/>
      <c r="N625" s="16"/>
      <c r="O625" s="17"/>
      <c r="P625" s="18">
        <f t="shared" si="18"/>
        <v>0</v>
      </c>
      <c r="Q625" s="22" t="e">
        <f t="shared" si="19"/>
        <v>#VALUE!</v>
      </c>
      <c r="R625" s="23"/>
    </row>
    <row r="626" spans="1:18" ht="12.75">
      <c r="A626" s="22"/>
      <c r="D626" s="19"/>
      <c r="H626" s="18"/>
      <c r="J626" s="18"/>
      <c r="N626" s="16"/>
      <c r="O626" s="17"/>
      <c r="P626" s="18">
        <f t="shared" si="18"/>
        <v>0</v>
      </c>
      <c r="Q626" s="22" t="e">
        <f t="shared" si="19"/>
        <v>#VALUE!</v>
      </c>
      <c r="R626" s="23"/>
    </row>
    <row r="627" spans="1:18" ht="12.75">
      <c r="A627" s="22"/>
      <c r="D627" s="19"/>
      <c r="H627" s="18"/>
      <c r="J627" s="18"/>
      <c r="N627" s="16"/>
      <c r="O627" s="17"/>
      <c r="P627" s="18">
        <f t="shared" si="18"/>
        <v>0</v>
      </c>
      <c r="Q627" s="22" t="e">
        <f t="shared" si="19"/>
        <v>#VALUE!</v>
      </c>
      <c r="R627" s="23"/>
    </row>
    <row r="628" spans="1:18" ht="12.75">
      <c r="A628" s="22"/>
      <c r="D628" s="19"/>
      <c r="H628" s="18"/>
      <c r="J628" s="18"/>
      <c r="N628" s="16"/>
      <c r="O628" s="17"/>
      <c r="P628" s="18">
        <f t="shared" si="18"/>
        <v>0</v>
      </c>
      <c r="Q628" s="22" t="e">
        <f t="shared" si="19"/>
        <v>#VALUE!</v>
      </c>
      <c r="R628" s="23"/>
    </row>
    <row r="629" spans="1:18" ht="12.75">
      <c r="A629" s="22"/>
      <c r="D629" s="19"/>
      <c r="H629" s="18"/>
      <c r="J629" s="18"/>
      <c r="N629" s="16"/>
      <c r="O629" s="17"/>
      <c r="P629" s="18">
        <f t="shared" si="18"/>
        <v>0</v>
      </c>
      <c r="Q629" s="22" t="e">
        <f t="shared" si="19"/>
        <v>#VALUE!</v>
      </c>
      <c r="R629" s="23"/>
    </row>
    <row r="630" spans="1:18" ht="12.75">
      <c r="A630" s="22"/>
      <c r="D630" s="19"/>
      <c r="H630" s="18"/>
      <c r="J630" s="18"/>
      <c r="N630" s="16"/>
      <c r="O630" s="17"/>
      <c r="P630" s="18">
        <f t="shared" si="18"/>
        <v>0</v>
      </c>
      <c r="Q630" s="22" t="e">
        <f t="shared" si="19"/>
        <v>#VALUE!</v>
      </c>
      <c r="R630" s="23"/>
    </row>
    <row r="631" spans="1:18" ht="12.75">
      <c r="A631" s="22"/>
      <c r="D631" s="19"/>
      <c r="H631" s="18"/>
      <c r="J631" s="18"/>
      <c r="N631" s="16"/>
      <c r="O631" s="17"/>
      <c r="P631" s="18">
        <f t="shared" si="18"/>
        <v>0</v>
      </c>
      <c r="Q631" s="22" t="e">
        <f t="shared" si="19"/>
        <v>#VALUE!</v>
      </c>
      <c r="R631" s="23"/>
    </row>
    <row r="632" spans="1:18" ht="12.75">
      <c r="A632" s="22"/>
      <c r="D632" s="19"/>
      <c r="H632" s="18"/>
      <c r="J632" s="18"/>
      <c r="N632" s="16"/>
      <c r="O632" s="17"/>
      <c r="P632" s="18">
        <f t="shared" si="18"/>
        <v>0</v>
      </c>
      <c r="Q632" s="22" t="e">
        <f t="shared" si="19"/>
        <v>#VALUE!</v>
      </c>
      <c r="R632" s="23"/>
    </row>
    <row r="633" spans="1:18" ht="12.75">
      <c r="A633" s="22"/>
      <c r="D633" s="19"/>
      <c r="H633" s="18"/>
      <c r="J633" s="18"/>
      <c r="N633" s="16"/>
      <c r="O633" s="17"/>
      <c r="P633" s="18">
        <f t="shared" si="18"/>
        <v>0</v>
      </c>
      <c r="Q633" s="22" t="e">
        <f t="shared" si="19"/>
        <v>#VALUE!</v>
      </c>
      <c r="R633" s="23"/>
    </row>
    <row r="634" spans="1:18" ht="12.75">
      <c r="A634" s="22"/>
      <c r="D634" s="19"/>
      <c r="H634" s="18"/>
      <c r="J634" s="18"/>
      <c r="N634" s="16"/>
      <c r="O634" s="17"/>
      <c r="P634" s="18">
        <f t="shared" si="18"/>
        <v>0</v>
      </c>
      <c r="Q634" s="22" t="e">
        <f t="shared" si="19"/>
        <v>#VALUE!</v>
      </c>
      <c r="R634" s="23"/>
    </row>
    <row r="635" spans="1:18" ht="12.75">
      <c r="A635" s="22"/>
      <c r="D635" s="19"/>
      <c r="H635" s="18"/>
      <c r="J635" s="18"/>
      <c r="N635" s="16"/>
      <c r="O635" s="17"/>
      <c r="P635" s="18">
        <f t="shared" si="18"/>
        <v>0</v>
      </c>
      <c r="Q635" s="22" t="e">
        <f t="shared" si="19"/>
        <v>#VALUE!</v>
      </c>
      <c r="R635" s="23"/>
    </row>
    <row r="636" spans="1:18" ht="12.75">
      <c r="A636" s="22"/>
      <c r="D636" s="19"/>
      <c r="H636" s="18"/>
      <c r="J636" s="18"/>
      <c r="N636" s="16"/>
      <c r="O636" s="17"/>
      <c r="P636" s="18">
        <f t="shared" si="18"/>
        <v>0</v>
      </c>
      <c r="Q636" s="22" t="e">
        <f t="shared" si="19"/>
        <v>#VALUE!</v>
      </c>
      <c r="R636" s="23"/>
    </row>
    <row r="637" spans="1:18" ht="12.75">
      <c r="A637" s="22"/>
      <c r="D637" s="19"/>
      <c r="H637" s="18"/>
      <c r="J637" s="18"/>
      <c r="N637" s="16"/>
      <c r="O637" s="17"/>
      <c r="P637" s="18">
        <f t="shared" si="18"/>
        <v>0</v>
      </c>
      <c r="Q637" s="22" t="e">
        <f t="shared" si="19"/>
        <v>#VALUE!</v>
      </c>
      <c r="R637" s="23"/>
    </row>
    <row r="638" spans="1:18" ht="12.75">
      <c r="A638" s="22"/>
      <c r="D638" s="19"/>
      <c r="H638" s="18"/>
      <c r="J638" s="18"/>
      <c r="N638" s="16"/>
      <c r="O638" s="17"/>
      <c r="P638" s="18">
        <f t="shared" si="18"/>
        <v>0</v>
      </c>
      <c r="Q638" s="22" t="e">
        <f t="shared" si="19"/>
        <v>#VALUE!</v>
      </c>
      <c r="R638" s="23"/>
    </row>
    <row r="639" spans="1:18" ht="12.75">
      <c r="A639" s="22"/>
      <c r="D639" s="19"/>
      <c r="H639" s="18"/>
      <c r="J639" s="18"/>
      <c r="N639" s="16"/>
      <c r="O639" s="17"/>
      <c r="P639" s="18">
        <f t="shared" si="18"/>
        <v>0</v>
      </c>
      <c r="Q639" s="22" t="e">
        <f t="shared" si="19"/>
        <v>#VALUE!</v>
      </c>
      <c r="R639" s="23"/>
    </row>
    <row r="640" spans="1:18" ht="12.75">
      <c r="A640" s="22"/>
      <c r="D640" s="19"/>
      <c r="H640" s="18"/>
      <c r="J640" s="18"/>
      <c r="N640" s="16"/>
      <c r="O640" s="17"/>
      <c r="P640" s="18">
        <f t="shared" si="18"/>
        <v>0</v>
      </c>
      <c r="Q640" s="22" t="e">
        <f t="shared" si="19"/>
        <v>#VALUE!</v>
      </c>
      <c r="R640" s="23"/>
    </row>
    <row r="641" spans="1:18" ht="12.75">
      <c r="A641" s="22"/>
      <c r="D641" s="19"/>
      <c r="H641" s="18"/>
      <c r="J641" s="18"/>
      <c r="N641" s="16"/>
      <c r="O641" s="17"/>
      <c r="P641" s="18">
        <f t="shared" si="18"/>
        <v>0</v>
      </c>
      <c r="Q641" s="22" t="e">
        <f t="shared" si="19"/>
        <v>#VALUE!</v>
      </c>
      <c r="R641" s="23"/>
    </row>
    <row r="642" spans="1:18" ht="12.75">
      <c r="A642" s="22"/>
      <c r="D642" s="19"/>
      <c r="H642" s="18"/>
      <c r="J642" s="18"/>
      <c r="N642" s="16"/>
      <c r="O642" s="17"/>
      <c r="P642" s="18">
        <f t="shared" si="18"/>
        <v>0</v>
      </c>
      <c r="Q642" s="22" t="e">
        <f t="shared" si="19"/>
        <v>#VALUE!</v>
      </c>
      <c r="R642" s="23"/>
    </row>
    <row r="643" spans="1:18" ht="12.75">
      <c r="A643" s="22"/>
      <c r="D643" s="19"/>
      <c r="H643" s="18"/>
      <c r="J643" s="18"/>
      <c r="N643" s="16"/>
      <c r="O643" s="17"/>
      <c r="P643" s="18">
        <f t="shared" si="18"/>
        <v>0</v>
      </c>
      <c r="Q643" s="22" t="e">
        <f t="shared" si="19"/>
        <v>#VALUE!</v>
      </c>
      <c r="R643" s="23"/>
    </row>
    <row r="644" spans="1:18" ht="12.75">
      <c r="A644" s="22"/>
      <c r="D644" s="19"/>
      <c r="H644" s="18"/>
      <c r="J644" s="18"/>
      <c r="N644" s="16"/>
      <c r="O644" s="17"/>
      <c r="P644" s="18">
        <f t="shared" si="18"/>
        <v>0</v>
      </c>
      <c r="Q644" s="22" t="e">
        <f t="shared" si="19"/>
        <v>#VALUE!</v>
      </c>
      <c r="R644" s="23"/>
    </row>
    <row r="645" spans="1:18" ht="12.75">
      <c r="A645" s="22"/>
      <c r="D645" s="19"/>
      <c r="H645" s="18"/>
      <c r="J645" s="18"/>
      <c r="N645" s="16"/>
      <c r="O645" s="17"/>
      <c r="P645" s="18">
        <f t="shared" ref="P645:P708" si="20">H645+J645+S645</f>
        <v>0</v>
      </c>
      <c r="Q645" s="22" t="e">
        <f t="shared" ref="Q645:Q708" si="21">DATEVALUE(A645)</f>
        <v>#VALUE!</v>
      </c>
      <c r="R645" s="23"/>
    </row>
    <row r="646" spans="1:18" ht="12.75">
      <c r="A646" s="22"/>
      <c r="D646" s="19"/>
      <c r="H646" s="18"/>
      <c r="J646" s="18"/>
      <c r="N646" s="16"/>
      <c r="O646" s="17"/>
      <c r="P646" s="18">
        <f t="shared" si="20"/>
        <v>0</v>
      </c>
      <c r="Q646" s="22" t="e">
        <f t="shared" si="21"/>
        <v>#VALUE!</v>
      </c>
      <c r="R646" s="23"/>
    </row>
    <row r="647" spans="1:18" ht="12.75">
      <c r="A647" s="22"/>
      <c r="D647" s="19"/>
      <c r="H647" s="18"/>
      <c r="J647" s="18"/>
      <c r="N647" s="16"/>
      <c r="O647" s="17"/>
      <c r="P647" s="18">
        <f t="shared" si="20"/>
        <v>0</v>
      </c>
      <c r="Q647" s="22" t="e">
        <f t="shared" si="21"/>
        <v>#VALUE!</v>
      </c>
      <c r="R647" s="23"/>
    </row>
    <row r="648" spans="1:18" ht="12.75">
      <c r="A648" s="22"/>
      <c r="D648" s="19"/>
      <c r="H648" s="18"/>
      <c r="J648" s="18"/>
      <c r="N648" s="16"/>
      <c r="O648" s="17"/>
      <c r="P648" s="18">
        <f t="shared" si="20"/>
        <v>0</v>
      </c>
      <c r="Q648" s="22" t="e">
        <f t="shared" si="21"/>
        <v>#VALUE!</v>
      </c>
      <c r="R648" s="23"/>
    </row>
    <row r="649" spans="1:18" ht="12.75">
      <c r="A649" s="22"/>
      <c r="D649" s="19"/>
      <c r="H649" s="18"/>
      <c r="J649" s="18"/>
      <c r="N649" s="16"/>
      <c r="O649" s="17"/>
      <c r="P649" s="18">
        <f t="shared" si="20"/>
        <v>0</v>
      </c>
      <c r="Q649" s="22" t="e">
        <f t="shared" si="21"/>
        <v>#VALUE!</v>
      </c>
      <c r="R649" s="23"/>
    </row>
    <row r="650" spans="1:18" ht="12.75">
      <c r="A650" s="22"/>
      <c r="D650" s="19"/>
      <c r="H650" s="18"/>
      <c r="J650" s="18"/>
      <c r="N650" s="16"/>
      <c r="O650" s="17"/>
      <c r="P650" s="18">
        <f t="shared" si="20"/>
        <v>0</v>
      </c>
      <c r="Q650" s="22" t="e">
        <f t="shared" si="21"/>
        <v>#VALUE!</v>
      </c>
      <c r="R650" s="23"/>
    </row>
    <row r="651" spans="1:18" ht="12.75">
      <c r="A651" s="22"/>
      <c r="D651" s="19"/>
      <c r="H651" s="18"/>
      <c r="J651" s="18"/>
      <c r="N651" s="16"/>
      <c r="O651" s="17"/>
      <c r="P651" s="18">
        <f t="shared" si="20"/>
        <v>0</v>
      </c>
      <c r="Q651" s="22" t="e">
        <f t="shared" si="21"/>
        <v>#VALUE!</v>
      </c>
      <c r="R651" s="23"/>
    </row>
    <row r="652" spans="1:18" ht="12.75">
      <c r="A652" s="22"/>
      <c r="D652" s="19"/>
      <c r="H652" s="18"/>
      <c r="J652" s="18"/>
      <c r="N652" s="16"/>
      <c r="O652" s="17"/>
      <c r="P652" s="18">
        <f t="shared" si="20"/>
        <v>0</v>
      </c>
      <c r="Q652" s="22" t="e">
        <f t="shared" si="21"/>
        <v>#VALUE!</v>
      </c>
      <c r="R652" s="23"/>
    </row>
    <row r="653" spans="1:18" ht="12.75">
      <c r="A653" s="22"/>
      <c r="D653" s="19"/>
      <c r="H653" s="18"/>
      <c r="J653" s="18"/>
      <c r="N653" s="16"/>
      <c r="O653" s="17"/>
      <c r="P653" s="18">
        <f t="shared" si="20"/>
        <v>0</v>
      </c>
      <c r="Q653" s="22" t="e">
        <f t="shared" si="21"/>
        <v>#VALUE!</v>
      </c>
      <c r="R653" s="23"/>
    </row>
    <row r="654" spans="1:18" ht="12.75">
      <c r="A654" s="22"/>
      <c r="D654" s="19"/>
      <c r="H654" s="18"/>
      <c r="J654" s="18"/>
      <c r="N654" s="16"/>
      <c r="O654" s="17"/>
      <c r="P654" s="18">
        <f t="shared" si="20"/>
        <v>0</v>
      </c>
      <c r="Q654" s="22" t="e">
        <f t="shared" si="21"/>
        <v>#VALUE!</v>
      </c>
      <c r="R654" s="23"/>
    </row>
    <row r="655" spans="1:18" ht="12.75">
      <c r="A655" s="22"/>
      <c r="D655" s="19"/>
      <c r="H655" s="18"/>
      <c r="J655" s="18"/>
      <c r="N655" s="16"/>
      <c r="O655" s="17"/>
      <c r="P655" s="18">
        <f t="shared" si="20"/>
        <v>0</v>
      </c>
      <c r="Q655" s="22" t="e">
        <f t="shared" si="21"/>
        <v>#VALUE!</v>
      </c>
      <c r="R655" s="23"/>
    </row>
    <row r="656" spans="1:18" ht="12.75">
      <c r="A656" s="22"/>
      <c r="D656" s="19"/>
      <c r="H656" s="18"/>
      <c r="J656" s="18"/>
      <c r="N656" s="16"/>
      <c r="O656" s="17"/>
      <c r="P656" s="18">
        <f t="shared" si="20"/>
        <v>0</v>
      </c>
      <c r="Q656" s="22" t="e">
        <f t="shared" si="21"/>
        <v>#VALUE!</v>
      </c>
      <c r="R656" s="23"/>
    </row>
    <row r="657" spans="1:18" ht="12.75">
      <c r="A657" s="22"/>
      <c r="D657" s="19"/>
      <c r="H657" s="18"/>
      <c r="J657" s="18"/>
      <c r="N657" s="16"/>
      <c r="O657" s="17"/>
      <c r="P657" s="18">
        <f t="shared" si="20"/>
        <v>0</v>
      </c>
      <c r="Q657" s="22" t="e">
        <f t="shared" si="21"/>
        <v>#VALUE!</v>
      </c>
      <c r="R657" s="23"/>
    </row>
    <row r="658" spans="1:18" ht="12.75">
      <c r="A658" s="22"/>
      <c r="D658" s="19"/>
      <c r="H658" s="18"/>
      <c r="J658" s="18"/>
      <c r="N658" s="16"/>
      <c r="O658" s="17"/>
      <c r="P658" s="18">
        <f t="shared" si="20"/>
        <v>0</v>
      </c>
      <c r="Q658" s="22" t="e">
        <f t="shared" si="21"/>
        <v>#VALUE!</v>
      </c>
      <c r="R658" s="23"/>
    </row>
    <row r="659" spans="1:18" ht="12.75">
      <c r="A659" s="22"/>
      <c r="D659" s="19"/>
      <c r="H659" s="18"/>
      <c r="J659" s="18"/>
      <c r="N659" s="16"/>
      <c r="O659" s="17"/>
      <c r="P659" s="18">
        <f t="shared" si="20"/>
        <v>0</v>
      </c>
      <c r="Q659" s="22" t="e">
        <f t="shared" si="21"/>
        <v>#VALUE!</v>
      </c>
      <c r="R659" s="23"/>
    </row>
    <row r="660" spans="1:18" ht="12.75">
      <c r="A660" s="22"/>
      <c r="D660" s="19"/>
      <c r="H660" s="18"/>
      <c r="J660" s="18"/>
      <c r="N660" s="16"/>
      <c r="O660" s="17"/>
      <c r="P660" s="18">
        <f t="shared" si="20"/>
        <v>0</v>
      </c>
      <c r="Q660" s="22" t="e">
        <f t="shared" si="21"/>
        <v>#VALUE!</v>
      </c>
      <c r="R660" s="23"/>
    </row>
    <row r="661" spans="1:18" ht="12.75">
      <c r="A661" s="22"/>
      <c r="D661" s="19"/>
      <c r="H661" s="18"/>
      <c r="J661" s="18"/>
      <c r="N661" s="16"/>
      <c r="O661" s="17"/>
      <c r="P661" s="18">
        <f t="shared" si="20"/>
        <v>0</v>
      </c>
      <c r="Q661" s="22" t="e">
        <f t="shared" si="21"/>
        <v>#VALUE!</v>
      </c>
      <c r="R661" s="23"/>
    </row>
    <row r="662" spans="1:18" ht="12.75">
      <c r="A662" s="22"/>
      <c r="D662" s="19"/>
      <c r="H662" s="18"/>
      <c r="J662" s="18"/>
      <c r="N662" s="16"/>
      <c r="O662" s="17"/>
      <c r="P662" s="18">
        <f t="shared" si="20"/>
        <v>0</v>
      </c>
      <c r="Q662" s="22" t="e">
        <f t="shared" si="21"/>
        <v>#VALUE!</v>
      </c>
      <c r="R662" s="23"/>
    </row>
    <row r="663" spans="1:18" ht="12.75">
      <c r="A663" s="22"/>
      <c r="D663" s="19"/>
      <c r="H663" s="18"/>
      <c r="J663" s="18"/>
      <c r="N663" s="16"/>
      <c r="O663" s="17"/>
      <c r="P663" s="18">
        <f t="shared" si="20"/>
        <v>0</v>
      </c>
      <c r="Q663" s="22" t="e">
        <f t="shared" si="21"/>
        <v>#VALUE!</v>
      </c>
      <c r="R663" s="23"/>
    </row>
    <row r="664" spans="1:18" ht="12.75">
      <c r="A664" s="22"/>
      <c r="D664" s="19"/>
      <c r="H664" s="18"/>
      <c r="J664" s="18"/>
      <c r="N664" s="16"/>
      <c r="O664" s="17"/>
      <c r="P664" s="18">
        <f t="shared" si="20"/>
        <v>0</v>
      </c>
      <c r="Q664" s="22" t="e">
        <f t="shared" si="21"/>
        <v>#VALUE!</v>
      </c>
      <c r="R664" s="23"/>
    </row>
    <row r="665" spans="1:18" ht="12.75">
      <c r="A665" s="22"/>
      <c r="D665" s="19"/>
      <c r="H665" s="18"/>
      <c r="J665" s="18"/>
      <c r="N665" s="16"/>
      <c r="O665" s="17"/>
      <c r="P665" s="18">
        <f t="shared" si="20"/>
        <v>0</v>
      </c>
      <c r="Q665" s="22" t="e">
        <f t="shared" si="21"/>
        <v>#VALUE!</v>
      </c>
      <c r="R665" s="23"/>
    </row>
    <row r="666" spans="1:18" ht="12.75">
      <c r="A666" s="22"/>
      <c r="D666" s="19"/>
      <c r="H666" s="18"/>
      <c r="J666" s="18"/>
      <c r="N666" s="16"/>
      <c r="O666" s="17"/>
      <c r="P666" s="18">
        <f t="shared" si="20"/>
        <v>0</v>
      </c>
      <c r="Q666" s="22" t="e">
        <f t="shared" si="21"/>
        <v>#VALUE!</v>
      </c>
      <c r="R666" s="23"/>
    </row>
    <row r="667" spans="1:18" ht="12.75">
      <c r="A667" s="22"/>
      <c r="D667" s="19"/>
      <c r="H667" s="18"/>
      <c r="J667" s="18"/>
      <c r="N667" s="16"/>
      <c r="O667" s="17"/>
      <c r="P667" s="18">
        <f t="shared" si="20"/>
        <v>0</v>
      </c>
      <c r="Q667" s="22" t="e">
        <f t="shared" si="21"/>
        <v>#VALUE!</v>
      </c>
      <c r="R667" s="23"/>
    </row>
    <row r="668" spans="1:18" ht="12.75">
      <c r="A668" s="22"/>
      <c r="D668" s="19"/>
      <c r="H668" s="18"/>
      <c r="J668" s="18"/>
      <c r="N668" s="16"/>
      <c r="O668" s="17"/>
      <c r="P668" s="18">
        <f t="shared" si="20"/>
        <v>0</v>
      </c>
      <c r="Q668" s="22" t="e">
        <f t="shared" si="21"/>
        <v>#VALUE!</v>
      </c>
      <c r="R668" s="23"/>
    </row>
    <row r="669" spans="1:18" ht="12.75">
      <c r="A669" s="22"/>
      <c r="D669" s="19"/>
      <c r="H669" s="18"/>
      <c r="J669" s="18"/>
      <c r="N669" s="16"/>
      <c r="O669" s="17"/>
      <c r="P669" s="18">
        <f t="shared" si="20"/>
        <v>0</v>
      </c>
      <c r="Q669" s="22" t="e">
        <f t="shared" si="21"/>
        <v>#VALUE!</v>
      </c>
      <c r="R669" s="23"/>
    </row>
    <row r="670" spans="1:18" ht="12.75">
      <c r="A670" s="22"/>
      <c r="D670" s="19"/>
      <c r="H670" s="18"/>
      <c r="J670" s="18"/>
      <c r="N670" s="16"/>
      <c r="O670" s="17"/>
      <c r="P670" s="18">
        <f t="shared" si="20"/>
        <v>0</v>
      </c>
      <c r="Q670" s="22" t="e">
        <f t="shared" si="21"/>
        <v>#VALUE!</v>
      </c>
      <c r="R670" s="23"/>
    </row>
    <row r="671" spans="1:18" ht="12.75">
      <c r="A671" s="22"/>
      <c r="D671" s="19"/>
      <c r="H671" s="18"/>
      <c r="J671" s="18"/>
      <c r="N671" s="16"/>
      <c r="O671" s="17"/>
      <c r="P671" s="18">
        <f t="shared" si="20"/>
        <v>0</v>
      </c>
      <c r="Q671" s="22" t="e">
        <f t="shared" si="21"/>
        <v>#VALUE!</v>
      </c>
      <c r="R671" s="23"/>
    </row>
    <row r="672" spans="1:18" ht="12.75">
      <c r="A672" s="22"/>
      <c r="D672" s="19"/>
      <c r="H672" s="18"/>
      <c r="J672" s="18"/>
      <c r="N672" s="16"/>
      <c r="O672" s="17"/>
      <c r="P672" s="18">
        <f t="shared" si="20"/>
        <v>0</v>
      </c>
      <c r="Q672" s="22" t="e">
        <f t="shared" si="21"/>
        <v>#VALUE!</v>
      </c>
      <c r="R672" s="23"/>
    </row>
    <row r="673" spans="1:18" ht="12.75">
      <c r="A673" s="22"/>
      <c r="D673" s="19"/>
      <c r="H673" s="18"/>
      <c r="J673" s="18"/>
      <c r="N673" s="16"/>
      <c r="O673" s="17"/>
      <c r="P673" s="18">
        <f t="shared" si="20"/>
        <v>0</v>
      </c>
      <c r="Q673" s="22" t="e">
        <f t="shared" si="21"/>
        <v>#VALUE!</v>
      </c>
      <c r="R673" s="23"/>
    </row>
    <row r="674" spans="1:18" ht="12.75">
      <c r="A674" s="22"/>
      <c r="D674" s="19"/>
      <c r="H674" s="18"/>
      <c r="J674" s="18"/>
      <c r="N674" s="16"/>
      <c r="O674" s="17"/>
      <c r="P674" s="18">
        <f t="shared" si="20"/>
        <v>0</v>
      </c>
      <c r="Q674" s="22" t="e">
        <f t="shared" si="21"/>
        <v>#VALUE!</v>
      </c>
      <c r="R674" s="23"/>
    </row>
    <row r="675" spans="1:18" ht="12.75">
      <c r="A675" s="22"/>
      <c r="D675" s="19"/>
      <c r="H675" s="18"/>
      <c r="J675" s="18"/>
      <c r="N675" s="16"/>
      <c r="O675" s="17"/>
      <c r="P675" s="18">
        <f t="shared" si="20"/>
        <v>0</v>
      </c>
      <c r="Q675" s="22" t="e">
        <f t="shared" si="21"/>
        <v>#VALUE!</v>
      </c>
      <c r="R675" s="23"/>
    </row>
    <row r="676" spans="1:18" ht="12.75">
      <c r="A676" s="22"/>
      <c r="D676" s="19"/>
      <c r="H676" s="18"/>
      <c r="J676" s="18"/>
      <c r="N676" s="16"/>
      <c r="O676" s="17"/>
      <c r="P676" s="18">
        <f t="shared" si="20"/>
        <v>0</v>
      </c>
      <c r="Q676" s="22" t="e">
        <f t="shared" si="21"/>
        <v>#VALUE!</v>
      </c>
      <c r="R676" s="23"/>
    </row>
    <row r="677" spans="1:18" ht="12.75">
      <c r="A677" s="22"/>
      <c r="D677" s="19"/>
      <c r="H677" s="18"/>
      <c r="J677" s="18"/>
      <c r="N677" s="16"/>
      <c r="O677" s="17"/>
      <c r="P677" s="18">
        <f t="shared" si="20"/>
        <v>0</v>
      </c>
      <c r="Q677" s="22" t="e">
        <f t="shared" si="21"/>
        <v>#VALUE!</v>
      </c>
      <c r="R677" s="23"/>
    </row>
    <row r="678" spans="1:18" ht="12.75">
      <c r="A678" s="22"/>
      <c r="D678" s="19"/>
      <c r="H678" s="18"/>
      <c r="J678" s="18"/>
      <c r="N678" s="16"/>
      <c r="O678" s="17"/>
      <c r="P678" s="18">
        <f t="shared" si="20"/>
        <v>0</v>
      </c>
      <c r="Q678" s="22" t="e">
        <f t="shared" si="21"/>
        <v>#VALUE!</v>
      </c>
      <c r="R678" s="23"/>
    </row>
    <row r="679" spans="1:18" ht="12.75">
      <c r="A679" s="22"/>
      <c r="D679" s="19"/>
      <c r="H679" s="18"/>
      <c r="J679" s="18"/>
      <c r="N679" s="16"/>
      <c r="O679" s="17"/>
      <c r="P679" s="18">
        <f t="shared" si="20"/>
        <v>0</v>
      </c>
      <c r="Q679" s="22" t="e">
        <f t="shared" si="21"/>
        <v>#VALUE!</v>
      </c>
      <c r="R679" s="23"/>
    </row>
    <row r="680" spans="1:18" ht="12.75">
      <c r="A680" s="22"/>
      <c r="D680" s="19"/>
      <c r="H680" s="18"/>
      <c r="J680" s="18"/>
      <c r="N680" s="16"/>
      <c r="O680" s="17"/>
      <c r="P680" s="18">
        <f t="shared" si="20"/>
        <v>0</v>
      </c>
      <c r="Q680" s="22" t="e">
        <f t="shared" si="21"/>
        <v>#VALUE!</v>
      </c>
      <c r="R680" s="23"/>
    </row>
    <row r="681" spans="1:18" ht="12.75">
      <c r="A681" s="22"/>
      <c r="D681" s="19"/>
      <c r="H681" s="18"/>
      <c r="J681" s="18"/>
      <c r="N681" s="16"/>
      <c r="O681" s="17"/>
      <c r="P681" s="18">
        <f t="shared" si="20"/>
        <v>0</v>
      </c>
      <c r="Q681" s="22" t="e">
        <f t="shared" si="21"/>
        <v>#VALUE!</v>
      </c>
      <c r="R681" s="23"/>
    </row>
    <row r="682" spans="1:18" ht="12.75">
      <c r="A682" s="22"/>
      <c r="D682" s="19"/>
      <c r="H682" s="18"/>
      <c r="J682" s="18"/>
      <c r="N682" s="16"/>
      <c r="O682" s="17"/>
      <c r="P682" s="18">
        <f t="shared" si="20"/>
        <v>0</v>
      </c>
      <c r="Q682" s="22" t="e">
        <f t="shared" si="21"/>
        <v>#VALUE!</v>
      </c>
      <c r="R682" s="23"/>
    </row>
    <row r="683" spans="1:18" ht="12.75">
      <c r="A683" s="22"/>
      <c r="D683" s="19"/>
      <c r="H683" s="18"/>
      <c r="J683" s="18"/>
      <c r="N683" s="16"/>
      <c r="O683" s="17"/>
      <c r="P683" s="18">
        <f t="shared" si="20"/>
        <v>0</v>
      </c>
      <c r="Q683" s="22" t="e">
        <f t="shared" si="21"/>
        <v>#VALUE!</v>
      </c>
      <c r="R683" s="23"/>
    </row>
    <row r="684" spans="1:18" ht="12.75">
      <c r="A684" s="22"/>
      <c r="D684" s="19"/>
      <c r="H684" s="18"/>
      <c r="J684" s="18"/>
      <c r="N684" s="16"/>
      <c r="O684" s="17"/>
      <c r="P684" s="18">
        <f t="shared" si="20"/>
        <v>0</v>
      </c>
      <c r="Q684" s="22" t="e">
        <f t="shared" si="21"/>
        <v>#VALUE!</v>
      </c>
      <c r="R684" s="23"/>
    </row>
    <row r="685" spans="1:18" ht="12.75">
      <c r="A685" s="22"/>
      <c r="D685" s="19"/>
      <c r="H685" s="18"/>
      <c r="J685" s="18"/>
      <c r="N685" s="16"/>
      <c r="O685" s="17"/>
      <c r="P685" s="18">
        <f t="shared" si="20"/>
        <v>0</v>
      </c>
      <c r="Q685" s="22" t="e">
        <f t="shared" si="21"/>
        <v>#VALUE!</v>
      </c>
      <c r="R685" s="23"/>
    </row>
    <row r="686" spans="1:18" ht="12.75">
      <c r="A686" s="22"/>
      <c r="D686" s="19"/>
      <c r="H686" s="18"/>
      <c r="J686" s="18"/>
      <c r="N686" s="16"/>
      <c r="O686" s="17"/>
      <c r="P686" s="18">
        <f t="shared" si="20"/>
        <v>0</v>
      </c>
      <c r="Q686" s="22" t="e">
        <f t="shared" si="21"/>
        <v>#VALUE!</v>
      </c>
      <c r="R686" s="23"/>
    </row>
    <row r="687" spans="1:18" ht="12.75">
      <c r="A687" s="22"/>
      <c r="D687" s="19"/>
      <c r="H687" s="18"/>
      <c r="J687" s="18"/>
      <c r="N687" s="16"/>
      <c r="O687" s="17"/>
      <c r="P687" s="18">
        <f t="shared" si="20"/>
        <v>0</v>
      </c>
      <c r="Q687" s="22" t="e">
        <f t="shared" si="21"/>
        <v>#VALUE!</v>
      </c>
      <c r="R687" s="23"/>
    </row>
    <row r="688" spans="1:18" ht="12.75">
      <c r="A688" s="22"/>
      <c r="D688" s="19"/>
      <c r="H688" s="18"/>
      <c r="J688" s="18"/>
      <c r="N688" s="16"/>
      <c r="O688" s="17"/>
      <c r="P688" s="18">
        <f t="shared" si="20"/>
        <v>0</v>
      </c>
      <c r="Q688" s="22" t="e">
        <f t="shared" si="21"/>
        <v>#VALUE!</v>
      </c>
      <c r="R688" s="23"/>
    </row>
    <row r="689" spans="1:18" ht="12.75">
      <c r="A689" s="22"/>
      <c r="D689" s="19"/>
      <c r="H689" s="18"/>
      <c r="J689" s="18"/>
      <c r="N689" s="16"/>
      <c r="O689" s="17"/>
      <c r="P689" s="18">
        <f t="shared" si="20"/>
        <v>0</v>
      </c>
      <c r="Q689" s="22" t="e">
        <f t="shared" si="21"/>
        <v>#VALUE!</v>
      </c>
      <c r="R689" s="23"/>
    </row>
    <row r="690" spans="1:18" ht="12.75">
      <c r="A690" s="22"/>
      <c r="D690" s="19"/>
      <c r="H690" s="18"/>
      <c r="J690" s="18"/>
      <c r="N690" s="16"/>
      <c r="O690" s="17"/>
      <c r="P690" s="18">
        <f t="shared" si="20"/>
        <v>0</v>
      </c>
      <c r="Q690" s="22" t="e">
        <f t="shared" si="21"/>
        <v>#VALUE!</v>
      </c>
      <c r="R690" s="23"/>
    </row>
    <row r="691" spans="1:18" ht="12.75">
      <c r="A691" s="22"/>
      <c r="D691" s="19"/>
      <c r="H691" s="18"/>
      <c r="J691" s="18"/>
      <c r="N691" s="16"/>
      <c r="O691" s="17"/>
      <c r="P691" s="18">
        <f t="shared" si="20"/>
        <v>0</v>
      </c>
      <c r="Q691" s="22" t="e">
        <f t="shared" si="21"/>
        <v>#VALUE!</v>
      </c>
      <c r="R691" s="23"/>
    </row>
    <row r="692" spans="1:18" ht="12.75">
      <c r="A692" s="22"/>
      <c r="D692" s="19"/>
      <c r="H692" s="18"/>
      <c r="J692" s="18"/>
      <c r="N692" s="16"/>
      <c r="O692" s="17"/>
      <c r="P692" s="18">
        <f t="shared" si="20"/>
        <v>0</v>
      </c>
      <c r="Q692" s="22" t="e">
        <f t="shared" si="21"/>
        <v>#VALUE!</v>
      </c>
      <c r="R692" s="23"/>
    </row>
    <row r="693" spans="1:18" ht="12.75">
      <c r="A693" s="22"/>
      <c r="D693" s="19"/>
      <c r="H693" s="18"/>
      <c r="J693" s="18"/>
      <c r="N693" s="16"/>
      <c r="O693" s="17"/>
      <c r="P693" s="18">
        <f t="shared" si="20"/>
        <v>0</v>
      </c>
      <c r="Q693" s="22" t="e">
        <f t="shared" si="21"/>
        <v>#VALUE!</v>
      </c>
      <c r="R693" s="23"/>
    </row>
    <row r="694" spans="1:18" ht="12.75">
      <c r="A694" s="22"/>
      <c r="D694" s="19"/>
      <c r="H694" s="18"/>
      <c r="J694" s="18"/>
      <c r="N694" s="16"/>
      <c r="O694" s="17"/>
      <c r="P694" s="18">
        <f t="shared" si="20"/>
        <v>0</v>
      </c>
      <c r="Q694" s="22" t="e">
        <f t="shared" si="21"/>
        <v>#VALUE!</v>
      </c>
      <c r="R694" s="23"/>
    </row>
    <row r="695" spans="1:18" ht="12.75">
      <c r="A695" s="22"/>
      <c r="D695" s="19"/>
      <c r="H695" s="18"/>
      <c r="J695" s="18"/>
      <c r="N695" s="16"/>
      <c r="O695" s="17"/>
      <c r="P695" s="18">
        <f t="shared" si="20"/>
        <v>0</v>
      </c>
      <c r="Q695" s="22" t="e">
        <f t="shared" si="21"/>
        <v>#VALUE!</v>
      </c>
      <c r="R695" s="23"/>
    </row>
    <row r="696" spans="1:18" ht="12.75">
      <c r="A696" s="22"/>
      <c r="D696" s="19"/>
      <c r="H696" s="18"/>
      <c r="J696" s="18"/>
      <c r="N696" s="16"/>
      <c r="O696" s="17"/>
      <c r="P696" s="18">
        <f t="shared" si="20"/>
        <v>0</v>
      </c>
      <c r="Q696" s="22" t="e">
        <f t="shared" si="21"/>
        <v>#VALUE!</v>
      </c>
      <c r="R696" s="23"/>
    </row>
    <row r="697" spans="1:18" ht="12.75">
      <c r="A697" s="22"/>
      <c r="D697" s="19"/>
      <c r="H697" s="18"/>
      <c r="J697" s="18"/>
      <c r="N697" s="16"/>
      <c r="O697" s="17"/>
      <c r="P697" s="18">
        <f t="shared" si="20"/>
        <v>0</v>
      </c>
      <c r="Q697" s="22" t="e">
        <f t="shared" si="21"/>
        <v>#VALUE!</v>
      </c>
      <c r="R697" s="23"/>
    </row>
    <row r="698" spans="1:18" ht="12.75">
      <c r="A698" s="22"/>
      <c r="D698" s="19"/>
      <c r="H698" s="18"/>
      <c r="J698" s="18"/>
      <c r="N698" s="16"/>
      <c r="O698" s="17"/>
      <c r="P698" s="18">
        <f t="shared" si="20"/>
        <v>0</v>
      </c>
      <c r="Q698" s="22" t="e">
        <f t="shared" si="21"/>
        <v>#VALUE!</v>
      </c>
      <c r="R698" s="23"/>
    </row>
    <row r="699" spans="1:18" ht="12.75">
      <c r="A699" s="22"/>
      <c r="D699" s="19"/>
      <c r="H699" s="18"/>
      <c r="J699" s="18"/>
      <c r="N699" s="16"/>
      <c r="O699" s="17"/>
      <c r="P699" s="18">
        <f t="shared" si="20"/>
        <v>0</v>
      </c>
      <c r="Q699" s="22" t="e">
        <f t="shared" si="21"/>
        <v>#VALUE!</v>
      </c>
      <c r="R699" s="23"/>
    </row>
    <row r="700" spans="1:18" ht="12.75">
      <c r="A700" s="22"/>
      <c r="D700" s="19"/>
      <c r="H700" s="18"/>
      <c r="J700" s="18"/>
      <c r="N700" s="16"/>
      <c r="O700" s="17"/>
      <c r="P700" s="18">
        <f t="shared" si="20"/>
        <v>0</v>
      </c>
      <c r="Q700" s="22" t="e">
        <f t="shared" si="21"/>
        <v>#VALUE!</v>
      </c>
      <c r="R700" s="23"/>
    </row>
    <row r="701" spans="1:18" ht="12.75">
      <c r="A701" s="22"/>
      <c r="D701" s="19"/>
      <c r="H701" s="18"/>
      <c r="J701" s="18"/>
      <c r="N701" s="16"/>
      <c r="O701" s="17"/>
      <c r="P701" s="18">
        <f t="shared" si="20"/>
        <v>0</v>
      </c>
      <c r="Q701" s="22" t="e">
        <f t="shared" si="21"/>
        <v>#VALUE!</v>
      </c>
      <c r="R701" s="23"/>
    </row>
    <row r="702" spans="1:18" ht="12.75">
      <c r="A702" s="22"/>
      <c r="D702" s="19"/>
      <c r="H702" s="18"/>
      <c r="J702" s="18"/>
      <c r="N702" s="16"/>
      <c r="O702" s="17"/>
      <c r="P702" s="18">
        <f t="shared" si="20"/>
        <v>0</v>
      </c>
      <c r="Q702" s="22" t="e">
        <f t="shared" si="21"/>
        <v>#VALUE!</v>
      </c>
      <c r="R702" s="23"/>
    </row>
    <row r="703" spans="1:18" ht="12.75">
      <c r="A703" s="22"/>
      <c r="D703" s="19"/>
      <c r="H703" s="18"/>
      <c r="J703" s="18"/>
      <c r="N703" s="16"/>
      <c r="O703" s="17"/>
      <c r="P703" s="18">
        <f t="shared" si="20"/>
        <v>0</v>
      </c>
      <c r="Q703" s="22" t="e">
        <f t="shared" si="21"/>
        <v>#VALUE!</v>
      </c>
      <c r="R703" s="23"/>
    </row>
    <row r="704" spans="1:18" ht="12.75">
      <c r="A704" s="22"/>
      <c r="D704" s="19"/>
      <c r="H704" s="18"/>
      <c r="J704" s="18"/>
      <c r="N704" s="16"/>
      <c r="O704" s="17"/>
      <c r="P704" s="18">
        <f t="shared" si="20"/>
        <v>0</v>
      </c>
      <c r="Q704" s="22" t="e">
        <f t="shared" si="21"/>
        <v>#VALUE!</v>
      </c>
      <c r="R704" s="23"/>
    </row>
    <row r="705" spans="1:18" ht="12.75">
      <c r="A705" s="22"/>
      <c r="D705" s="19"/>
      <c r="H705" s="18"/>
      <c r="J705" s="18"/>
      <c r="N705" s="16"/>
      <c r="O705" s="17"/>
      <c r="P705" s="18">
        <f t="shared" si="20"/>
        <v>0</v>
      </c>
      <c r="Q705" s="22" t="e">
        <f t="shared" si="21"/>
        <v>#VALUE!</v>
      </c>
      <c r="R705" s="23"/>
    </row>
    <row r="706" spans="1:18" ht="12.75">
      <c r="A706" s="22"/>
      <c r="D706" s="19"/>
      <c r="H706" s="18"/>
      <c r="J706" s="18"/>
      <c r="N706" s="16"/>
      <c r="O706" s="17"/>
      <c r="P706" s="18">
        <f t="shared" si="20"/>
        <v>0</v>
      </c>
      <c r="Q706" s="22" t="e">
        <f t="shared" si="21"/>
        <v>#VALUE!</v>
      </c>
      <c r="R706" s="23"/>
    </row>
    <row r="707" spans="1:18" ht="12.75">
      <c r="A707" s="22"/>
      <c r="D707" s="19"/>
      <c r="H707" s="18"/>
      <c r="J707" s="18"/>
      <c r="N707" s="16"/>
      <c r="O707" s="17"/>
      <c r="P707" s="18">
        <f t="shared" si="20"/>
        <v>0</v>
      </c>
      <c r="Q707" s="22" t="e">
        <f t="shared" si="21"/>
        <v>#VALUE!</v>
      </c>
      <c r="R707" s="23"/>
    </row>
    <row r="708" spans="1:18" ht="12.75">
      <c r="A708" s="22"/>
      <c r="D708" s="19"/>
      <c r="H708" s="18"/>
      <c r="J708" s="18"/>
      <c r="N708" s="16"/>
      <c r="O708" s="17"/>
      <c r="P708" s="18">
        <f t="shared" si="20"/>
        <v>0</v>
      </c>
      <c r="Q708" s="22" t="e">
        <f t="shared" si="21"/>
        <v>#VALUE!</v>
      </c>
      <c r="R708" s="23"/>
    </row>
    <row r="709" spans="1:18" ht="12.75">
      <c r="A709" s="22"/>
      <c r="D709" s="19"/>
      <c r="H709" s="18"/>
      <c r="J709" s="18"/>
      <c r="N709" s="16"/>
      <c r="O709" s="17"/>
      <c r="P709" s="18">
        <f t="shared" ref="P709:P772" si="22">H709+J709+S709</f>
        <v>0</v>
      </c>
      <c r="Q709" s="22" t="e">
        <f t="shared" ref="Q709:Q772" si="23">DATEVALUE(A709)</f>
        <v>#VALUE!</v>
      </c>
      <c r="R709" s="23"/>
    </row>
    <row r="710" spans="1:18" ht="12.75">
      <c r="A710" s="22"/>
      <c r="D710" s="19"/>
      <c r="H710" s="18"/>
      <c r="J710" s="18"/>
      <c r="N710" s="16"/>
      <c r="O710" s="17"/>
      <c r="P710" s="18">
        <f t="shared" si="22"/>
        <v>0</v>
      </c>
      <c r="Q710" s="22" t="e">
        <f t="shared" si="23"/>
        <v>#VALUE!</v>
      </c>
      <c r="R710" s="23"/>
    </row>
    <row r="711" spans="1:18" ht="12.75">
      <c r="A711" s="22"/>
      <c r="D711" s="19"/>
      <c r="H711" s="18"/>
      <c r="J711" s="18"/>
      <c r="N711" s="16"/>
      <c r="O711" s="17"/>
      <c r="P711" s="18">
        <f t="shared" si="22"/>
        <v>0</v>
      </c>
      <c r="Q711" s="22" t="e">
        <f t="shared" si="23"/>
        <v>#VALUE!</v>
      </c>
      <c r="R711" s="23"/>
    </row>
    <row r="712" spans="1:18" ht="12.75">
      <c r="A712" s="22"/>
      <c r="D712" s="19"/>
      <c r="H712" s="18"/>
      <c r="J712" s="18"/>
      <c r="N712" s="16"/>
      <c r="O712" s="17"/>
      <c r="P712" s="18">
        <f t="shared" si="22"/>
        <v>0</v>
      </c>
      <c r="Q712" s="22" t="e">
        <f t="shared" si="23"/>
        <v>#VALUE!</v>
      </c>
      <c r="R712" s="23"/>
    </row>
    <row r="713" spans="1:18" ht="12.75">
      <c r="A713" s="22"/>
      <c r="D713" s="19"/>
      <c r="H713" s="18"/>
      <c r="J713" s="18"/>
      <c r="N713" s="16"/>
      <c r="O713" s="17"/>
      <c r="P713" s="18">
        <f t="shared" si="22"/>
        <v>0</v>
      </c>
      <c r="Q713" s="22" t="e">
        <f t="shared" si="23"/>
        <v>#VALUE!</v>
      </c>
      <c r="R713" s="23"/>
    </row>
    <row r="714" spans="1:18" ht="12.75">
      <c r="A714" s="22"/>
      <c r="D714" s="19"/>
      <c r="H714" s="18"/>
      <c r="J714" s="18"/>
      <c r="N714" s="16"/>
      <c r="O714" s="17"/>
      <c r="P714" s="18">
        <f t="shared" si="22"/>
        <v>0</v>
      </c>
      <c r="Q714" s="22" t="e">
        <f t="shared" si="23"/>
        <v>#VALUE!</v>
      </c>
      <c r="R714" s="23"/>
    </row>
    <row r="715" spans="1:18" ht="12.75">
      <c r="A715" s="22"/>
      <c r="D715" s="19"/>
      <c r="H715" s="18"/>
      <c r="J715" s="18"/>
      <c r="N715" s="16"/>
      <c r="O715" s="17"/>
      <c r="P715" s="18">
        <f t="shared" si="22"/>
        <v>0</v>
      </c>
      <c r="Q715" s="22" t="e">
        <f t="shared" si="23"/>
        <v>#VALUE!</v>
      </c>
      <c r="R715" s="23"/>
    </row>
    <row r="716" spans="1:18" ht="12.75">
      <c r="A716" s="22"/>
      <c r="D716" s="19"/>
      <c r="H716" s="18"/>
      <c r="J716" s="18"/>
      <c r="N716" s="16"/>
      <c r="O716" s="17"/>
      <c r="P716" s="18">
        <f t="shared" si="22"/>
        <v>0</v>
      </c>
      <c r="Q716" s="22" t="e">
        <f t="shared" si="23"/>
        <v>#VALUE!</v>
      </c>
      <c r="R716" s="23"/>
    </row>
    <row r="717" spans="1:18" ht="12.75">
      <c r="A717" s="22"/>
      <c r="D717" s="19"/>
      <c r="H717" s="18"/>
      <c r="J717" s="18"/>
      <c r="N717" s="16"/>
      <c r="O717" s="17"/>
      <c r="P717" s="18">
        <f t="shared" si="22"/>
        <v>0</v>
      </c>
      <c r="Q717" s="22" t="e">
        <f t="shared" si="23"/>
        <v>#VALUE!</v>
      </c>
      <c r="R717" s="23"/>
    </row>
    <row r="718" spans="1:18" ht="12.75">
      <c r="A718" s="22"/>
      <c r="D718" s="19"/>
      <c r="H718" s="18"/>
      <c r="J718" s="18"/>
      <c r="N718" s="16"/>
      <c r="O718" s="17"/>
      <c r="P718" s="18">
        <f t="shared" si="22"/>
        <v>0</v>
      </c>
      <c r="Q718" s="22" t="e">
        <f t="shared" si="23"/>
        <v>#VALUE!</v>
      </c>
      <c r="R718" s="23"/>
    </row>
    <row r="719" spans="1:18" ht="12.75">
      <c r="A719" s="22"/>
      <c r="D719" s="19"/>
      <c r="H719" s="18"/>
      <c r="J719" s="18"/>
      <c r="N719" s="16"/>
      <c r="O719" s="17"/>
      <c r="P719" s="18">
        <f t="shared" si="22"/>
        <v>0</v>
      </c>
      <c r="Q719" s="22" t="e">
        <f t="shared" si="23"/>
        <v>#VALUE!</v>
      </c>
      <c r="R719" s="23"/>
    </row>
    <row r="720" spans="1:18" ht="12.75">
      <c r="A720" s="22"/>
      <c r="D720" s="19"/>
      <c r="H720" s="18"/>
      <c r="J720" s="18"/>
      <c r="N720" s="16"/>
      <c r="O720" s="17"/>
      <c r="P720" s="18">
        <f t="shared" si="22"/>
        <v>0</v>
      </c>
      <c r="Q720" s="22" t="e">
        <f t="shared" si="23"/>
        <v>#VALUE!</v>
      </c>
      <c r="R720" s="23"/>
    </row>
    <row r="721" spans="1:18" ht="12.75">
      <c r="A721" s="22"/>
      <c r="D721" s="19"/>
      <c r="H721" s="18"/>
      <c r="J721" s="18"/>
      <c r="N721" s="16"/>
      <c r="O721" s="17"/>
      <c r="P721" s="18">
        <f t="shared" si="22"/>
        <v>0</v>
      </c>
      <c r="Q721" s="22" t="e">
        <f t="shared" si="23"/>
        <v>#VALUE!</v>
      </c>
      <c r="R721" s="23"/>
    </row>
    <row r="722" spans="1:18" ht="12.75">
      <c r="A722" s="22"/>
      <c r="D722" s="19"/>
      <c r="H722" s="18"/>
      <c r="J722" s="18"/>
      <c r="N722" s="16"/>
      <c r="O722" s="17"/>
      <c r="P722" s="18">
        <f t="shared" si="22"/>
        <v>0</v>
      </c>
      <c r="Q722" s="22" t="e">
        <f t="shared" si="23"/>
        <v>#VALUE!</v>
      </c>
      <c r="R722" s="23"/>
    </row>
    <row r="723" spans="1:18" ht="12.75">
      <c r="A723" s="22"/>
      <c r="D723" s="19"/>
      <c r="H723" s="18"/>
      <c r="J723" s="18"/>
      <c r="N723" s="16"/>
      <c r="O723" s="17"/>
      <c r="P723" s="18">
        <f t="shared" si="22"/>
        <v>0</v>
      </c>
      <c r="Q723" s="22" t="e">
        <f t="shared" si="23"/>
        <v>#VALUE!</v>
      </c>
      <c r="R723" s="23"/>
    </row>
    <row r="724" spans="1:18" ht="12.75">
      <c r="A724" s="22"/>
      <c r="D724" s="19"/>
      <c r="H724" s="18"/>
      <c r="J724" s="18"/>
      <c r="N724" s="16"/>
      <c r="O724" s="17"/>
      <c r="P724" s="18">
        <f t="shared" si="22"/>
        <v>0</v>
      </c>
      <c r="Q724" s="22" t="e">
        <f t="shared" si="23"/>
        <v>#VALUE!</v>
      </c>
      <c r="R724" s="23"/>
    </row>
    <row r="725" spans="1:18" ht="12.75">
      <c r="A725" s="22"/>
      <c r="D725" s="19"/>
      <c r="H725" s="18"/>
      <c r="J725" s="18"/>
      <c r="N725" s="16"/>
      <c r="O725" s="17"/>
      <c r="P725" s="18">
        <f t="shared" si="22"/>
        <v>0</v>
      </c>
      <c r="Q725" s="22" t="e">
        <f t="shared" si="23"/>
        <v>#VALUE!</v>
      </c>
      <c r="R725" s="23"/>
    </row>
    <row r="726" spans="1:18" ht="12.75">
      <c r="A726" s="22"/>
      <c r="D726" s="19"/>
      <c r="H726" s="18"/>
      <c r="J726" s="18"/>
      <c r="N726" s="16"/>
      <c r="O726" s="17"/>
      <c r="P726" s="18">
        <f t="shared" si="22"/>
        <v>0</v>
      </c>
      <c r="Q726" s="22" t="e">
        <f t="shared" si="23"/>
        <v>#VALUE!</v>
      </c>
      <c r="R726" s="23"/>
    </row>
    <row r="727" spans="1:18" ht="12.75">
      <c r="A727" s="22"/>
      <c r="D727" s="19"/>
      <c r="H727" s="18"/>
      <c r="J727" s="18"/>
      <c r="N727" s="16"/>
      <c r="O727" s="17"/>
      <c r="P727" s="18">
        <f t="shared" si="22"/>
        <v>0</v>
      </c>
      <c r="Q727" s="22" t="e">
        <f t="shared" si="23"/>
        <v>#VALUE!</v>
      </c>
      <c r="R727" s="23"/>
    </row>
    <row r="728" spans="1:18" ht="12.75">
      <c r="A728" s="22"/>
      <c r="D728" s="19"/>
      <c r="H728" s="18"/>
      <c r="J728" s="18"/>
      <c r="N728" s="16"/>
      <c r="O728" s="17"/>
      <c r="P728" s="18">
        <f t="shared" si="22"/>
        <v>0</v>
      </c>
      <c r="Q728" s="22" t="e">
        <f t="shared" si="23"/>
        <v>#VALUE!</v>
      </c>
      <c r="R728" s="23"/>
    </row>
    <row r="729" spans="1:18" ht="12.75">
      <c r="A729" s="22"/>
      <c r="D729" s="19"/>
      <c r="H729" s="18"/>
      <c r="J729" s="18"/>
      <c r="N729" s="16"/>
      <c r="O729" s="17"/>
      <c r="P729" s="18">
        <f t="shared" si="22"/>
        <v>0</v>
      </c>
      <c r="Q729" s="22" t="e">
        <f t="shared" si="23"/>
        <v>#VALUE!</v>
      </c>
      <c r="R729" s="23"/>
    </row>
    <row r="730" spans="1:18" ht="12.75">
      <c r="A730" s="22"/>
      <c r="D730" s="19"/>
      <c r="H730" s="18"/>
      <c r="J730" s="18"/>
      <c r="N730" s="16"/>
      <c r="O730" s="17"/>
      <c r="P730" s="18">
        <f t="shared" si="22"/>
        <v>0</v>
      </c>
      <c r="Q730" s="22" t="e">
        <f t="shared" si="23"/>
        <v>#VALUE!</v>
      </c>
      <c r="R730" s="23"/>
    </row>
    <row r="731" spans="1:18" ht="12.75">
      <c r="A731" s="22"/>
      <c r="D731" s="19"/>
      <c r="H731" s="18"/>
      <c r="J731" s="18"/>
      <c r="N731" s="16"/>
      <c r="O731" s="17"/>
      <c r="P731" s="18">
        <f t="shared" si="22"/>
        <v>0</v>
      </c>
      <c r="Q731" s="22" t="e">
        <f t="shared" si="23"/>
        <v>#VALUE!</v>
      </c>
      <c r="R731" s="23"/>
    </row>
    <row r="732" spans="1:18" ht="12.75">
      <c r="A732" s="22"/>
      <c r="D732" s="19"/>
      <c r="H732" s="18"/>
      <c r="J732" s="18"/>
      <c r="N732" s="16"/>
      <c r="O732" s="17"/>
      <c r="P732" s="18">
        <f t="shared" si="22"/>
        <v>0</v>
      </c>
      <c r="Q732" s="22" t="e">
        <f t="shared" si="23"/>
        <v>#VALUE!</v>
      </c>
      <c r="R732" s="23"/>
    </row>
    <row r="733" spans="1:18" ht="12.75">
      <c r="A733" s="22"/>
      <c r="D733" s="19"/>
      <c r="H733" s="18"/>
      <c r="J733" s="18"/>
      <c r="N733" s="16"/>
      <c r="O733" s="17"/>
      <c r="P733" s="18">
        <f t="shared" si="22"/>
        <v>0</v>
      </c>
      <c r="Q733" s="22" t="e">
        <f t="shared" si="23"/>
        <v>#VALUE!</v>
      </c>
      <c r="R733" s="23"/>
    </row>
    <row r="734" spans="1:18" ht="12.75">
      <c r="A734" s="22"/>
      <c r="D734" s="19"/>
      <c r="H734" s="18"/>
      <c r="J734" s="18"/>
      <c r="N734" s="16"/>
      <c r="O734" s="17"/>
      <c r="P734" s="18">
        <f t="shared" si="22"/>
        <v>0</v>
      </c>
      <c r="Q734" s="22" t="e">
        <f t="shared" si="23"/>
        <v>#VALUE!</v>
      </c>
      <c r="R734" s="23"/>
    </row>
    <row r="735" spans="1:18" ht="12.75">
      <c r="A735" s="22"/>
      <c r="D735" s="19"/>
      <c r="H735" s="18"/>
      <c r="J735" s="18"/>
      <c r="N735" s="16"/>
      <c r="O735" s="17"/>
      <c r="P735" s="18">
        <f t="shared" si="22"/>
        <v>0</v>
      </c>
      <c r="Q735" s="22" t="e">
        <f t="shared" si="23"/>
        <v>#VALUE!</v>
      </c>
      <c r="R735" s="23"/>
    </row>
    <row r="736" spans="1:18" ht="12.75">
      <c r="A736" s="22"/>
      <c r="D736" s="19"/>
      <c r="H736" s="18"/>
      <c r="J736" s="18"/>
      <c r="N736" s="16"/>
      <c r="O736" s="17"/>
      <c r="P736" s="18">
        <f t="shared" si="22"/>
        <v>0</v>
      </c>
      <c r="Q736" s="22" t="e">
        <f t="shared" si="23"/>
        <v>#VALUE!</v>
      </c>
      <c r="R736" s="23"/>
    </row>
    <row r="737" spans="1:18" ht="12.75">
      <c r="A737" s="22"/>
      <c r="D737" s="19"/>
      <c r="H737" s="18"/>
      <c r="J737" s="18"/>
      <c r="N737" s="16"/>
      <c r="O737" s="17"/>
      <c r="P737" s="18">
        <f t="shared" si="22"/>
        <v>0</v>
      </c>
      <c r="Q737" s="22" t="e">
        <f t="shared" si="23"/>
        <v>#VALUE!</v>
      </c>
      <c r="R737" s="23"/>
    </row>
    <row r="738" spans="1:18" ht="12.75">
      <c r="A738" s="22"/>
      <c r="D738" s="19"/>
      <c r="H738" s="18"/>
      <c r="J738" s="18"/>
      <c r="N738" s="16"/>
      <c r="O738" s="17"/>
      <c r="P738" s="18">
        <f t="shared" si="22"/>
        <v>0</v>
      </c>
      <c r="Q738" s="22" t="e">
        <f t="shared" si="23"/>
        <v>#VALUE!</v>
      </c>
      <c r="R738" s="23"/>
    </row>
    <row r="739" spans="1:18" ht="12.75">
      <c r="A739" s="22"/>
      <c r="D739" s="19"/>
      <c r="H739" s="18"/>
      <c r="J739" s="18"/>
      <c r="N739" s="16"/>
      <c r="O739" s="17"/>
      <c r="P739" s="18">
        <f t="shared" si="22"/>
        <v>0</v>
      </c>
      <c r="Q739" s="22" t="e">
        <f t="shared" si="23"/>
        <v>#VALUE!</v>
      </c>
      <c r="R739" s="23"/>
    </row>
    <row r="740" spans="1:18" ht="12.75">
      <c r="A740" s="22"/>
      <c r="D740" s="19"/>
      <c r="H740" s="18"/>
      <c r="J740" s="18"/>
      <c r="N740" s="16"/>
      <c r="O740" s="17"/>
      <c r="P740" s="18">
        <f t="shared" si="22"/>
        <v>0</v>
      </c>
      <c r="Q740" s="22" t="e">
        <f t="shared" si="23"/>
        <v>#VALUE!</v>
      </c>
      <c r="R740" s="23"/>
    </row>
    <row r="741" spans="1:18" ht="12.75">
      <c r="A741" s="22"/>
      <c r="D741" s="19"/>
      <c r="H741" s="18"/>
      <c r="J741" s="18"/>
      <c r="N741" s="16"/>
      <c r="O741" s="17"/>
      <c r="P741" s="18">
        <f t="shared" si="22"/>
        <v>0</v>
      </c>
      <c r="Q741" s="22" t="e">
        <f t="shared" si="23"/>
        <v>#VALUE!</v>
      </c>
      <c r="R741" s="23"/>
    </row>
    <row r="742" spans="1:18" ht="12.75">
      <c r="A742" s="22"/>
      <c r="D742" s="19"/>
      <c r="H742" s="18"/>
      <c r="J742" s="18"/>
      <c r="N742" s="16"/>
      <c r="O742" s="17"/>
      <c r="P742" s="18">
        <f t="shared" si="22"/>
        <v>0</v>
      </c>
      <c r="Q742" s="22" t="e">
        <f t="shared" si="23"/>
        <v>#VALUE!</v>
      </c>
      <c r="R742" s="23"/>
    </row>
    <row r="743" spans="1:18" ht="12.75">
      <c r="A743" s="22"/>
      <c r="D743" s="19"/>
      <c r="H743" s="18"/>
      <c r="J743" s="18"/>
      <c r="N743" s="16"/>
      <c r="O743" s="17"/>
      <c r="P743" s="18">
        <f t="shared" si="22"/>
        <v>0</v>
      </c>
      <c r="Q743" s="22" t="e">
        <f t="shared" si="23"/>
        <v>#VALUE!</v>
      </c>
      <c r="R743" s="23"/>
    </row>
    <row r="744" spans="1:18" ht="12.75">
      <c r="A744" s="22"/>
      <c r="D744" s="19"/>
      <c r="H744" s="18"/>
      <c r="J744" s="18"/>
      <c r="N744" s="16"/>
      <c r="O744" s="17"/>
      <c r="P744" s="18">
        <f t="shared" si="22"/>
        <v>0</v>
      </c>
      <c r="Q744" s="22" t="e">
        <f t="shared" si="23"/>
        <v>#VALUE!</v>
      </c>
      <c r="R744" s="23"/>
    </row>
    <row r="745" spans="1:18" ht="12.75">
      <c r="A745" s="22"/>
      <c r="D745" s="19"/>
      <c r="H745" s="18"/>
      <c r="J745" s="18"/>
      <c r="N745" s="16"/>
      <c r="O745" s="17"/>
      <c r="P745" s="18">
        <f t="shared" si="22"/>
        <v>0</v>
      </c>
      <c r="Q745" s="22" t="e">
        <f t="shared" si="23"/>
        <v>#VALUE!</v>
      </c>
      <c r="R745" s="23"/>
    </row>
    <row r="746" spans="1:18" ht="12.75">
      <c r="A746" s="22"/>
      <c r="D746" s="19"/>
      <c r="H746" s="18"/>
      <c r="J746" s="18"/>
      <c r="N746" s="16"/>
      <c r="O746" s="17"/>
      <c r="P746" s="18">
        <f t="shared" si="22"/>
        <v>0</v>
      </c>
      <c r="Q746" s="22" t="e">
        <f t="shared" si="23"/>
        <v>#VALUE!</v>
      </c>
      <c r="R746" s="23"/>
    </row>
    <row r="747" spans="1:18" ht="12.75">
      <c r="A747" s="22"/>
      <c r="D747" s="19"/>
      <c r="H747" s="18"/>
      <c r="J747" s="18"/>
      <c r="N747" s="16"/>
      <c r="O747" s="17"/>
      <c r="P747" s="18">
        <f t="shared" si="22"/>
        <v>0</v>
      </c>
      <c r="Q747" s="22" t="e">
        <f t="shared" si="23"/>
        <v>#VALUE!</v>
      </c>
      <c r="R747" s="23"/>
    </row>
    <row r="748" spans="1:18" ht="12.75">
      <c r="A748" s="22"/>
      <c r="D748" s="19"/>
      <c r="H748" s="18"/>
      <c r="J748" s="18"/>
      <c r="N748" s="16"/>
      <c r="O748" s="17"/>
      <c r="P748" s="18">
        <f t="shared" si="22"/>
        <v>0</v>
      </c>
      <c r="Q748" s="22" t="e">
        <f t="shared" si="23"/>
        <v>#VALUE!</v>
      </c>
      <c r="R748" s="23"/>
    </row>
    <row r="749" spans="1:18" ht="12.75">
      <c r="A749" s="22"/>
      <c r="D749" s="19"/>
      <c r="H749" s="18"/>
      <c r="J749" s="18"/>
      <c r="N749" s="16"/>
      <c r="O749" s="17"/>
      <c r="P749" s="18">
        <f t="shared" si="22"/>
        <v>0</v>
      </c>
      <c r="Q749" s="22" t="e">
        <f t="shared" si="23"/>
        <v>#VALUE!</v>
      </c>
      <c r="R749" s="23"/>
    </row>
    <row r="750" spans="1:18" ht="12.75">
      <c r="A750" s="22"/>
      <c r="D750" s="19"/>
      <c r="H750" s="18"/>
      <c r="J750" s="18"/>
      <c r="N750" s="16"/>
      <c r="O750" s="17"/>
      <c r="P750" s="18">
        <f t="shared" si="22"/>
        <v>0</v>
      </c>
      <c r="Q750" s="22" t="e">
        <f t="shared" si="23"/>
        <v>#VALUE!</v>
      </c>
      <c r="R750" s="23"/>
    </row>
    <row r="751" spans="1:18" ht="12.75">
      <c r="A751" s="22"/>
      <c r="D751" s="19"/>
      <c r="H751" s="18"/>
      <c r="J751" s="18"/>
      <c r="N751" s="16"/>
      <c r="O751" s="17"/>
      <c r="P751" s="18">
        <f t="shared" si="22"/>
        <v>0</v>
      </c>
      <c r="Q751" s="22" t="e">
        <f t="shared" si="23"/>
        <v>#VALUE!</v>
      </c>
      <c r="R751" s="23"/>
    </row>
    <row r="752" spans="1:18" ht="12.75">
      <c r="A752" s="22"/>
      <c r="D752" s="19"/>
      <c r="H752" s="18"/>
      <c r="J752" s="18"/>
      <c r="N752" s="16"/>
      <c r="O752" s="17"/>
      <c r="P752" s="18">
        <f t="shared" si="22"/>
        <v>0</v>
      </c>
      <c r="Q752" s="22" t="e">
        <f t="shared" si="23"/>
        <v>#VALUE!</v>
      </c>
      <c r="R752" s="23"/>
    </row>
    <row r="753" spans="1:18" ht="12.75">
      <c r="A753" s="22"/>
      <c r="D753" s="19"/>
      <c r="H753" s="18"/>
      <c r="J753" s="18"/>
      <c r="N753" s="16"/>
      <c r="O753" s="17"/>
      <c r="P753" s="18">
        <f t="shared" si="22"/>
        <v>0</v>
      </c>
      <c r="Q753" s="22" t="e">
        <f t="shared" si="23"/>
        <v>#VALUE!</v>
      </c>
      <c r="R753" s="23"/>
    </row>
    <row r="754" spans="1:18" ht="12.75">
      <c r="A754" s="22"/>
      <c r="D754" s="19"/>
      <c r="H754" s="18"/>
      <c r="J754" s="18"/>
      <c r="N754" s="16"/>
      <c r="O754" s="17"/>
      <c r="P754" s="18">
        <f t="shared" si="22"/>
        <v>0</v>
      </c>
      <c r="Q754" s="22" t="e">
        <f t="shared" si="23"/>
        <v>#VALUE!</v>
      </c>
      <c r="R754" s="23"/>
    </row>
    <row r="755" spans="1:18" ht="12.75">
      <c r="A755" s="22"/>
      <c r="D755" s="19"/>
      <c r="H755" s="18"/>
      <c r="J755" s="18"/>
      <c r="N755" s="16"/>
      <c r="O755" s="17"/>
      <c r="P755" s="18">
        <f t="shared" si="22"/>
        <v>0</v>
      </c>
      <c r="Q755" s="22" t="e">
        <f t="shared" si="23"/>
        <v>#VALUE!</v>
      </c>
      <c r="R755" s="23"/>
    </row>
    <row r="756" spans="1:18" ht="12.75">
      <c r="A756" s="22"/>
      <c r="D756" s="19"/>
      <c r="H756" s="18"/>
      <c r="J756" s="18"/>
      <c r="N756" s="16"/>
      <c r="O756" s="17"/>
      <c r="P756" s="18">
        <f t="shared" si="22"/>
        <v>0</v>
      </c>
      <c r="Q756" s="22" t="e">
        <f t="shared" si="23"/>
        <v>#VALUE!</v>
      </c>
      <c r="R756" s="23"/>
    </row>
    <row r="757" spans="1:18" ht="12.75">
      <c r="A757" s="22"/>
      <c r="D757" s="19"/>
      <c r="H757" s="18"/>
      <c r="J757" s="18"/>
      <c r="N757" s="16"/>
      <c r="O757" s="17"/>
      <c r="P757" s="18">
        <f t="shared" si="22"/>
        <v>0</v>
      </c>
      <c r="Q757" s="22" t="e">
        <f t="shared" si="23"/>
        <v>#VALUE!</v>
      </c>
      <c r="R757" s="23"/>
    </row>
    <row r="758" spans="1:18" ht="12.75">
      <c r="A758" s="22"/>
      <c r="D758" s="19"/>
      <c r="H758" s="18"/>
      <c r="J758" s="18"/>
      <c r="N758" s="16"/>
      <c r="O758" s="17"/>
      <c r="P758" s="18">
        <f t="shared" si="22"/>
        <v>0</v>
      </c>
      <c r="Q758" s="22" t="e">
        <f t="shared" si="23"/>
        <v>#VALUE!</v>
      </c>
      <c r="R758" s="23"/>
    </row>
    <row r="759" spans="1:18" ht="12.75">
      <c r="A759" s="22"/>
      <c r="D759" s="19"/>
      <c r="H759" s="18"/>
      <c r="J759" s="18"/>
      <c r="N759" s="16"/>
      <c r="O759" s="17"/>
      <c r="P759" s="18">
        <f t="shared" si="22"/>
        <v>0</v>
      </c>
      <c r="Q759" s="22" t="e">
        <f t="shared" si="23"/>
        <v>#VALUE!</v>
      </c>
      <c r="R759" s="23"/>
    </row>
    <row r="760" spans="1:18" ht="12.75">
      <c r="A760" s="22"/>
      <c r="D760" s="19"/>
      <c r="H760" s="18"/>
      <c r="J760" s="18"/>
      <c r="N760" s="16"/>
      <c r="O760" s="17"/>
      <c r="P760" s="18">
        <f t="shared" si="22"/>
        <v>0</v>
      </c>
      <c r="Q760" s="22" t="e">
        <f t="shared" si="23"/>
        <v>#VALUE!</v>
      </c>
      <c r="R760" s="23"/>
    </row>
    <row r="761" spans="1:18" ht="12.75">
      <c r="A761" s="22"/>
      <c r="D761" s="19"/>
      <c r="H761" s="18"/>
      <c r="J761" s="18"/>
      <c r="N761" s="16"/>
      <c r="O761" s="17"/>
      <c r="P761" s="18">
        <f t="shared" si="22"/>
        <v>0</v>
      </c>
      <c r="Q761" s="22" t="e">
        <f t="shared" si="23"/>
        <v>#VALUE!</v>
      </c>
      <c r="R761" s="23"/>
    </row>
    <row r="762" spans="1:18" ht="12.75">
      <c r="A762" s="22"/>
      <c r="D762" s="19"/>
      <c r="H762" s="18"/>
      <c r="J762" s="18"/>
      <c r="N762" s="16"/>
      <c r="O762" s="17"/>
      <c r="P762" s="18">
        <f t="shared" si="22"/>
        <v>0</v>
      </c>
      <c r="Q762" s="22" t="e">
        <f t="shared" si="23"/>
        <v>#VALUE!</v>
      </c>
      <c r="R762" s="23"/>
    </row>
    <row r="763" spans="1:18" ht="12.75">
      <c r="A763" s="22"/>
      <c r="D763" s="19"/>
      <c r="H763" s="18"/>
      <c r="J763" s="18"/>
      <c r="N763" s="16"/>
      <c r="O763" s="17"/>
      <c r="P763" s="18">
        <f t="shared" si="22"/>
        <v>0</v>
      </c>
      <c r="Q763" s="22" t="e">
        <f t="shared" si="23"/>
        <v>#VALUE!</v>
      </c>
      <c r="R763" s="23"/>
    </row>
    <row r="764" spans="1:18" ht="12.75">
      <c r="A764" s="22"/>
      <c r="D764" s="19"/>
      <c r="H764" s="18"/>
      <c r="J764" s="18"/>
      <c r="N764" s="16"/>
      <c r="O764" s="17"/>
      <c r="P764" s="18">
        <f t="shared" si="22"/>
        <v>0</v>
      </c>
      <c r="Q764" s="22" t="e">
        <f t="shared" si="23"/>
        <v>#VALUE!</v>
      </c>
      <c r="R764" s="23"/>
    </row>
    <row r="765" spans="1:18" ht="12.75">
      <c r="A765" s="22"/>
      <c r="D765" s="19"/>
      <c r="H765" s="18"/>
      <c r="J765" s="18"/>
      <c r="N765" s="16"/>
      <c r="O765" s="17"/>
      <c r="P765" s="18">
        <f t="shared" si="22"/>
        <v>0</v>
      </c>
      <c r="Q765" s="22" t="e">
        <f t="shared" si="23"/>
        <v>#VALUE!</v>
      </c>
      <c r="R765" s="23"/>
    </row>
    <row r="766" spans="1:18" ht="12.75">
      <c r="A766" s="22"/>
      <c r="D766" s="19"/>
      <c r="H766" s="18"/>
      <c r="J766" s="18"/>
      <c r="N766" s="16"/>
      <c r="O766" s="17"/>
      <c r="P766" s="18">
        <f t="shared" si="22"/>
        <v>0</v>
      </c>
      <c r="Q766" s="22" t="e">
        <f t="shared" si="23"/>
        <v>#VALUE!</v>
      </c>
      <c r="R766" s="23"/>
    </row>
    <row r="767" spans="1:18" ht="12.75">
      <c r="A767" s="22"/>
      <c r="D767" s="19"/>
      <c r="H767" s="18"/>
      <c r="J767" s="18"/>
      <c r="N767" s="16"/>
      <c r="O767" s="17"/>
      <c r="P767" s="18">
        <f t="shared" si="22"/>
        <v>0</v>
      </c>
      <c r="Q767" s="22" t="e">
        <f t="shared" si="23"/>
        <v>#VALUE!</v>
      </c>
      <c r="R767" s="23"/>
    </row>
    <row r="768" spans="1:18" ht="12.75">
      <c r="A768" s="22"/>
      <c r="D768" s="19"/>
      <c r="H768" s="18"/>
      <c r="J768" s="18"/>
      <c r="N768" s="16"/>
      <c r="O768" s="17"/>
      <c r="P768" s="18">
        <f t="shared" si="22"/>
        <v>0</v>
      </c>
      <c r="Q768" s="22" t="e">
        <f t="shared" si="23"/>
        <v>#VALUE!</v>
      </c>
      <c r="R768" s="23"/>
    </row>
    <row r="769" spans="1:18" ht="12.75">
      <c r="A769" s="22"/>
      <c r="D769" s="19"/>
      <c r="H769" s="18"/>
      <c r="J769" s="18"/>
      <c r="N769" s="16"/>
      <c r="O769" s="17"/>
      <c r="P769" s="18">
        <f t="shared" si="22"/>
        <v>0</v>
      </c>
      <c r="Q769" s="22" t="e">
        <f t="shared" si="23"/>
        <v>#VALUE!</v>
      </c>
      <c r="R769" s="23"/>
    </row>
    <row r="770" spans="1:18" ht="12.75">
      <c r="A770" s="22"/>
      <c r="D770" s="19"/>
      <c r="H770" s="18"/>
      <c r="J770" s="18"/>
      <c r="N770" s="16"/>
      <c r="O770" s="17"/>
      <c r="P770" s="18">
        <f t="shared" si="22"/>
        <v>0</v>
      </c>
      <c r="Q770" s="22" t="e">
        <f t="shared" si="23"/>
        <v>#VALUE!</v>
      </c>
      <c r="R770" s="23"/>
    </row>
    <row r="771" spans="1:18" ht="12.75">
      <c r="A771" s="22"/>
      <c r="D771" s="19"/>
      <c r="H771" s="18"/>
      <c r="J771" s="18"/>
      <c r="N771" s="16"/>
      <c r="O771" s="17"/>
      <c r="P771" s="18">
        <f t="shared" si="22"/>
        <v>0</v>
      </c>
      <c r="Q771" s="22" t="e">
        <f t="shared" si="23"/>
        <v>#VALUE!</v>
      </c>
      <c r="R771" s="23"/>
    </row>
    <row r="772" spans="1:18" ht="12.75">
      <c r="A772" s="22"/>
      <c r="D772" s="19"/>
      <c r="H772" s="18"/>
      <c r="J772" s="18"/>
      <c r="N772" s="16"/>
      <c r="O772" s="17"/>
      <c r="P772" s="18">
        <f t="shared" si="22"/>
        <v>0</v>
      </c>
      <c r="Q772" s="22" t="e">
        <f t="shared" si="23"/>
        <v>#VALUE!</v>
      </c>
      <c r="R772" s="23"/>
    </row>
    <row r="773" spans="1:18" ht="12.75">
      <c r="A773" s="22"/>
      <c r="D773" s="19"/>
      <c r="H773" s="18"/>
      <c r="J773" s="18"/>
      <c r="N773" s="16"/>
      <c r="O773" s="17"/>
      <c r="P773" s="18">
        <f t="shared" ref="P773:P836" si="24">H773+J773+S773</f>
        <v>0</v>
      </c>
      <c r="Q773" s="22" t="e">
        <f t="shared" ref="Q773:Q836" si="25">DATEVALUE(A773)</f>
        <v>#VALUE!</v>
      </c>
      <c r="R773" s="23"/>
    </row>
    <row r="774" spans="1:18" ht="12.75">
      <c r="A774" s="22"/>
      <c r="D774" s="19"/>
      <c r="H774" s="18"/>
      <c r="J774" s="18"/>
      <c r="N774" s="16"/>
      <c r="O774" s="17"/>
      <c r="P774" s="18">
        <f t="shared" si="24"/>
        <v>0</v>
      </c>
      <c r="Q774" s="22" t="e">
        <f t="shared" si="25"/>
        <v>#VALUE!</v>
      </c>
      <c r="R774" s="23"/>
    </row>
    <row r="775" spans="1:18" ht="12.75">
      <c r="A775" s="22"/>
      <c r="D775" s="19"/>
      <c r="H775" s="18"/>
      <c r="J775" s="18"/>
      <c r="N775" s="16"/>
      <c r="O775" s="17"/>
      <c r="P775" s="18">
        <f t="shared" si="24"/>
        <v>0</v>
      </c>
      <c r="Q775" s="22" t="e">
        <f t="shared" si="25"/>
        <v>#VALUE!</v>
      </c>
      <c r="R775" s="23"/>
    </row>
    <row r="776" spans="1:18" ht="12.75">
      <c r="A776" s="22"/>
      <c r="D776" s="19"/>
      <c r="H776" s="18"/>
      <c r="J776" s="18"/>
      <c r="N776" s="16"/>
      <c r="O776" s="17"/>
      <c r="P776" s="18">
        <f t="shared" si="24"/>
        <v>0</v>
      </c>
      <c r="Q776" s="22" t="e">
        <f t="shared" si="25"/>
        <v>#VALUE!</v>
      </c>
      <c r="R776" s="23"/>
    </row>
    <row r="777" spans="1:18" ht="12.75">
      <c r="A777" s="22"/>
      <c r="D777" s="19"/>
      <c r="H777" s="18"/>
      <c r="J777" s="18"/>
      <c r="N777" s="16"/>
      <c r="O777" s="17"/>
      <c r="P777" s="18">
        <f t="shared" si="24"/>
        <v>0</v>
      </c>
      <c r="Q777" s="22" t="e">
        <f t="shared" si="25"/>
        <v>#VALUE!</v>
      </c>
      <c r="R777" s="23"/>
    </row>
    <row r="778" spans="1:18" ht="12.75">
      <c r="A778" s="22"/>
      <c r="D778" s="19"/>
      <c r="H778" s="18"/>
      <c r="J778" s="18"/>
      <c r="N778" s="16"/>
      <c r="O778" s="17"/>
      <c r="P778" s="18">
        <f t="shared" si="24"/>
        <v>0</v>
      </c>
      <c r="Q778" s="22" t="e">
        <f t="shared" si="25"/>
        <v>#VALUE!</v>
      </c>
      <c r="R778" s="23"/>
    </row>
    <row r="779" spans="1:18" ht="12.75">
      <c r="A779" s="22"/>
      <c r="D779" s="19"/>
      <c r="H779" s="18"/>
      <c r="J779" s="18"/>
      <c r="N779" s="16"/>
      <c r="O779" s="17"/>
      <c r="P779" s="18">
        <f t="shared" si="24"/>
        <v>0</v>
      </c>
      <c r="Q779" s="22" t="e">
        <f t="shared" si="25"/>
        <v>#VALUE!</v>
      </c>
      <c r="R779" s="23"/>
    </row>
    <row r="780" spans="1:18" ht="12.75">
      <c r="A780" s="22"/>
      <c r="D780" s="19"/>
      <c r="H780" s="18"/>
      <c r="J780" s="18"/>
      <c r="N780" s="16"/>
      <c r="O780" s="17"/>
      <c r="P780" s="18">
        <f t="shared" si="24"/>
        <v>0</v>
      </c>
      <c r="Q780" s="22" t="e">
        <f t="shared" si="25"/>
        <v>#VALUE!</v>
      </c>
      <c r="R780" s="23"/>
    </row>
    <row r="781" spans="1:18" ht="12.75">
      <c r="A781" s="22"/>
      <c r="D781" s="19"/>
      <c r="H781" s="18"/>
      <c r="J781" s="18"/>
      <c r="N781" s="16"/>
      <c r="O781" s="17"/>
      <c r="P781" s="18">
        <f t="shared" si="24"/>
        <v>0</v>
      </c>
      <c r="Q781" s="22" t="e">
        <f t="shared" si="25"/>
        <v>#VALUE!</v>
      </c>
      <c r="R781" s="23"/>
    </row>
    <row r="782" spans="1:18" ht="12.75">
      <c r="A782" s="22"/>
      <c r="D782" s="19"/>
      <c r="H782" s="18"/>
      <c r="J782" s="18"/>
      <c r="N782" s="16"/>
      <c r="O782" s="17"/>
      <c r="P782" s="18">
        <f t="shared" si="24"/>
        <v>0</v>
      </c>
      <c r="Q782" s="22" t="e">
        <f t="shared" si="25"/>
        <v>#VALUE!</v>
      </c>
      <c r="R782" s="23"/>
    </row>
    <row r="783" spans="1:18" ht="12.75">
      <c r="A783" s="22"/>
      <c r="D783" s="19"/>
      <c r="H783" s="18"/>
      <c r="J783" s="18"/>
      <c r="N783" s="16"/>
      <c r="O783" s="17"/>
      <c r="P783" s="18">
        <f t="shared" si="24"/>
        <v>0</v>
      </c>
      <c r="Q783" s="22" t="e">
        <f t="shared" si="25"/>
        <v>#VALUE!</v>
      </c>
      <c r="R783" s="23"/>
    </row>
    <row r="784" spans="1:18" ht="12.75">
      <c r="A784" s="22"/>
      <c r="D784" s="19"/>
      <c r="H784" s="18"/>
      <c r="J784" s="18"/>
      <c r="N784" s="16"/>
      <c r="O784" s="17"/>
      <c r="P784" s="18">
        <f t="shared" si="24"/>
        <v>0</v>
      </c>
      <c r="Q784" s="22" t="e">
        <f t="shared" si="25"/>
        <v>#VALUE!</v>
      </c>
      <c r="R784" s="23"/>
    </row>
    <row r="785" spans="1:18" ht="12.75">
      <c r="A785" s="22"/>
      <c r="D785" s="19"/>
      <c r="H785" s="18"/>
      <c r="J785" s="18"/>
      <c r="N785" s="16"/>
      <c r="O785" s="17"/>
      <c r="P785" s="18">
        <f t="shared" si="24"/>
        <v>0</v>
      </c>
      <c r="Q785" s="22" t="e">
        <f t="shared" si="25"/>
        <v>#VALUE!</v>
      </c>
      <c r="R785" s="23"/>
    </row>
    <row r="786" spans="1:18" ht="12.75">
      <c r="A786" s="22"/>
      <c r="D786" s="19"/>
      <c r="H786" s="18"/>
      <c r="J786" s="18"/>
      <c r="N786" s="16"/>
      <c r="O786" s="17"/>
      <c r="P786" s="18">
        <f t="shared" si="24"/>
        <v>0</v>
      </c>
      <c r="Q786" s="22" t="e">
        <f t="shared" si="25"/>
        <v>#VALUE!</v>
      </c>
      <c r="R786" s="23"/>
    </row>
    <row r="787" spans="1:18" ht="12.75">
      <c r="A787" s="22"/>
      <c r="D787" s="19"/>
      <c r="H787" s="18"/>
      <c r="J787" s="18"/>
      <c r="N787" s="16"/>
      <c r="O787" s="17"/>
      <c r="P787" s="18">
        <f t="shared" si="24"/>
        <v>0</v>
      </c>
      <c r="Q787" s="22" t="e">
        <f t="shared" si="25"/>
        <v>#VALUE!</v>
      </c>
      <c r="R787" s="23"/>
    </row>
    <row r="788" spans="1:18" ht="12.75">
      <c r="A788" s="22"/>
      <c r="D788" s="19"/>
      <c r="H788" s="18"/>
      <c r="J788" s="18"/>
      <c r="N788" s="16"/>
      <c r="O788" s="17"/>
      <c r="P788" s="18">
        <f t="shared" si="24"/>
        <v>0</v>
      </c>
      <c r="Q788" s="22" t="e">
        <f t="shared" si="25"/>
        <v>#VALUE!</v>
      </c>
      <c r="R788" s="23"/>
    </row>
    <row r="789" spans="1:18" ht="12.75">
      <c r="A789" s="22"/>
      <c r="D789" s="19"/>
      <c r="H789" s="18"/>
      <c r="J789" s="18"/>
      <c r="N789" s="16"/>
      <c r="O789" s="17"/>
      <c r="P789" s="18">
        <f t="shared" si="24"/>
        <v>0</v>
      </c>
      <c r="Q789" s="22" t="e">
        <f t="shared" si="25"/>
        <v>#VALUE!</v>
      </c>
      <c r="R789" s="23"/>
    </row>
    <row r="790" spans="1:18" ht="12.75">
      <c r="A790" s="22"/>
      <c r="D790" s="19"/>
      <c r="H790" s="18"/>
      <c r="J790" s="18"/>
      <c r="N790" s="16"/>
      <c r="O790" s="17"/>
      <c r="P790" s="18">
        <f t="shared" si="24"/>
        <v>0</v>
      </c>
      <c r="Q790" s="22" t="e">
        <f t="shared" si="25"/>
        <v>#VALUE!</v>
      </c>
      <c r="R790" s="23"/>
    </row>
    <row r="791" spans="1:18" ht="12.75">
      <c r="A791" s="22"/>
      <c r="D791" s="19"/>
      <c r="H791" s="18"/>
      <c r="J791" s="18"/>
      <c r="N791" s="16"/>
      <c r="O791" s="17"/>
      <c r="P791" s="18">
        <f t="shared" si="24"/>
        <v>0</v>
      </c>
      <c r="Q791" s="22" t="e">
        <f t="shared" si="25"/>
        <v>#VALUE!</v>
      </c>
      <c r="R791" s="23"/>
    </row>
    <row r="792" spans="1:18" ht="12.75">
      <c r="A792" s="22"/>
      <c r="D792" s="19"/>
      <c r="H792" s="18"/>
      <c r="J792" s="18"/>
      <c r="N792" s="16"/>
      <c r="O792" s="17"/>
      <c r="P792" s="18">
        <f t="shared" si="24"/>
        <v>0</v>
      </c>
      <c r="Q792" s="22" t="e">
        <f t="shared" si="25"/>
        <v>#VALUE!</v>
      </c>
      <c r="R792" s="23"/>
    </row>
    <row r="793" spans="1:18" ht="12.75">
      <c r="A793" s="22"/>
      <c r="D793" s="19"/>
      <c r="H793" s="18"/>
      <c r="J793" s="18"/>
      <c r="N793" s="16"/>
      <c r="O793" s="17"/>
      <c r="P793" s="18">
        <f t="shared" si="24"/>
        <v>0</v>
      </c>
      <c r="Q793" s="22" t="e">
        <f t="shared" si="25"/>
        <v>#VALUE!</v>
      </c>
      <c r="R793" s="23"/>
    </row>
    <row r="794" spans="1:18" ht="12.75">
      <c r="A794" s="22"/>
      <c r="D794" s="19"/>
      <c r="H794" s="18"/>
      <c r="J794" s="18"/>
      <c r="N794" s="16"/>
      <c r="O794" s="17"/>
      <c r="P794" s="18">
        <f t="shared" si="24"/>
        <v>0</v>
      </c>
      <c r="Q794" s="22" t="e">
        <f t="shared" si="25"/>
        <v>#VALUE!</v>
      </c>
      <c r="R794" s="23"/>
    </row>
    <row r="795" spans="1:18" ht="12.75">
      <c r="A795" s="22"/>
      <c r="D795" s="19"/>
      <c r="H795" s="18"/>
      <c r="J795" s="18"/>
      <c r="N795" s="16"/>
      <c r="O795" s="17"/>
      <c r="P795" s="18">
        <f t="shared" si="24"/>
        <v>0</v>
      </c>
      <c r="Q795" s="22" t="e">
        <f t="shared" si="25"/>
        <v>#VALUE!</v>
      </c>
      <c r="R795" s="23"/>
    </row>
    <row r="796" spans="1:18" ht="12.75">
      <c r="A796" s="22"/>
      <c r="D796" s="19"/>
      <c r="H796" s="18"/>
      <c r="J796" s="18"/>
      <c r="N796" s="16"/>
      <c r="O796" s="17"/>
      <c r="P796" s="18">
        <f t="shared" si="24"/>
        <v>0</v>
      </c>
      <c r="Q796" s="22" t="e">
        <f t="shared" si="25"/>
        <v>#VALUE!</v>
      </c>
      <c r="R796" s="23"/>
    </row>
    <row r="797" spans="1:18" ht="12.75">
      <c r="A797" s="22"/>
      <c r="D797" s="19"/>
      <c r="H797" s="18"/>
      <c r="J797" s="18"/>
      <c r="N797" s="16"/>
      <c r="O797" s="17"/>
      <c r="P797" s="18">
        <f t="shared" si="24"/>
        <v>0</v>
      </c>
      <c r="Q797" s="22" t="e">
        <f t="shared" si="25"/>
        <v>#VALUE!</v>
      </c>
      <c r="R797" s="23"/>
    </row>
    <row r="798" spans="1:18" ht="12.75">
      <c r="A798" s="22"/>
      <c r="D798" s="19"/>
      <c r="H798" s="18"/>
      <c r="J798" s="18"/>
      <c r="N798" s="16"/>
      <c r="O798" s="17"/>
      <c r="P798" s="18">
        <f t="shared" si="24"/>
        <v>0</v>
      </c>
      <c r="Q798" s="22" t="e">
        <f t="shared" si="25"/>
        <v>#VALUE!</v>
      </c>
      <c r="R798" s="23"/>
    </row>
    <row r="799" spans="1:18" ht="12.75">
      <c r="A799" s="22"/>
      <c r="D799" s="19"/>
      <c r="H799" s="18"/>
      <c r="J799" s="18"/>
      <c r="N799" s="16"/>
      <c r="O799" s="17"/>
      <c r="P799" s="18">
        <f t="shared" si="24"/>
        <v>0</v>
      </c>
      <c r="Q799" s="22" t="e">
        <f t="shared" si="25"/>
        <v>#VALUE!</v>
      </c>
      <c r="R799" s="23"/>
    </row>
    <row r="800" spans="1:18" ht="12.75">
      <c r="A800" s="22"/>
      <c r="D800" s="19"/>
      <c r="H800" s="18"/>
      <c r="J800" s="18"/>
      <c r="N800" s="16"/>
      <c r="O800" s="17"/>
      <c r="P800" s="18">
        <f t="shared" si="24"/>
        <v>0</v>
      </c>
      <c r="Q800" s="22" t="e">
        <f t="shared" si="25"/>
        <v>#VALUE!</v>
      </c>
      <c r="R800" s="23"/>
    </row>
    <row r="801" spans="1:18" ht="12.75">
      <c r="A801" s="22"/>
      <c r="D801" s="19"/>
      <c r="H801" s="18"/>
      <c r="J801" s="18"/>
      <c r="N801" s="16"/>
      <c r="O801" s="17"/>
      <c r="P801" s="18">
        <f t="shared" si="24"/>
        <v>0</v>
      </c>
      <c r="Q801" s="22" t="e">
        <f t="shared" si="25"/>
        <v>#VALUE!</v>
      </c>
      <c r="R801" s="23"/>
    </row>
    <row r="802" spans="1:18" ht="12.75">
      <c r="A802" s="22"/>
      <c r="D802" s="19"/>
      <c r="H802" s="18"/>
      <c r="J802" s="18"/>
      <c r="N802" s="16"/>
      <c r="O802" s="17"/>
      <c r="P802" s="18">
        <f t="shared" si="24"/>
        <v>0</v>
      </c>
      <c r="Q802" s="22" t="e">
        <f t="shared" si="25"/>
        <v>#VALUE!</v>
      </c>
      <c r="R802" s="23"/>
    </row>
    <row r="803" spans="1:18" ht="12.75">
      <c r="A803" s="22"/>
      <c r="D803" s="19"/>
      <c r="H803" s="18"/>
      <c r="J803" s="18"/>
      <c r="N803" s="16"/>
      <c r="O803" s="17"/>
      <c r="P803" s="18">
        <f t="shared" si="24"/>
        <v>0</v>
      </c>
      <c r="Q803" s="22" t="e">
        <f t="shared" si="25"/>
        <v>#VALUE!</v>
      </c>
      <c r="R803" s="23"/>
    </row>
    <row r="804" spans="1:18" ht="12.75">
      <c r="A804" s="22"/>
      <c r="D804" s="19"/>
      <c r="H804" s="18"/>
      <c r="J804" s="18"/>
      <c r="N804" s="16"/>
      <c r="O804" s="17"/>
      <c r="P804" s="18">
        <f t="shared" si="24"/>
        <v>0</v>
      </c>
      <c r="Q804" s="22" t="e">
        <f t="shared" si="25"/>
        <v>#VALUE!</v>
      </c>
      <c r="R804" s="23"/>
    </row>
    <row r="805" spans="1:18" ht="12.75">
      <c r="A805" s="22"/>
      <c r="D805" s="19"/>
      <c r="H805" s="18"/>
      <c r="J805" s="18"/>
      <c r="N805" s="16"/>
      <c r="O805" s="17"/>
      <c r="P805" s="18">
        <f t="shared" si="24"/>
        <v>0</v>
      </c>
      <c r="Q805" s="22" t="e">
        <f t="shared" si="25"/>
        <v>#VALUE!</v>
      </c>
      <c r="R805" s="23"/>
    </row>
    <row r="806" spans="1:18" ht="12.75">
      <c r="A806" s="22"/>
      <c r="D806" s="19"/>
      <c r="H806" s="18"/>
      <c r="J806" s="18"/>
      <c r="N806" s="16"/>
      <c r="O806" s="17"/>
      <c r="P806" s="18">
        <f t="shared" si="24"/>
        <v>0</v>
      </c>
      <c r="Q806" s="22" t="e">
        <f t="shared" si="25"/>
        <v>#VALUE!</v>
      </c>
      <c r="R806" s="23"/>
    </row>
    <row r="807" spans="1:18" ht="12.75">
      <c r="A807" s="22"/>
      <c r="D807" s="19"/>
      <c r="H807" s="18"/>
      <c r="J807" s="18"/>
      <c r="N807" s="16"/>
      <c r="O807" s="17"/>
      <c r="P807" s="18">
        <f t="shared" si="24"/>
        <v>0</v>
      </c>
      <c r="Q807" s="22" t="e">
        <f t="shared" si="25"/>
        <v>#VALUE!</v>
      </c>
      <c r="R807" s="23"/>
    </row>
    <row r="808" spans="1:18" ht="12.75">
      <c r="A808" s="22"/>
      <c r="D808" s="19"/>
      <c r="H808" s="18"/>
      <c r="J808" s="18"/>
      <c r="N808" s="16"/>
      <c r="O808" s="17"/>
      <c r="P808" s="18">
        <f t="shared" si="24"/>
        <v>0</v>
      </c>
      <c r="Q808" s="22" t="e">
        <f t="shared" si="25"/>
        <v>#VALUE!</v>
      </c>
      <c r="R808" s="23"/>
    </row>
    <row r="809" spans="1:18" ht="12.75">
      <c r="A809" s="22"/>
      <c r="D809" s="19"/>
      <c r="H809" s="18"/>
      <c r="J809" s="18"/>
      <c r="N809" s="16"/>
      <c r="O809" s="17"/>
      <c r="P809" s="18">
        <f t="shared" si="24"/>
        <v>0</v>
      </c>
      <c r="Q809" s="22" t="e">
        <f t="shared" si="25"/>
        <v>#VALUE!</v>
      </c>
      <c r="R809" s="23"/>
    </row>
    <row r="810" spans="1:18" ht="12.75">
      <c r="A810" s="22"/>
      <c r="D810" s="19"/>
      <c r="H810" s="18"/>
      <c r="J810" s="18"/>
      <c r="N810" s="16"/>
      <c r="O810" s="17"/>
      <c r="P810" s="18">
        <f t="shared" si="24"/>
        <v>0</v>
      </c>
      <c r="Q810" s="22" t="e">
        <f t="shared" si="25"/>
        <v>#VALUE!</v>
      </c>
      <c r="R810" s="23"/>
    </row>
    <row r="811" spans="1:18" ht="12.75">
      <c r="A811" s="22"/>
      <c r="D811" s="19"/>
      <c r="H811" s="18"/>
      <c r="J811" s="18"/>
      <c r="N811" s="16"/>
      <c r="O811" s="17"/>
      <c r="P811" s="18">
        <f t="shared" si="24"/>
        <v>0</v>
      </c>
      <c r="Q811" s="22" t="e">
        <f t="shared" si="25"/>
        <v>#VALUE!</v>
      </c>
      <c r="R811" s="23"/>
    </row>
    <row r="812" spans="1:18" ht="12.75">
      <c r="A812" s="22"/>
      <c r="D812" s="19"/>
      <c r="H812" s="18"/>
      <c r="J812" s="18"/>
      <c r="N812" s="16"/>
      <c r="O812" s="17"/>
      <c r="P812" s="18">
        <f t="shared" si="24"/>
        <v>0</v>
      </c>
      <c r="Q812" s="22" t="e">
        <f t="shared" si="25"/>
        <v>#VALUE!</v>
      </c>
      <c r="R812" s="23"/>
    </row>
    <row r="813" spans="1:18" ht="12.75">
      <c r="A813" s="22"/>
      <c r="D813" s="19"/>
      <c r="H813" s="18"/>
      <c r="J813" s="18"/>
      <c r="N813" s="16"/>
      <c r="O813" s="17"/>
      <c r="P813" s="18">
        <f t="shared" si="24"/>
        <v>0</v>
      </c>
      <c r="Q813" s="22" t="e">
        <f t="shared" si="25"/>
        <v>#VALUE!</v>
      </c>
      <c r="R813" s="23"/>
    </row>
    <row r="814" spans="1:18" ht="12.75">
      <c r="A814" s="22"/>
      <c r="D814" s="19"/>
      <c r="H814" s="18"/>
      <c r="J814" s="18"/>
      <c r="N814" s="16"/>
      <c r="O814" s="17"/>
      <c r="P814" s="18">
        <f t="shared" si="24"/>
        <v>0</v>
      </c>
      <c r="Q814" s="22" t="e">
        <f t="shared" si="25"/>
        <v>#VALUE!</v>
      </c>
      <c r="R814" s="23"/>
    </row>
    <row r="815" spans="1:18" ht="12.75">
      <c r="A815" s="22"/>
      <c r="D815" s="19"/>
      <c r="H815" s="18"/>
      <c r="J815" s="18"/>
      <c r="N815" s="16"/>
      <c r="O815" s="17"/>
      <c r="P815" s="18">
        <f t="shared" si="24"/>
        <v>0</v>
      </c>
      <c r="Q815" s="22" t="e">
        <f t="shared" si="25"/>
        <v>#VALUE!</v>
      </c>
      <c r="R815" s="23"/>
    </row>
    <row r="816" spans="1:18" ht="12.75">
      <c r="A816" s="22"/>
      <c r="D816" s="19"/>
      <c r="H816" s="18"/>
      <c r="J816" s="18"/>
      <c r="N816" s="16"/>
      <c r="O816" s="17"/>
      <c r="P816" s="18">
        <f t="shared" si="24"/>
        <v>0</v>
      </c>
      <c r="Q816" s="22" t="e">
        <f t="shared" si="25"/>
        <v>#VALUE!</v>
      </c>
      <c r="R816" s="23"/>
    </row>
    <row r="817" spans="1:18" ht="12.75">
      <c r="A817" s="22"/>
      <c r="D817" s="19"/>
      <c r="H817" s="18"/>
      <c r="J817" s="18"/>
      <c r="N817" s="16"/>
      <c r="O817" s="17"/>
      <c r="P817" s="18">
        <f t="shared" si="24"/>
        <v>0</v>
      </c>
      <c r="Q817" s="22" t="e">
        <f t="shared" si="25"/>
        <v>#VALUE!</v>
      </c>
      <c r="R817" s="23"/>
    </row>
    <row r="818" spans="1:18" ht="12.75">
      <c r="A818" s="22"/>
      <c r="D818" s="19"/>
      <c r="H818" s="18"/>
      <c r="J818" s="18"/>
      <c r="N818" s="16"/>
      <c r="O818" s="17"/>
      <c r="P818" s="18">
        <f t="shared" si="24"/>
        <v>0</v>
      </c>
      <c r="Q818" s="22" t="e">
        <f t="shared" si="25"/>
        <v>#VALUE!</v>
      </c>
      <c r="R818" s="23"/>
    </row>
    <row r="819" spans="1:18" ht="12.75">
      <c r="A819" s="22"/>
      <c r="D819" s="19"/>
      <c r="H819" s="18"/>
      <c r="J819" s="18"/>
      <c r="N819" s="16"/>
      <c r="O819" s="17"/>
      <c r="P819" s="18">
        <f t="shared" si="24"/>
        <v>0</v>
      </c>
      <c r="Q819" s="22" t="e">
        <f t="shared" si="25"/>
        <v>#VALUE!</v>
      </c>
      <c r="R819" s="23"/>
    </row>
    <row r="820" spans="1:18" ht="12.75">
      <c r="A820" s="22"/>
      <c r="D820" s="19"/>
      <c r="H820" s="18"/>
      <c r="J820" s="18"/>
      <c r="N820" s="16"/>
      <c r="O820" s="17"/>
      <c r="P820" s="18">
        <f t="shared" si="24"/>
        <v>0</v>
      </c>
      <c r="Q820" s="22" t="e">
        <f t="shared" si="25"/>
        <v>#VALUE!</v>
      </c>
      <c r="R820" s="23"/>
    </row>
    <row r="821" spans="1:18" ht="12.75">
      <c r="A821" s="22"/>
      <c r="D821" s="19"/>
      <c r="H821" s="18"/>
      <c r="J821" s="18"/>
      <c r="N821" s="16"/>
      <c r="O821" s="17"/>
      <c r="P821" s="18">
        <f t="shared" si="24"/>
        <v>0</v>
      </c>
      <c r="Q821" s="22" t="e">
        <f t="shared" si="25"/>
        <v>#VALUE!</v>
      </c>
      <c r="R821" s="23"/>
    </row>
    <row r="822" spans="1:18" ht="12.75">
      <c r="A822" s="22"/>
      <c r="D822" s="19"/>
      <c r="H822" s="18"/>
      <c r="J822" s="18"/>
      <c r="N822" s="16"/>
      <c r="O822" s="17"/>
      <c r="P822" s="18">
        <f t="shared" si="24"/>
        <v>0</v>
      </c>
      <c r="Q822" s="22" t="e">
        <f t="shared" si="25"/>
        <v>#VALUE!</v>
      </c>
      <c r="R822" s="23"/>
    </row>
    <row r="823" spans="1:18" ht="12.75">
      <c r="A823" s="22"/>
      <c r="D823" s="19"/>
      <c r="H823" s="18"/>
      <c r="J823" s="18"/>
      <c r="N823" s="16"/>
      <c r="O823" s="17"/>
      <c r="P823" s="18">
        <f t="shared" si="24"/>
        <v>0</v>
      </c>
      <c r="Q823" s="22" t="e">
        <f t="shared" si="25"/>
        <v>#VALUE!</v>
      </c>
      <c r="R823" s="23"/>
    </row>
    <row r="824" spans="1:18" ht="12.75">
      <c r="A824" s="22"/>
      <c r="D824" s="19"/>
      <c r="H824" s="18"/>
      <c r="J824" s="18"/>
      <c r="N824" s="16"/>
      <c r="O824" s="17"/>
      <c r="P824" s="18">
        <f t="shared" si="24"/>
        <v>0</v>
      </c>
      <c r="Q824" s="22" t="e">
        <f t="shared" si="25"/>
        <v>#VALUE!</v>
      </c>
      <c r="R824" s="23"/>
    </row>
    <row r="825" spans="1:18" ht="12.75">
      <c r="A825" s="22"/>
      <c r="D825" s="19"/>
      <c r="H825" s="18"/>
      <c r="J825" s="18"/>
      <c r="N825" s="16"/>
      <c r="O825" s="17"/>
      <c r="P825" s="18">
        <f t="shared" si="24"/>
        <v>0</v>
      </c>
      <c r="Q825" s="22" t="e">
        <f t="shared" si="25"/>
        <v>#VALUE!</v>
      </c>
      <c r="R825" s="23"/>
    </row>
    <row r="826" spans="1:18" ht="12.75">
      <c r="A826" s="22"/>
      <c r="D826" s="19"/>
      <c r="H826" s="18"/>
      <c r="J826" s="18"/>
      <c r="N826" s="16"/>
      <c r="O826" s="17"/>
      <c r="P826" s="18">
        <f t="shared" si="24"/>
        <v>0</v>
      </c>
      <c r="Q826" s="22" t="e">
        <f t="shared" si="25"/>
        <v>#VALUE!</v>
      </c>
      <c r="R826" s="23"/>
    </row>
    <row r="827" spans="1:18" ht="12.75">
      <c r="A827" s="22"/>
      <c r="D827" s="19"/>
      <c r="H827" s="18"/>
      <c r="J827" s="18"/>
      <c r="N827" s="16"/>
      <c r="O827" s="17"/>
      <c r="P827" s="18">
        <f t="shared" si="24"/>
        <v>0</v>
      </c>
      <c r="Q827" s="22" t="e">
        <f t="shared" si="25"/>
        <v>#VALUE!</v>
      </c>
      <c r="R827" s="23"/>
    </row>
    <row r="828" spans="1:18" ht="12.75">
      <c r="A828" s="22"/>
      <c r="D828" s="19"/>
      <c r="H828" s="18"/>
      <c r="J828" s="18"/>
      <c r="N828" s="16"/>
      <c r="O828" s="17"/>
      <c r="P828" s="18">
        <f t="shared" si="24"/>
        <v>0</v>
      </c>
      <c r="Q828" s="22" t="e">
        <f t="shared" si="25"/>
        <v>#VALUE!</v>
      </c>
      <c r="R828" s="23"/>
    </row>
    <row r="829" spans="1:18" ht="12.75">
      <c r="A829" s="22"/>
      <c r="D829" s="19"/>
      <c r="H829" s="18"/>
      <c r="J829" s="18"/>
      <c r="N829" s="16"/>
      <c r="O829" s="17"/>
      <c r="P829" s="18">
        <f t="shared" si="24"/>
        <v>0</v>
      </c>
      <c r="Q829" s="22" t="e">
        <f t="shared" si="25"/>
        <v>#VALUE!</v>
      </c>
      <c r="R829" s="23"/>
    </row>
    <row r="830" spans="1:18" ht="12.75">
      <c r="A830" s="22"/>
      <c r="D830" s="19"/>
      <c r="H830" s="18"/>
      <c r="J830" s="18"/>
      <c r="N830" s="16"/>
      <c r="O830" s="17"/>
      <c r="P830" s="18">
        <f t="shared" si="24"/>
        <v>0</v>
      </c>
      <c r="Q830" s="22" t="e">
        <f t="shared" si="25"/>
        <v>#VALUE!</v>
      </c>
      <c r="R830" s="23"/>
    </row>
    <row r="831" spans="1:18" ht="12.75">
      <c r="A831" s="22"/>
      <c r="D831" s="19"/>
      <c r="H831" s="18"/>
      <c r="J831" s="18"/>
      <c r="N831" s="16"/>
      <c r="O831" s="17"/>
      <c r="P831" s="18">
        <f t="shared" si="24"/>
        <v>0</v>
      </c>
      <c r="Q831" s="22" t="e">
        <f t="shared" si="25"/>
        <v>#VALUE!</v>
      </c>
      <c r="R831" s="23"/>
    </row>
    <row r="832" spans="1:18" ht="12.75">
      <c r="A832" s="22"/>
      <c r="D832" s="19"/>
      <c r="H832" s="18"/>
      <c r="J832" s="18"/>
      <c r="N832" s="16"/>
      <c r="O832" s="17"/>
      <c r="P832" s="18">
        <f t="shared" si="24"/>
        <v>0</v>
      </c>
      <c r="Q832" s="22" t="e">
        <f t="shared" si="25"/>
        <v>#VALUE!</v>
      </c>
      <c r="R832" s="23"/>
    </row>
    <row r="833" spans="1:18" ht="12.75">
      <c r="A833" s="22"/>
      <c r="D833" s="19"/>
      <c r="H833" s="18"/>
      <c r="J833" s="18"/>
      <c r="N833" s="16"/>
      <c r="O833" s="17"/>
      <c r="P833" s="18">
        <f t="shared" si="24"/>
        <v>0</v>
      </c>
      <c r="Q833" s="22" t="e">
        <f t="shared" si="25"/>
        <v>#VALUE!</v>
      </c>
      <c r="R833" s="23"/>
    </row>
    <row r="834" spans="1:18" ht="12.75">
      <c r="A834" s="22"/>
      <c r="D834" s="19"/>
      <c r="H834" s="18"/>
      <c r="J834" s="18"/>
      <c r="N834" s="16"/>
      <c r="O834" s="17"/>
      <c r="P834" s="18">
        <f t="shared" si="24"/>
        <v>0</v>
      </c>
      <c r="Q834" s="22" t="e">
        <f t="shared" si="25"/>
        <v>#VALUE!</v>
      </c>
      <c r="R834" s="23"/>
    </row>
    <row r="835" spans="1:18" ht="12.75">
      <c r="A835" s="22"/>
      <c r="D835" s="19"/>
      <c r="H835" s="18"/>
      <c r="J835" s="18"/>
      <c r="N835" s="16"/>
      <c r="O835" s="17"/>
      <c r="P835" s="18">
        <f t="shared" si="24"/>
        <v>0</v>
      </c>
      <c r="Q835" s="22" t="e">
        <f t="shared" si="25"/>
        <v>#VALUE!</v>
      </c>
      <c r="R835" s="23"/>
    </row>
    <row r="836" spans="1:18" ht="12.75">
      <c r="A836" s="22"/>
      <c r="D836" s="19"/>
      <c r="H836" s="18"/>
      <c r="J836" s="18"/>
      <c r="N836" s="16"/>
      <c r="O836" s="17"/>
      <c r="P836" s="18">
        <f t="shared" si="24"/>
        <v>0</v>
      </c>
      <c r="Q836" s="22" t="e">
        <f t="shared" si="25"/>
        <v>#VALUE!</v>
      </c>
      <c r="R836" s="23"/>
    </row>
    <row r="837" spans="1:18" ht="12.75">
      <c r="A837" s="22"/>
      <c r="D837" s="19"/>
      <c r="H837" s="18"/>
      <c r="J837" s="18"/>
      <c r="N837" s="16"/>
      <c r="O837" s="17"/>
      <c r="P837" s="18">
        <f t="shared" ref="P837:P900" si="26">H837+J837+S837</f>
        <v>0</v>
      </c>
      <c r="Q837" s="22" t="e">
        <f t="shared" ref="Q837:Q900" si="27">DATEVALUE(A837)</f>
        <v>#VALUE!</v>
      </c>
      <c r="R837" s="23"/>
    </row>
    <row r="838" spans="1:18" ht="12.75">
      <c r="A838" s="22"/>
      <c r="D838" s="19"/>
      <c r="H838" s="18"/>
      <c r="J838" s="18"/>
      <c r="N838" s="16"/>
      <c r="O838" s="17"/>
      <c r="P838" s="18">
        <f t="shared" si="26"/>
        <v>0</v>
      </c>
      <c r="Q838" s="22" t="e">
        <f t="shared" si="27"/>
        <v>#VALUE!</v>
      </c>
      <c r="R838" s="23"/>
    </row>
    <row r="839" spans="1:18" ht="12.75">
      <c r="A839" s="22"/>
      <c r="D839" s="19"/>
      <c r="H839" s="18"/>
      <c r="J839" s="18"/>
      <c r="N839" s="16"/>
      <c r="O839" s="17"/>
      <c r="P839" s="18">
        <f t="shared" si="26"/>
        <v>0</v>
      </c>
      <c r="Q839" s="22" t="e">
        <f t="shared" si="27"/>
        <v>#VALUE!</v>
      </c>
      <c r="R839" s="23"/>
    </row>
    <row r="840" spans="1:18" ht="12.75">
      <c r="A840" s="22"/>
      <c r="D840" s="19"/>
      <c r="H840" s="18"/>
      <c r="J840" s="18"/>
      <c r="N840" s="16"/>
      <c r="O840" s="17"/>
      <c r="P840" s="18">
        <f t="shared" si="26"/>
        <v>0</v>
      </c>
      <c r="Q840" s="22" t="e">
        <f t="shared" si="27"/>
        <v>#VALUE!</v>
      </c>
      <c r="R840" s="23"/>
    </row>
    <row r="841" spans="1:18" ht="12.75">
      <c r="A841" s="22"/>
      <c r="D841" s="19"/>
      <c r="H841" s="18"/>
      <c r="J841" s="18"/>
      <c r="N841" s="16"/>
      <c r="O841" s="17"/>
      <c r="P841" s="18">
        <f t="shared" si="26"/>
        <v>0</v>
      </c>
      <c r="Q841" s="22" t="e">
        <f t="shared" si="27"/>
        <v>#VALUE!</v>
      </c>
      <c r="R841" s="23"/>
    </row>
    <row r="842" spans="1:18" ht="12.75">
      <c r="A842" s="22"/>
      <c r="D842" s="19"/>
      <c r="H842" s="18"/>
      <c r="J842" s="18"/>
      <c r="N842" s="16"/>
      <c r="O842" s="17"/>
      <c r="P842" s="18">
        <f t="shared" si="26"/>
        <v>0</v>
      </c>
      <c r="Q842" s="22" t="e">
        <f t="shared" si="27"/>
        <v>#VALUE!</v>
      </c>
      <c r="R842" s="23"/>
    </row>
    <row r="843" spans="1:18" ht="12.75">
      <c r="A843" s="22"/>
      <c r="D843" s="19"/>
      <c r="H843" s="18"/>
      <c r="J843" s="18"/>
      <c r="N843" s="16"/>
      <c r="O843" s="17"/>
      <c r="P843" s="18">
        <f t="shared" si="26"/>
        <v>0</v>
      </c>
      <c r="Q843" s="22" t="e">
        <f t="shared" si="27"/>
        <v>#VALUE!</v>
      </c>
      <c r="R843" s="23"/>
    </row>
    <row r="844" spans="1:18" ht="12.75">
      <c r="A844" s="22"/>
      <c r="D844" s="19"/>
      <c r="H844" s="18"/>
      <c r="J844" s="18"/>
      <c r="N844" s="16"/>
      <c r="O844" s="17"/>
      <c r="P844" s="18">
        <f t="shared" si="26"/>
        <v>0</v>
      </c>
      <c r="Q844" s="22" t="e">
        <f t="shared" si="27"/>
        <v>#VALUE!</v>
      </c>
      <c r="R844" s="23"/>
    </row>
    <row r="845" spans="1:18" ht="12.75">
      <c r="A845" s="22"/>
      <c r="D845" s="19"/>
      <c r="H845" s="18"/>
      <c r="J845" s="18"/>
      <c r="N845" s="16"/>
      <c r="O845" s="17"/>
      <c r="P845" s="18">
        <f t="shared" si="26"/>
        <v>0</v>
      </c>
      <c r="Q845" s="22" t="e">
        <f t="shared" si="27"/>
        <v>#VALUE!</v>
      </c>
      <c r="R845" s="23"/>
    </row>
    <row r="846" spans="1:18" ht="12.75">
      <c r="A846" s="22"/>
      <c r="D846" s="19"/>
      <c r="H846" s="18"/>
      <c r="J846" s="18"/>
      <c r="N846" s="16"/>
      <c r="O846" s="17"/>
      <c r="P846" s="18">
        <f t="shared" si="26"/>
        <v>0</v>
      </c>
      <c r="Q846" s="22" t="e">
        <f t="shared" si="27"/>
        <v>#VALUE!</v>
      </c>
      <c r="R846" s="23"/>
    </row>
    <row r="847" spans="1:18" ht="12.75">
      <c r="A847" s="22"/>
      <c r="D847" s="19"/>
      <c r="H847" s="18"/>
      <c r="J847" s="18"/>
      <c r="N847" s="16"/>
      <c r="O847" s="17"/>
      <c r="P847" s="18">
        <f t="shared" si="26"/>
        <v>0</v>
      </c>
      <c r="Q847" s="22" t="e">
        <f t="shared" si="27"/>
        <v>#VALUE!</v>
      </c>
      <c r="R847" s="23"/>
    </row>
    <row r="848" spans="1:18" ht="12.75">
      <c r="A848" s="22"/>
      <c r="D848" s="19"/>
      <c r="H848" s="18"/>
      <c r="J848" s="18"/>
      <c r="N848" s="16"/>
      <c r="O848" s="17"/>
      <c r="P848" s="18">
        <f t="shared" si="26"/>
        <v>0</v>
      </c>
      <c r="Q848" s="22" t="e">
        <f t="shared" si="27"/>
        <v>#VALUE!</v>
      </c>
      <c r="R848" s="23"/>
    </row>
    <row r="849" spans="1:18" ht="12.75">
      <c r="A849" s="22"/>
      <c r="D849" s="19"/>
      <c r="H849" s="18"/>
      <c r="J849" s="18"/>
      <c r="N849" s="16"/>
      <c r="O849" s="17"/>
      <c r="P849" s="18">
        <f t="shared" si="26"/>
        <v>0</v>
      </c>
      <c r="Q849" s="22" t="e">
        <f t="shared" si="27"/>
        <v>#VALUE!</v>
      </c>
      <c r="R849" s="23"/>
    </row>
    <row r="850" spans="1:18" ht="12.75">
      <c r="A850" s="22"/>
      <c r="D850" s="19"/>
      <c r="H850" s="18"/>
      <c r="J850" s="18"/>
      <c r="N850" s="16"/>
      <c r="O850" s="17"/>
      <c r="P850" s="18">
        <f t="shared" si="26"/>
        <v>0</v>
      </c>
      <c r="Q850" s="22" t="e">
        <f t="shared" si="27"/>
        <v>#VALUE!</v>
      </c>
      <c r="R850" s="23"/>
    </row>
    <row r="851" spans="1:18" ht="12.75">
      <c r="A851" s="22"/>
      <c r="D851" s="19"/>
      <c r="H851" s="18"/>
      <c r="J851" s="18"/>
      <c r="N851" s="16"/>
      <c r="O851" s="17"/>
      <c r="P851" s="18">
        <f t="shared" si="26"/>
        <v>0</v>
      </c>
      <c r="Q851" s="22" t="e">
        <f t="shared" si="27"/>
        <v>#VALUE!</v>
      </c>
      <c r="R851" s="23"/>
    </row>
    <row r="852" spans="1:18" ht="12.75">
      <c r="A852" s="22"/>
      <c r="D852" s="19"/>
      <c r="H852" s="18"/>
      <c r="J852" s="18"/>
      <c r="N852" s="16"/>
      <c r="O852" s="17"/>
      <c r="P852" s="18">
        <f t="shared" si="26"/>
        <v>0</v>
      </c>
      <c r="Q852" s="22" t="e">
        <f t="shared" si="27"/>
        <v>#VALUE!</v>
      </c>
      <c r="R852" s="23"/>
    </row>
    <row r="853" spans="1:18" ht="12.75">
      <c r="A853" s="22"/>
      <c r="D853" s="19"/>
      <c r="H853" s="18"/>
      <c r="J853" s="18"/>
      <c r="N853" s="16"/>
      <c r="O853" s="17"/>
      <c r="P853" s="18">
        <f t="shared" si="26"/>
        <v>0</v>
      </c>
      <c r="Q853" s="22" t="e">
        <f t="shared" si="27"/>
        <v>#VALUE!</v>
      </c>
      <c r="R853" s="23"/>
    </row>
    <row r="854" spans="1:18" ht="12.75">
      <c r="A854" s="22"/>
      <c r="D854" s="19"/>
      <c r="H854" s="18"/>
      <c r="J854" s="18"/>
      <c r="N854" s="16"/>
      <c r="O854" s="17"/>
      <c r="P854" s="18">
        <f t="shared" si="26"/>
        <v>0</v>
      </c>
      <c r="Q854" s="22" t="e">
        <f t="shared" si="27"/>
        <v>#VALUE!</v>
      </c>
      <c r="R854" s="23"/>
    </row>
    <row r="855" spans="1:18" ht="12.75">
      <c r="A855" s="22"/>
      <c r="D855" s="19"/>
      <c r="H855" s="18"/>
      <c r="J855" s="18"/>
      <c r="N855" s="16"/>
      <c r="O855" s="17"/>
      <c r="P855" s="18">
        <f t="shared" si="26"/>
        <v>0</v>
      </c>
      <c r="Q855" s="22" t="e">
        <f t="shared" si="27"/>
        <v>#VALUE!</v>
      </c>
      <c r="R855" s="23"/>
    </row>
    <row r="856" spans="1:18" ht="12.75">
      <c r="A856" s="22"/>
      <c r="D856" s="19"/>
      <c r="H856" s="18"/>
      <c r="J856" s="18"/>
      <c r="N856" s="16"/>
      <c r="O856" s="17"/>
      <c r="P856" s="18">
        <f t="shared" si="26"/>
        <v>0</v>
      </c>
      <c r="Q856" s="22" t="e">
        <f t="shared" si="27"/>
        <v>#VALUE!</v>
      </c>
      <c r="R856" s="23"/>
    </row>
    <row r="857" spans="1:18" ht="12.75">
      <c r="A857" s="22"/>
      <c r="D857" s="19"/>
      <c r="H857" s="18"/>
      <c r="J857" s="18"/>
      <c r="N857" s="16"/>
      <c r="O857" s="17"/>
      <c r="P857" s="18">
        <f t="shared" si="26"/>
        <v>0</v>
      </c>
      <c r="Q857" s="22" t="e">
        <f t="shared" si="27"/>
        <v>#VALUE!</v>
      </c>
      <c r="R857" s="23"/>
    </row>
    <row r="858" spans="1:18" ht="12.75">
      <c r="A858" s="22"/>
      <c r="D858" s="19"/>
      <c r="H858" s="18"/>
      <c r="J858" s="18"/>
      <c r="N858" s="16"/>
      <c r="O858" s="17"/>
      <c r="P858" s="18">
        <f t="shared" si="26"/>
        <v>0</v>
      </c>
      <c r="Q858" s="22" t="e">
        <f t="shared" si="27"/>
        <v>#VALUE!</v>
      </c>
      <c r="R858" s="23"/>
    </row>
    <row r="859" spans="1:18" ht="12.75">
      <c r="A859" s="22"/>
      <c r="D859" s="19"/>
      <c r="H859" s="18"/>
      <c r="J859" s="18"/>
      <c r="N859" s="16"/>
      <c r="O859" s="17"/>
      <c r="P859" s="18">
        <f t="shared" si="26"/>
        <v>0</v>
      </c>
      <c r="Q859" s="22" t="e">
        <f t="shared" si="27"/>
        <v>#VALUE!</v>
      </c>
      <c r="R859" s="23"/>
    </row>
    <row r="860" spans="1:18" ht="12.75">
      <c r="A860" s="22"/>
      <c r="D860" s="19"/>
      <c r="H860" s="18"/>
      <c r="J860" s="18"/>
      <c r="N860" s="16"/>
      <c r="O860" s="17"/>
      <c r="P860" s="18">
        <f t="shared" si="26"/>
        <v>0</v>
      </c>
      <c r="Q860" s="22" t="e">
        <f t="shared" si="27"/>
        <v>#VALUE!</v>
      </c>
      <c r="R860" s="23"/>
    </row>
    <row r="861" spans="1:18" ht="12.75">
      <c r="A861" s="22"/>
      <c r="D861" s="19"/>
      <c r="H861" s="18"/>
      <c r="J861" s="18"/>
      <c r="N861" s="16"/>
      <c r="O861" s="17"/>
      <c r="P861" s="18">
        <f t="shared" si="26"/>
        <v>0</v>
      </c>
      <c r="Q861" s="22" t="e">
        <f t="shared" si="27"/>
        <v>#VALUE!</v>
      </c>
      <c r="R861" s="23"/>
    </row>
    <row r="862" spans="1:18" ht="12.75">
      <c r="A862" s="22"/>
      <c r="D862" s="19"/>
      <c r="H862" s="18"/>
      <c r="J862" s="18"/>
      <c r="N862" s="16"/>
      <c r="O862" s="17"/>
      <c r="P862" s="18">
        <f t="shared" si="26"/>
        <v>0</v>
      </c>
      <c r="Q862" s="22" t="e">
        <f t="shared" si="27"/>
        <v>#VALUE!</v>
      </c>
      <c r="R862" s="23"/>
    </row>
    <row r="863" spans="1:18" ht="12.75">
      <c r="A863" s="22"/>
      <c r="D863" s="19"/>
      <c r="H863" s="18"/>
      <c r="J863" s="18"/>
      <c r="N863" s="16"/>
      <c r="O863" s="17"/>
      <c r="P863" s="18">
        <f t="shared" si="26"/>
        <v>0</v>
      </c>
      <c r="Q863" s="22" t="e">
        <f t="shared" si="27"/>
        <v>#VALUE!</v>
      </c>
      <c r="R863" s="23"/>
    </row>
    <row r="864" spans="1:18" ht="12.75">
      <c r="A864" s="22"/>
      <c r="D864" s="19"/>
      <c r="H864" s="18"/>
      <c r="J864" s="18"/>
      <c r="N864" s="16"/>
      <c r="O864" s="17"/>
      <c r="P864" s="18">
        <f t="shared" si="26"/>
        <v>0</v>
      </c>
      <c r="Q864" s="22" t="e">
        <f t="shared" si="27"/>
        <v>#VALUE!</v>
      </c>
      <c r="R864" s="23"/>
    </row>
    <row r="865" spans="1:18" ht="12.75">
      <c r="A865" s="22"/>
      <c r="D865" s="19"/>
      <c r="H865" s="18"/>
      <c r="J865" s="18"/>
      <c r="N865" s="16"/>
      <c r="O865" s="17"/>
      <c r="P865" s="18">
        <f t="shared" si="26"/>
        <v>0</v>
      </c>
      <c r="Q865" s="22" t="e">
        <f t="shared" si="27"/>
        <v>#VALUE!</v>
      </c>
      <c r="R865" s="23"/>
    </row>
    <row r="866" spans="1:18" ht="12.75">
      <c r="A866" s="22"/>
      <c r="D866" s="19"/>
      <c r="H866" s="18"/>
      <c r="J866" s="18"/>
      <c r="N866" s="16"/>
      <c r="O866" s="17"/>
      <c r="P866" s="18">
        <f t="shared" si="26"/>
        <v>0</v>
      </c>
      <c r="Q866" s="22" t="e">
        <f t="shared" si="27"/>
        <v>#VALUE!</v>
      </c>
      <c r="R866" s="23"/>
    </row>
    <row r="867" spans="1:18" ht="12.75">
      <c r="A867" s="22"/>
      <c r="D867" s="19"/>
      <c r="H867" s="18"/>
      <c r="J867" s="18"/>
      <c r="N867" s="16"/>
      <c r="O867" s="17"/>
      <c r="P867" s="18">
        <f t="shared" si="26"/>
        <v>0</v>
      </c>
      <c r="Q867" s="22" t="e">
        <f t="shared" si="27"/>
        <v>#VALUE!</v>
      </c>
      <c r="R867" s="23"/>
    </row>
    <row r="868" spans="1:18" ht="12.75">
      <c r="A868" s="22"/>
      <c r="D868" s="19"/>
      <c r="H868" s="18"/>
      <c r="J868" s="18"/>
      <c r="N868" s="16"/>
      <c r="O868" s="17"/>
      <c r="P868" s="18">
        <f t="shared" si="26"/>
        <v>0</v>
      </c>
      <c r="Q868" s="22" t="e">
        <f t="shared" si="27"/>
        <v>#VALUE!</v>
      </c>
      <c r="R868" s="23"/>
    </row>
    <row r="869" spans="1:18" ht="12.75">
      <c r="A869" s="22"/>
      <c r="D869" s="19"/>
      <c r="H869" s="18"/>
      <c r="J869" s="18"/>
      <c r="N869" s="16"/>
      <c r="O869" s="17"/>
      <c r="P869" s="18">
        <f t="shared" si="26"/>
        <v>0</v>
      </c>
      <c r="Q869" s="22" t="e">
        <f t="shared" si="27"/>
        <v>#VALUE!</v>
      </c>
      <c r="R869" s="23"/>
    </row>
    <row r="870" spans="1:18" ht="12.75">
      <c r="A870" s="22"/>
      <c r="D870" s="19"/>
      <c r="H870" s="18"/>
      <c r="J870" s="18"/>
      <c r="N870" s="16"/>
      <c r="O870" s="17"/>
      <c r="P870" s="18">
        <f t="shared" si="26"/>
        <v>0</v>
      </c>
      <c r="Q870" s="22" t="e">
        <f t="shared" si="27"/>
        <v>#VALUE!</v>
      </c>
      <c r="R870" s="23"/>
    </row>
    <row r="871" spans="1:18" ht="12.75">
      <c r="A871" s="22"/>
      <c r="D871" s="19"/>
      <c r="H871" s="18"/>
      <c r="J871" s="18"/>
      <c r="N871" s="16"/>
      <c r="O871" s="17"/>
      <c r="P871" s="18">
        <f t="shared" si="26"/>
        <v>0</v>
      </c>
      <c r="Q871" s="22" t="e">
        <f t="shared" si="27"/>
        <v>#VALUE!</v>
      </c>
      <c r="R871" s="23"/>
    </row>
    <row r="872" spans="1:18" ht="12.75">
      <c r="A872" s="22"/>
      <c r="D872" s="19"/>
      <c r="H872" s="18"/>
      <c r="J872" s="18"/>
      <c r="N872" s="16"/>
      <c r="O872" s="17"/>
      <c r="P872" s="18">
        <f t="shared" si="26"/>
        <v>0</v>
      </c>
      <c r="Q872" s="22" t="e">
        <f t="shared" si="27"/>
        <v>#VALUE!</v>
      </c>
      <c r="R872" s="23"/>
    </row>
    <row r="873" spans="1:18" ht="12.75">
      <c r="A873" s="22"/>
      <c r="D873" s="19"/>
      <c r="H873" s="18"/>
      <c r="J873" s="18"/>
      <c r="N873" s="16"/>
      <c r="O873" s="17"/>
      <c r="P873" s="18">
        <f t="shared" si="26"/>
        <v>0</v>
      </c>
      <c r="Q873" s="22" t="e">
        <f t="shared" si="27"/>
        <v>#VALUE!</v>
      </c>
      <c r="R873" s="23"/>
    </row>
    <row r="874" spans="1:18" ht="12.75">
      <c r="A874" s="22"/>
      <c r="D874" s="19"/>
      <c r="H874" s="18"/>
      <c r="J874" s="18"/>
      <c r="N874" s="16"/>
      <c r="O874" s="17"/>
      <c r="P874" s="18">
        <f t="shared" si="26"/>
        <v>0</v>
      </c>
      <c r="Q874" s="22" t="e">
        <f t="shared" si="27"/>
        <v>#VALUE!</v>
      </c>
      <c r="R874" s="23"/>
    </row>
    <row r="875" spans="1:18" ht="12.75">
      <c r="A875" s="22"/>
      <c r="D875" s="19"/>
      <c r="H875" s="18"/>
      <c r="J875" s="18"/>
      <c r="N875" s="16"/>
      <c r="O875" s="17"/>
      <c r="P875" s="18">
        <f t="shared" si="26"/>
        <v>0</v>
      </c>
      <c r="Q875" s="22" t="e">
        <f t="shared" si="27"/>
        <v>#VALUE!</v>
      </c>
      <c r="R875" s="23"/>
    </row>
    <row r="876" spans="1:18" ht="12.75">
      <c r="A876" s="22"/>
      <c r="D876" s="19"/>
      <c r="H876" s="18"/>
      <c r="J876" s="18"/>
      <c r="N876" s="16"/>
      <c r="O876" s="17"/>
      <c r="P876" s="18">
        <f t="shared" si="26"/>
        <v>0</v>
      </c>
      <c r="Q876" s="22" t="e">
        <f t="shared" si="27"/>
        <v>#VALUE!</v>
      </c>
      <c r="R876" s="23"/>
    </row>
    <row r="877" spans="1:18" ht="12.75">
      <c r="A877" s="22"/>
      <c r="D877" s="19"/>
      <c r="H877" s="18"/>
      <c r="J877" s="18"/>
      <c r="N877" s="16"/>
      <c r="O877" s="17"/>
      <c r="P877" s="18">
        <f t="shared" si="26"/>
        <v>0</v>
      </c>
      <c r="Q877" s="22" t="e">
        <f t="shared" si="27"/>
        <v>#VALUE!</v>
      </c>
      <c r="R877" s="23"/>
    </row>
    <row r="878" spans="1:18" ht="12.75">
      <c r="A878" s="22"/>
      <c r="D878" s="19"/>
      <c r="H878" s="18"/>
      <c r="J878" s="18"/>
      <c r="N878" s="16"/>
      <c r="O878" s="17"/>
      <c r="P878" s="18">
        <f t="shared" si="26"/>
        <v>0</v>
      </c>
      <c r="Q878" s="22" t="e">
        <f t="shared" si="27"/>
        <v>#VALUE!</v>
      </c>
      <c r="R878" s="23"/>
    </row>
    <row r="879" spans="1:18" ht="12.75">
      <c r="A879" s="22"/>
      <c r="D879" s="19"/>
      <c r="H879" s="18"/>
      <c r="J879" s="18"/>
      <c r="N879" s="16"/>
      <c r="O879" s="17"/>
      <c r="P879" s="18">
        <f t="shared" si="26"/>
        <v>0</v>
      </c>
      <c r="Q879" s="22" t="e">
        <f t="shared" si="27"/>
        <v>#VALUE!</v>
      </c>
      <c r="R879" s="23"/>
    </row>
    <row r="880" spans="1:18" ht="12.75">
      <c r="A880" s="22"/>
      <c r="D880" s="19"/>
      <c r="H880" s="18"/>
      <c r="J880" s="18"/>
      <c r="N880" s="16"/>
      <c r="O880" s="17"/>
      <c r="P880" s="18">
        <f t="shared" si="26"/>
        <v>0</v>
      </c>
      <c r="Q880" s="22" t="e">
        <f t="shared" si="27"/>
        <v>#VALUE!</v>
      </c>
      <c r="R880" s="23"/>
    </row>
    <row r="881" spans="1:18" ht="12.75">
      <c r="A881" s="22"/>
      <c r="D881" s="19"/>
      <c r="H881" s="18"/>
      <c r="J881" s="18"/>
      <c r="N881" s="16"/>
      <c r="O881" s="17"/>
      <c r="P881" s="18">
        <f t="shared" si="26"/>
        <v>0</v>
      </c>
      <c r="Q881" s="22" t="e">
        <f t="shared" si="27"/>
        <v>#VALUE!</v>
      </c>
      <c r="R881" s="23"/>
    </row>
    <row r="882" spans="1:18" ht="12.75">
      <c r="A882" s="22"/>
      <c r="D882" s="19"/>
      <c r="H882" s="18"/>
      <c r="J882" s="18"/>
      <c r="N882" s="16"/>
      <c r="O882" s="17"/>
      <c r="P882" s="18">
        <f t="shared" si="26"/>
        <v>0</v>
      </c>
      <c r="Q882" s="22" t="e">
        <f t="shared" si="27"/>
        <v>#VALUE!</v>
      </c>
      <c r="R882" s="23"/>
    </row>
    <row r="883" spans="1:18" ht="12.75">
      <c r="A883" s="22"/>
      <c r="D883" s="19"/>
      <c r="H883" s="18"/>
      <c r="J883" s="18"/>
      <c r="N883" s="16"/>
      <c r="O883" s="17"/>
      <c r="P883" s="18">
        <f t="shared" si="26"/>
        <v>0</v>
      </c>
      <c r="Q883" s="22" t="e">
        <f t="shared" si="27"/>
        <v>#VALUE!</v>
      </c>
      <c r="R883" s="23"/>
    </row>
    <row r="884" spans="1:18" ht="12.75">
      <c r="A884" s="22"/>
      <c r="D884" s="19"/>
      <c r="H884" s="18"/>
      <c r="J884" s="18"/>
      <c r="N884" s="16"/>
      <c r="O884" s="17"/>
      <c r="P884" s="18">
        <f t="shared" si="26"/>
        <v>0</v>
      </c>
      <c r="Q884" s="22" t="e">
        <f t="shared" si="27"/>
        <v>#VALUE!</v>
      </c>
      <c r="R884" s="23"/>
    </row>
    <row r="885" spans="1:18" ht="12.75">
      <c r="A885" s="22"/>
      <c r="D885" s="19"/>
      <c r="H885" s="18"/>
      <c r="J885" s="18"/>
      <c r="N885" s="16"/>
      <c r="O885" s="17"/>
      <c r="P885" s="18">
        <f t="shared" si="26"/>
        <v>0</v>
      </c>
      <c r="Q885" s="22" t="e">
        <f t="shared" si="27"/>
        <v>#VALUE!</v>
      </c>
      <c r="R885" s="23"/>
    </row>
    <row r="886" spans="1:18" ht="12.75">
      <c r="A886" s="22"/>
      <c r="D886" s="19"/>
      <c r="H886" s="18"/>
      <c r="J886" s="18"/>
      <c r="N886" s="16"/>
      <c r="O886" s="17"/>
      <c r="P886" s="18">
        <f t="shared" si="26"/>
        <v>0</v>
      </c>
      <c r="Q886" s="22" t="e">
        <f t="shared" si="27"/>
        <v>#VALUE!</v>
      </c>
      <c r="R886" s="23"/>
    </row>
    <row r="887" spans="1:18" ht="12.75">
      <c r="A887" s="22"/>
      <c r="D887" s="19"/>
      <c r="H887" s="18"/>
      <c r="J887" s="18"/>
      <c r="N887" s="16"/>
      <c r="O887" s="17"/>
      <c r="P887" s="18">
        <f t="shared" si="26"/>
        <v>0</v>
      </c>
      <c r="Q887" s="22" t="e">
        <f t="shared" si="27"/>
        <v>#VALUE!</v>
      </c>
      <c r="R887" s="23"/>
    </row>
    <row r="888" spans="1:18" ht="12.75">
      <c r="A888" s="22"/>
      <c r="D888" s="19"/>
      <c r="H888" s="18"/>
      <c r="J888" s="18"/>
      <c r="N888" s="16"/>
      <c r="O888" s="17"/>
      <c r="P888" s="18">
        <f t="shared" si="26"/>
        <v>0</v>
      </c>
      <c r="Q888" s="22" t="e">
        <f t="shared" si="27"/>
        <v>#VALUE!</v>
      </c>
      <c r="R888" s="23"/>
    </row>
    <row r="889" spans="1:18" ht="12.75">
      <c r="A889" s="22"/>
      <c r="D889" s="19"/>
      <c r="H889" s="18"/>
      <c r="J889" s="18"/>
      <c r="N889" s="16"/>
      <c r="O889" s="17"/>
      <c r="P889" s="18">
        <f t="shared" si="26"/>
        <v>0</v>
      </c>
      <c r="Q889" s="22" t="e">
        <f t="shared" si="27"/>
        <v>#VALUE!</v>
      </c>
      <c r="R889" s="23"/>
    </row>
    <row r="890" spans="1:18" ht="12.75">
      <c r="A890" s="22"/>
      <c r="D890" s="19"/>
      <c r="H890" s="18"/>
      <c r="J890" s="18"/>
      <c r="N890" s="16"/>
      <c r="O890" s="17"/>
      <c r="P890" s="18">
        <f t="shared" si="26"/>
        <v>0</v>
      </c>
      <c r="Q890" s="22" t="e">
        <f t="shared" si="27"/>
        <v>#VALUE!</v>
      </c>
      <c r="R890" s="23"/>
    </row>
    <row r="891" spans="1:18" ht="12.75">
      <c r="A891" s="22"/>
      <c r="D891" s="19"/>
      <c r="H891" s="18"/>
      <c r="J891" s="18"/>
      <c r="N891" s="16"/>
      <c r="O891" s="17"/>
      <c r="P891" s="18">
        <f t="shared" si="26"/>
        <v>0</v>
      </c>
      <c r="Q891" s="22" t="e">
        <f t="shared" si="27"/>
        <v>#VALUE!</v>
      </c>
      <c r="R891" s="23"/>
    </row>
    <row r="892" spans="1:18" ht="12.75">
      <c r="A892" s="22"/>
      <c r="D892" s="19"/>
      <c r="H892" s="18"/>
      <c r="J892" s="18"/>
      <c r="N892" s="16"/>
      <c r="O892" s="17"/>
      <c r="P892" s="18">
        <f t="shared" si="26"/>
        <v>0</v>
      </c>
      <c r="Q892" s="22" t="e">
        <f t="shared" si="27"/>
        <v>#VALUE!</v>
      </c>
      <c r="R892" s="23"/>
    </row>
    <row r="893" spans="1:18" ht="12.75">
      <c r="A893" s="22"/>
      <c r="D893" s="19"/>
      <c r="H893" s="18"/>
      <c r="J893" s="18"/>
      <c r="N893" s="16"/>
      <c r="O893" s="17"/>
      <c r="P893" s="18">
        <f t="shared" si="26"/>
        <v>0</v>
      </c>
      <c r="Q893" s="22" t="e">
        <f t="shared" si="27"/>
        <v>#VALUE!</v>
      </c>
      <c r="R893" s="23"/>
    </row>
    <row r="894" spans="1:18" ht="12.75">
      <c r="A894" s="22"/>
      <c r="D894" s="19"/>
      <c r="H894" s="18"/>
      <c r="J894" s="18"/>
      <c r="N894" s="16"/>
      <c r="O894" s="17"/>
      <c r="P894" s="18">
        <f t="shared" si="26"/>
        <v>0</v>
      </c>
      <c r="Q894" s="22" t="e">
        <f t="shared" si="27"/>
        <v>#VALUE!</v>
      </c>
      <c r="R894" s="23"/>
    </row>
    <row r="895" spans="1:18" ht="12.75">
      <c r="A895" s="22"/>
      <c r="D895" s="19"/>
      <c r="H895" s="18"/>
      <c r="J895" s="18"/>
      <c r="N895" s="16"/>
      <c r="O895" s="17"/>
      <c r="P895" s="18">
        <f t="shared" si="26"/>
        <v>0</v>
      </c>
      <c r="Q895" s="22" t="e">
        <f t="shared" si="27"/>
        <v>#VALUE!</v>
      </c>
      <c r="R895" s="23"/>
    </row>
    <row r="896" spans="1:18" ht="12.75">
      <c r="A896" s="22"/>
      <c r="D896" s="19"/>
      <c r="H896" s="18"/>
      <c r="J896" s="18"/>
      <c r="N896" s="16"/>
      <c r="O896" s="17"/>
      <c r="P896" s="18">
        <f t="shared" si="26"/>
        <v>0</v>
      </c>
      <c r="Q896" s="22" t="e">
        <f t="shared" si="27"/>
        <v>#VALUE!</v>
      </c>
      <c r="R896" s="23"/>
    </row>
    <row r="897" spans="1:18" ht="12.75">
      <c r="A897" s="22"/>
      <c r="D897" s="19"/>
      <c r="H897" s="18"/>
      <c r="J897" s="18"/>
      <c r="N897" s="16"/>
      <c r="O897" s="17"/>
      <c r="P897" s="18">
        <f t="shared" si="26"/>
        <v>0</v>
      </c>
      <c r="Q897" s="22" t="e">
        <f t="shared" si="27"/>
        <v>#VALUE!</v>
      </c>
      <c r="R897" s="23"/>
    </row>
    <row r="898" spans="1:18" ht="12.75">
      <c r="A898" s="22"/>
      <c r="D898" s="19"/>
      <c r="H898" s="18"/>
      <c r="J898" s="18"/>
      <c r="N898" s="16"/>
      <c r="O898" s="17"/>
      <c r="P898" s="18">
        <f t="shared" si="26"/>
        <v>0</v>
      </c>
      <c r="Q898" s="22" t="e">
        <f t="shared" si="27"/>
        <v>#VALUE!</v>
      </c>
      <c r="R898" s="23"/>
    </row>
    <row r="899" spans="1:18" ht="12.75">
      <c r="A899" s="22"/>
      <c r="D899" s="19"/>
      <c r="H899" s="18"/>
      <c r="J899" s="18"/>
      <c r="N899" s="16"/>
      <c r="O899" s="17"/>
      <c r="P899" s="18">
        <f t="shared" si="26"/>
        <v>0</v>
      </c>
      <c r="Q899" s="22" t="e">
        <f t="shared" si="27"/>
        <v>#VALUE!</v>
      </c>
      <c r="R899" s="23"/>
    </row>
    <row r="900" spans="1:18" ht="12.75">
      <c r="A900" s="22"/>
      <c r="D900" s="19"/>
      <c r="H900" s="18"/>
      <c r="J900" s="18"/>
      <c r="N900" s="16"/>
      <c r="O900" s="17"/>
      <c r="P900" s="18">
        <f t="shared" si="26"/>
        <v>0</v>
      </c>
      <c r="Q900" s="22" t="e">
        <f t="shared" si="27"/>
        <v>#VALUE!</v>
      </c>
      <c r="R900" s="23"/>
    </row>
    <row r="901" spans="1:18" ht="12.75">
      <c r="A901" s="22"/>
      <c r="D901" s="19"/>
      <c r="H901" s="18"/>
      <c r="J901" s="18"/>
      <c r="N901" s="16"/>
      <c r="O901" s="17"/>
      <c r="P901" s="18">
        <f t="shared" ref="P901:P964" si="28">H901+J901+S901</f>
        <v>0</v>
      </c>
      <c r="Q901" s="22" t="e">
        <f t="shared" ref="Q901:Q964" si="29">DATEVALUE(A901)</f>
        <v>#VALUE!</v>
      </c>
      <c r="R901" s="23"/>
    </row>
    <row r="902" spans="1:18" ht="12.75">
      <c r="A902" s="22"/>
      <c r="D902" s="19"/>
      <c r="H902" s="18"/>
      <c r="J902" s="18"/>
      <c r="N902" s="16"/>
      <c r="O902" s="17"/>
      <c r="P902" s="18">
        <f t="shared" si="28"/>
        <v>0</v>
      </c>
      <c r="Q902" s="22" t="e">
        <f t="shared" si="29"/>
        <v>#VALUE!</v>
      </c>
      <c r="R902" s="23"/>
    </row>
    <row r="903" spans="1:18" ht="12.75">
      <c r="A903" s="22"/>
      <c r="D903" s="19"/>
      <c r="H903" s="18"/>
      <c r="J903" s="18"/>
      <c r="N903" s="16"/>
      <c r="O903" s="17"/>
      <c r="P903" s="18">
        <f t="shared" si="28"/>
        <v>0</v>
      </c>
      <c r="Q903" s="22" t="e">
        <f t="shared" si="29"/>
        <v>#VALUE!</v>
      </c>
      <c r="R903" s="23"/>
    </row>
    <row r="904" spans="1:18" ht="12.75">
      <c r="A904" s="22"/>
      <c r="D904" s="19"/>
      <c r="H904" s="18"/>
      <c r="J904" s="18"/>
      <c r="N904" s="16"/>
      <c r="O904" s="17"/>
      <c r="P904" s="18">
        <f t="shared" si="28"/>
        <v>0</v>
      </c>
      <c r="Q904" s="22" t="e">
        <f t="shared" si="29"/>
        <v>#VALUE!</v>
      </c>
      <c r="R904" s="23"/>
    </row>
    <row r="905" spans="1:18" ht="12.75">
      <c r="A905" s="22"/>
      <c r="D905" s="19"/>
      <c r="H905" s="18"/>
      <c r="J905" s="18"/>
      <c r="N905" s="16"/>
      <c r="O905" s="17"/>
      <c r="P905" s="18">
        <f t="shared" si="28"/>
        <v>0</v>
      </c>
      <c r="Q905" s="22" t="e">
        <f t="shared" si="29"/>
        <v>#VALUE!</v>
      </c>
      <c r="R905" s="23"/>
    </row>
    <row r="906" spans="1:18" ht="12.75">
      <c r="A906" s="22"/>
      <c r="D906" s="19"/>
      <c r="H906" s="18"/>
      <c r="J906" s="18"/>
      <c r="N906" s="16"/>
      <c r="O906" s="17"/>
      <c r="P906" s="18">
        <f t="shared" si="28"/>
        <v>0</v>
      </c>
      <c r="Q906" s="22" t="e">
        <f t="shared" si="29"/>
        <v>#VALUE!</v>
      </c>
      <c r="R906" s="23"/>
    </row>
    <row r="907" spans="1:18" ht="12.75">
      <c r="A907" s="22"/>
      <c r="D907" s="19"/>
      <c r="H907" s="18"/>
      <c r="J907" s="18"/>
      <c r="N907" s="16"/>
      <c r="O907" s="17"/>
      <c r="P907" s="18">
        <f t="shared" si="28"/>
        <v>0</v>
      </c>
      <c r="Q907" s="22" t="e">
        <f t="shared" si="29"/>
        <v>#VALUE!</v>
      </c>
      <c r="R907" s="23"/>
    </row>
    <row r="908" spans="1:18" ht="12.75">
      <c r="A908" s="22"/>
      <c r="D908" s="19"/>
      <c r="H908" s="18"/>
      <c r="J908" s="18"/>
      <c r="N908" s="16"/>
      <c r="O908" s="17"/>
      <c r="P908" s="18">
        <f t="shared" si="28"/>
        <v>0</v>
      </c>
      <c r="Q908" s="22" t="e">
        <f t="shared" si="29"/>
        <v>#VALUE!</v>
      </c>
      <c r="R908" s="23"/>
    </row>
    <row r="909" spans="1:18" ht="12.75">
      <c r="A909" s="22"/>
      <c r="D909" s="19"/>
      <c r="H909" s="18"/>
      <c r="J909" s="18"/>
      <c r="N909" s="16"/>
      <c r="O909" s="17"/>
      <c r="P909" s="18">
        <f t="shared" si="28"/>
        <v>0</v>
      </c>
      <c r="Q909" s="22" t="e">
        <f t="shared" si="29"/>
        <v>#VALUE!</v>
      </c>
      <c r="R909" s="23"/>
    </row>
    <row r="910" spans="1:18" ht="12.75">
      <c r="A910" s="22"/>
      <c r="D910" s="19"/>
      <c r="H910" s="18"/>
      <c r="J910" s="18"/>
      <c r="N910" s="16"/>
      <c r="O910" s="17"/>
      <c r="P910" s="18">
        <f t="shared" si="28"/>
        <v>0</v>
      </c>
      <c r="Q910" s="22" t="e">
        <f t="shared" si="29"/>
        <v>#VALUE!</v>
      </c>
      <c r="R910" s="23"/>
    </row>
    <row r="911" spans="1:18" ht="12.75">
      <c r="A911" s="22"/>
      <c r="D911" s="19"/>
      <c r="H911" s="18"/>
      <c r="J911" s="18"/>
      <c r="N911" s="16"/>
      <c r="O911" s="17"/>
      <c r="P911" s="18">
        <f t="shared" si="28"/>
        <v>0</v>
      </c>
      <c r="Q911" s="22" t="e">
        <f t="shared" si="29"/>
        <v>#VALUE!</v>
      </c>
      <c r="R911" s="23"/>
    </row>
    <row r="912" spans="1:18" ht="12.75">
      <c r="A912" s="22"/>
      <c r="D912" s="19"/>
      <c r="H912" s="18"/>
      <c r="J912" s="18"/>
      <c r="N912" s="16"/>
      <c r="O912" s="17"/>
      <c r="P912" s="18">
        <f t="shared" si="28"/>
        <v>0</v>
      </c>
      <c r="Q912" s="22" t="e">
        <f t="shared" si="29"/>
        <v>#VALUE!</v>
      </c>
      <c r="R912" s="23"/>
    </row>
    <row r="913" spans="1:18" ht="12.75">
      <c r="A913" s="22"/>
      <c r="D913" s="19"/>
      <c r="H913" s="18"/>
      <c r="J913" s="18"/>
      <c r="N913" s="16"/>
      <c r="O913" s="17"/>
      <c r="P913" s="18">
        <f t="shared" si="28"/>
        <v>0</v>
      </c>
      <c r="Q913" s="22" t="e">
        <f t="shared" si="29"/>
        <v>#VALUE!</v>
      </c>
      <c r="R913" s="23"/>
    </row>
    <row r="914" spans="1:18" ht="12.75">
      <c r="A914" s="22"/>
      <c r="D914" s="19"/>
      <c r="H914" s="18"/>
      <c r="J914" s="18"/>
      <c r="N914" s="16"/>
      <c r="O914" s="17"/>
      <c r="P914" s="18">
        <f t="shared" si="28"/>
        <v>0</v>
      </c>
      <c r="Q914" s="22" t="e">
        <f t="shared" si="29"/>
        <v>#VALUE!</v>
      </c>
      <c r="R914" s="23"/>
    </row>
    <row r="915" spans="1:18" ht="12.75">
      <c r="A915" s="22"/>
      <c r="D915" s="19"/>
      <c r="H915" s="18"/>
      <c r="J915" s="18"/>
      <c r="N915" s="16"/>
      <c r="O915" s="17"/>
      <c r="P915" s="18">
        <f t="shared" si="28"/>
        <v>0</v>
      </c>
      <c r="Q915" s="22" t="e">
        <f t="shared" si="29"/>
        <v>#VALUE!</v>
      </c>
      <c r="R915" s="23"/>
    </row>
    <row r="916" spans="1:18" ht="12.75">
      <c r="A916" s="22"/>
      <c r="D916" s="19"/>
      <c r="H916" s="18"/>
      <c r="J916" s="18"/>
      <c r="N916" s="16"/>
      <c r="O916" s="17"/>
      <c r="P916" s="18">
        <f t="shared" si="28"/>
        <v>0</v>
      </c>
      <c r="Q916" s="22" t="e">
        <f t="shared" si="29"/>
        <v>#VALUE!</v>
      </c>
      <c r="R916" s="23"/>
    </row>
    <row r="917" spans="1:18" ht="12.75">
      <c r="A917" s="22"/>
      <c r="D917" s="19"/>
      <c r="H917" s="18"/>
      <c r="J917" s="18"/>
      <c r="N917" s="16"/>
      <c r="O917" s="17"/>
      <c r="P917" s="18">
        <f t="shared" si="28"/>
        <v>0</v>
      </c>
      <c r="Q917" s="22" t="e">
        <f t="shared" si="29"/>
        <v>#VALUE!</v>
      </c>
      <c r="R917" s="23"/>
    </row>
    <row r="918" spans="1:18" ht="12.75">
      <c r="A918" s="22"/>
      <c r="D918" s="19"/>
      <c r="H918" s="18"/>
      <c r="J918" s="18"/>
      <c r="N918" s="16"/>
      <c r="O918" s="17"/>
      <c r="P918" s="18">
        <f t="shared" si="28"/>
        <v>0</v>
      </c>
      <c r="Q918" s="22" t="e">
        <f t="shared" si="29"/>
        <v>#VALUE!</v>
      </c>
      <c r="R918" s="23"/>
    </row>
    <row r="919" spans="1:18" ht="12.75">
      <c r="A919" s="22"/>
      <c r="D919" s="19"/>
      <c r="H919" s="18"/>
      <c r="J919" s="18"/>
      <c r="N919" s="16"/>
      <c r="O919" s="17"/>
      <c r="P919" s="18">
        <f t="shared" si="28"/>
        <v>0</v>
      </c>
      <c r="Q919" s="22" t="e">
        <f t="shared" si="29"/>
        <v>#VALUE!</v>
      </c>
      <c r="R919" s="23"/>
    </row>
    <row r="920" spans="1:18" ht="12.75">
      <c r="A920" s="22"/>
      <c r="D920" s="19"/>
      <c r="H920" s="18"/>
      <c r="J920" s="18"/>
      <c r="N920" s="16"/>
      <c r="O920" s="17"/>
      <c r="P920" s="18">
        <f t="shared" si="28"/>
        <v>0</v>
      </c>
      <c r="Q920" s="22" t="e">
        <f t="shared" si="29"/>
        <v>#VALUE!</v>
      </c>
      <c r="R920" s="23"/>
    </row>
    <row r="921" spans="1:18" ht="12.75">
      <c r="A921" s="22"/>
      <c r="D921" s="19"/>
      <c r="H921" s="18"/>
      <c r="J921" s="18"/>
      <c r="N921" s="16"/>
      <c r="O921" s="17"/>
      <c r="P921" s="18">
        <f t="shared" si="28"/>
        <v>0</v>
      </c>
      <c r="Q921" s="22" t="e">
        <f t="shared" si="29"/>
        <v>#VALUE!</v>
      </c>
      <c r="R921" s="23"/>
    </row>
    <row r="922" spans="1:18" ht="12.75">
      <c r="A922" s="22"/>
      <c r="D922" s="19"/>
      <c r="H922" s="18"/>
      <c r="J922" s="18"/>
      <c r="N922" s="16"/>
      <c r="O922" s="17"/>
      <c r="P922" s="18">
        <f t="shared" si="28"/>
        <v>0</v>
      </c>
      <c r="Q922" s="22" t="e">
        <f t="shared" si="29"/>
        <v>#VALUE!</v>
      </c>
      <c r="R922" s="23"/>
    </row>
    <row r="923" spans="1:18" ht="12.75">
      <c r="A923" s="22"/>
      <c r="D923" s="19"/>
      <c r="H923" s="18"/>
      <c r="J923" s="18"/>
      <c r="N923" s="16"/>
      <c r="O923" s="17"/>
      <c r="P923" s="18">
        <f t="shared" si="28"/>
        <v>0</v>
      </c>
      <c r="Q923" s="22" t="e">
        <f t="shared" si="29"/>
        <v>#VALUE!</v>
      </c>
      <c r="R923" s="23"/>
    </row>
    <row r="924" spans="1:18" ht="12.75">
      <c r="A924" s="22"/>
      <c r="D924" s="19"/>
      <c r="H924" s="18"/>
      <c r="J924" s="18"/>
      <c r="N924" s="16"/>
      <c r="O924" s="17"/>
      <c r="P924" s="18">
        <f t="shared" si="28"/>
        <v>0</v>
      </c>
      <c r="Q924" s="22" t="e">
        <f t="shared" si="29"/>
        <v>#VALUE!</v>
      </c>
      <c r="R924" s="23"/>
    </row>
    <row r="925" spans="1:18" ht="12.75">
      <c r="A925" s="22"/>
      <c r="D925" s="19"/>
      <c r="H925" s="18"/>
      <c r="J925" s="18"/>
      <c r="N925" s="16"/>
      <c r="O925" s="17"/>
      <c r="P925" s="18">
        <f t="shared" si="28"/>
        <v>0</v>
      </c>
      <c r="Q925" s="22" t="e">
        <f t="shared" si="29"/>
        <v>#VALUE!</v>
      </c>
      <c r="R925" s="23"/>
    </row>
    <row r="926" spans="1:18" ht="12.75">
      <c r="A926" s="22"/>
      <c r="D926" s="19"/>
      <c r="H926" s="18"/>
      <c r="J926" s="18"/>
      <c r="N926" s="16"/>
      <c r="O926" s="17"/>
      <c r="P926" s="18">
        <f t="shared" si="28"/>
        <v>0</v>
      </c>
      <c r="Q926" s="22" t="e">
        <f t="shared" si="29"/>
        <v>#VALUE!</v>
      </c>
      <c r="R926" s="23"/>
    </row>
    <row r="927" spans="1:18" ht="12.75">
      <c r="A927" s="22"/>
      <c r="D927" s="19"/>
      <c r="H927" s="18"/>
      <c r="J927" s="18"/>
      <c r="N927" s="16"/>
      <c r="O927" s="17"/>
      <c r="P927" s="18">
        <f t="shared" si="28"/>
        <v>0</v>
      </c>
      <c r="Q927" s="22" t="e">
        <f t="shared" si="29"/>
        <v>#VALUE!</v>
      </c>
      <c r="R927" s="23"/>
    </row>
    <row r="928" spans="1:18" ht="12.75">
      <c r="A928" s="22"/>
      <c r="D928" s="19"/>
      <c r="H928" s="18"/>
      <c r="J928" s="18"/>
      <c r="N928" s="16"/>
      <c r="O928" s="17"/>
      <c r="P928" s="18">
        <f t="shared" si="28"/>
        <v>0</v>
      </c>
      <c r="Q928" s="22" t="e">
        <f t="shared" si="29"/>
        <v>#VALUE!</v>
      </c>
      <c r="R928" s="23"/>
    </row>
    <row r="929" spans="1:18" ht="12.75">
      <c r="A929" s="22"/>
      <c r="D929" s="19"/>
      <c r="H929" s="18"/>
      <c r="J929" s="18"/>
      <c r="N929" s="16"/>
      <c r="O929" s="17"/>
      <c r="P929" s="18">
        <f t="shared" si="28"/>
        <v>0</v>
      </c>
      <c r="Q929" s="22" t="e">
        <f t="shared" si="29"/>
        <v>#VALUE!</v>
      </c>
      <c r="R929" s="23"/>
    </row>
    <row r="930" spans="1:18" ht="12.75">
      <c r="A930" s="22"/>
      <c r="D930" s="19"/>
      <c r="H930" s="18"/>
      <c r="J930" s="18"/>
      <c r="N930" s="16"/>
      <c r="O930" s="17"/>
      <c r="P930" s="18">
        <f t="shared" si="28"/>
        <v>0</v>
      </c>
      <c r="Q930" s="22" t="e">
        <f t="shared" si="29"/>
        <v>#VALUE!</v>
      </c>
      <c r="R930" s="23"/>
    </row>
    <row r="931" spans="1:18" ht="12.75">
      <c r="A931" s="22"/>
      <c r="D931" s="19"/>
      <c r="H931" s="18"/>
      <c r="J931" s="18"/>
      <c r="N931" s="16"/>
      <c r="O931" s="17"/>
      <c r="P931" s="18">
        <f t="shared" si="28"/>
        <v>0</v>
      </c>
      <c r="Q931" s="22" t="e">
        <f t="shared" si="29"/>
        <v>#VALUE!</v>
      </c>
      <c r="R931" s="23"/>
    </row>
    <row r="932" spans="1:18" ht="12.75">
      <c r="A932" s="22"/>
      <c r="D932" s="19"/>
      <c r="H932" s="18"/>
      <c r="J932" s="18"/>
      <c r="N932" s="16"/>
      <c r="O932" s="17"/>
      <c r="P932" s="18">
        <f t="shared" si="28"/>
        <v>0</v>
      </c>
      <c r="Q932" s="22" t="e">
        <f t="shared" si="29"/>
        <v>#VALUE!</v>
      </c>
      <c r="R932" s="23"/>
    </row>
    <row r="933" spans="1:18" ht="12.75">
      <c r="A933" s="22"/>
      <c r="D933" s="19"/>
      <c r="H933" s="18"/>
      <c r="J933" s="18"/>
      <c r="N933" s="16"/>
      <c r="O933" s="17"/>
      <c r="P933" s="18">
        <f t="shared" si="28"/>
        <v>0</v>
      </c>
      <c r="Q933" s="22" t="e">
        <f t="shared" si="29"/>
        <v>#VALUE!</v>
      </c>
      <c r="R933" s="23"/>
    </row>
    <row r="934" spans="1:18" ht="12.75">
      <c r="A934" s="22"/>
      <c r="D934" s="19"/>
      <c r="H934" s="18"/>
      <c r="J934" s="18"/>
      <c r="N934" s="16"/>
      <c r="O934" s="17"/>
      <c r="P934" s="18">
        <f t="shared" si="28"/>
        <v>0</v>
      </c>
      <c r="Q934" s="22" t="e">
        <f t="shared" si="29"/>
        <v>#VALUE!</v>
      </c>
      <c r="R934" s="23"/>
    </row>
    <row r="935" spans="1:18" ht="12.75">
      <c r="A935" s="22"/>
      <c r="D935" s="19"/>
      <c r="H935" s="18"/>
      <c r="J935" s="18"/>
      <c r="N935" s="16"/>
      <c r="O935" s="17"/>
      <c r="P935" s="18">
        <f t="shared" si="28"/>
        <v>0</v>
      </c>
      <c r="Q935" s="22" t="e">
        <f t="shared" si="29"/>
        <v>#VALUE!</v>
      </c>
      <c r="R935" s="23"/>
    </row>
    <row r="936" spans="1:18" ht="12.75">
      <c r="A936" s="22"/>
      <c r="D936" s="19"/>
      <c r="H936" s="18"/>
      <c r="J936" s="18"/>
      <c r="N936" s="16"/>
      <c r="O936" s="17"/>
      <c r="P936" s="18">
        <f t="shared" si="28"/>
        <v>0</v>
      </c>
      <c r="Q936" s="22" t="e">
        <f t="shared" si="29"/>
        <v>#VALUE!</v>
      </c>
      <c r="R936" s="23"/>
    </row>
    <row r="937" spans="1:18" ht="12.75">
      <c r="A937" s="22"/>
      <c r="D937" s="19"/>
      <c r="H937" s="18"/>
      <c r="J937" s="18"/>
      <c r="N937" s="16"/>
      <c r="O937" s="17"/>
      <c r="P937" s="18">
        <f t="shared" si="28"/>
        <v>0</v>
      </c>
      <c r="Q937" s="22" t="e">
        <f t="shared" si="29"/>
        <v>#VALUE!</v>
      </c>
      <c r="R937" s="23"/>
    </row>
    <row r="938" spans="1:18" ht="12.75">
      <c r="A938" s="22"/>
      <c r="D938" s="19"/>
      <c r="H938" s="18"/>
      <c r="J938" s="18"/>
      <c r="N938" s="16"/>
      <c r="O938" s="17"/>
      <c r="P938" s="18">
        <f t="shared" si="28"/>
        <v>0</v>
      </c>
      <c r="Q938" s="22" t="e">
        <f t="shared" si="29"/>
        <v>#VALUE!</v>
      </c>
      <c r="R938" s="23"/>
    </row>
    <row r="939" spans="1:18" ht="12.75">
      <c r="A939" s="22"/>
      <c r="D939" s="19"/>
      <c r="H939" s="18"/>
      <c r="J939" s="18"/>
      <c r="N939" s="16"/>
      <c r="O939" s="17"/>
      <c r="P939" s="18">
        <f t="shared" si="28"/>
        <v>0</v>
      </c>
      <c r="Q939" s="22" t="e">
        <f t="shared" si="29"/>
        <v>#VALUE!</v>
      </c>
      <c r="R939" s="23"/>
    </row>
    <row r="940" spans="1:18" ht="12.75">
      <c r="A940" s="22"/>
      <c r="D940" s="19"/>
      <c r="H940" s="18"/>
      <c r="J940" s="18"/>
      <c r="N940" s="16"/>
      <c r="O940" s="17"/>
      <c r="P940" s="18">
        <f t="shared" si="28"/>
        <v>0</v>
      </c>
      <c r="Q940" s="22" t="e">
        <f t="shared" si="29"/>
        <v>#VALUE!</v>
      </c>
      <c r="R940" s="23"/>
    </row>
    <row r="941" spans="1:18" ht="12.75">
      <c r="A941" s="22"/>
      <c r="D941" s="19"/>
      <c r="H941" s="18"/>
      <c r="J941" s="18"/>
      <c r="N941" s="16"/>
      <c r="O941" s="17"/>
      <c r="P941" s="18">
        <f t="shared" si="28"/>
        <v>0</v>
      </c>
      <c r="Q941" s="22" t="e">
        <f t="shared" si="29"/>
        <v>#VALUE!</v>
      </c>
      <c r="R941" s="23"/>
    </row>
    <row r="942" spans="1:18" ht="12.75">
      <c r="A942" s="22"/>
      <c r="D942" s="19"/>
      <c r="H942" s="18"/>
      <c r="J942" s="18"/>
      <c r="N942" s="16"/>
      <c r="O942" s="17"/>
      <c r="P942" s="18">
        <f t="shared" si="28"/>
        <v>0</v>
      </c>
      <c r="Q942" s="22" t="e">
        <f t="shared" si="29"/>
        <v>#VALUE!</v>
      </c>
      <c r="R942" s="23"/>
    </row>
    <row r="943" spans="1:18" ht="12.75">
      <c r="A943" s="22"/>
      <c r="D943" s="19"/>
      <c r="H943" s="18"/>
      <c r="J943" s="18"/>
      <c r="N943" s="16"/>
      <c r="O943" s="17"/>
      <c r="P943" s="18">
        <f t="shared" si="28"/>
        <v>0</v>
      </c>
      <c r="Q943" s="22" t="e">
        <f t="shared" si="29"/>
        <v>#VALUE!</v>
      </c>
      <c r="R943" s="23"/>
    </row>
    <row r="944" spans="1:18" ht="12.75">
      <c r="A944" s="22"/>
      <c r="D944" s="19"/>
      <c r="H944" s="18"/>
      <c r="J944" s="18"/>
      <c r="N944" s="16"/>
      <c r="O944" s="17"/>
      <c r="P944" s="18">
        <f t="shared" si="28"/>
        <v>0</v>
      </c>
      <c r="Q944" s="22" t="e">
        <f t="shared" si="29"/>
        <v>#VALUE!</v>
      </c>
      <c r="R944" s="23"/>
    </row>
    <row r="945" spans="1:18" ht="12.75">
      <c r="A945" s="22"/>
      <c r="D945" s="19"/>
      <c r="H945" s="18"/>
      <c r="J945" s="18"/>
      <c r="N945" s="16"/>
      <c r="O945" s="17"/>
      <c r="P945" s="18">
        <f t="shared" si="28"/>
        <v>0</v>
      </c>
      <c r="Q945" s="22" t="e">
        <f t="shared" si="29"/>
        <v>#VALUE!</v>
      </c>
      <c r="R945" s="23"/>
    </row>
    <row r="946" spans="1:18" ht="12.75">
      <c r="A946" s="22"/>
      <c r="D946" s="19"/>
      <c r="H946" s="18"/>
      <c r="J946" s="18"/>
      <c r="N946" s="16"/>
      <c r="O946" s="17"/>
      <c r="P946" s="18">
        <f t="shared" si="28"/>
        <v>0</v>
      </c>
      <c r="Q946" s="22" t="e">
        <f t="shared" si="29"/>
        <v>#VALUE!</v>
      </c>
      <c r="R946" s="23"/>
    </row>
    <row r="947" spans="1:18" ht="12.75">
      <c r="A947" s="22"/>
      <c r="D947" s="19"/>
      <c r="H947" s="18"/>
      <c r="J947" s="18"/>
      <c r="N947" s="16"/>
      <c r="O947" s="17"/>
      <c r="P947" s="18">
        <f t="shared" si="28"/>
        <v>0</v>
      </c>
      <c r="Q947" s="22" t="e">
        <f t="shared" si="29"/>
        <v>#VALUE!</v>
      </c>
      <c r="R947" s="23"/>
    </row>
    <row r="948" spans="1:18" ht="12.75">
      <c r="A948" s="22"/>
      <c r="D948" s="19"/>
      <c r="H948" s="18"/>
      <c r="J948" s="18"/>
      <c r="N948" s="16"/>
      <c r="O948" s="17"/>
      <c r="P948" s="18">
        <f t="shared" si="28"/>
        <v>0</v>
      </c>
      <c r="Q948" s="22" t="e">
        <f t="shared" si="29"/>
        <v>#VALUE!</v>
      </c>
      <c r="R948" s="23"/>
    </row>
    <row r="949" spans="1:18" ht="12.75">
      <c r="A949" s="22"/>
      <c r="D949" s="19"/>
      <c r="H949" s="18"/>
      <c r="J949" s="18"/>
      <c r="N949" s="16"/>
      <c r="O949" s="17"/>
      <c r="P949" s="18">
        <f t="shared" si="28"/>
        <v>0</v>
      </c>
      <c r="Q949" s="22" t="e">
        <f t="shared" si="29"/>
        <v>#VALUE!</v>
      </c>
      <c r="R949" s="23"/>
    </row>
    <row r="950" spans="1:18" ht="12.75">
      <c r="A950" s="22"/>
      <c r="D950" s="19"/>
      <c r="H950" s="18"/>
      <c r="J950" s="18"/>
      <c r="N950" s="16"/>
      <c r="O950" s="17"/>
      <c r="P950" s="18">
        <f t="shared" si="28"/>
        <v>0</v>
      </c>
      <c r="Q950" s="22" t="e">
        <f t="shared" si="29"/>
        <v>#VALUE!</v>
      </c>
      <c r="R950" s="23"/>
    </row>
    <row r="951" spans="1:18" ht="12.75">
      <c r="A951" s="22"/>
      <c r="D951" s="19"/>
      <c r="H951" s="18"/>
      <c r="J951" s="18"/>
      <c r="N951" s="16"/>
      <c r="O951" s="17"/>
      <c r="P951" s="18">
        <f t="shared" si="28"/>
        <v>0</v>
      </c>
      <c r="Q951" s="22" t="e">
        <f t="shared" si="29"/>
        <v>#VALUE!</v>
      </c>
      <c r="R951" s="23"/>
    </row>
    <row r="952" spans="1:18" ht="12.75">
      <c r="A952" s="22"/>
      <c r="D952" s="19"/>
      <c r="H952" s="18"/>
      <c r="J952" s="18"/>
      <c r="N952" s="16"/>
      <c r="O952" s="17"/>
      <c r="P952" s="18">
        <f t="shared" si="28"/>
        <v>0</v>
      </c>
      <c r="Q952" s="22" t="e">
        <f t="shared" si="29"/>
        <v>#VALUE!</v>
      </c>
      <c r="R952" s="23"/>
    </row>
    <row r="953" spans="1:18" ht="12.75">
      <c r="A953" s="22"/>
      <c r="D953" s="19"/>
      <c r="H953" s="18"/>
      <c r="J953" s="18"/>
      <c r="N953" s="16"/>
      <c r="O953" s="17"/>
      <c r="P953" s="18">
        <f t="shared" si="28"/>
        <v>0</v>
      </c>
      <c r="Q953" s="22" t="e">
        <f t="shared" si="29"/>
        <v>#VALUE!</v>
      </c>
      <c r="R953" s="23"/>
    </row>
    <row r="954" spans="1:18" ht="12.75">
      <c r="A954" s="22"/>
      <c r="D954" s="19"/>
      <c r="H954" s="18"/>
      <c r="J954" s="18"/>
      <c r="N954" s="16"/>
      <c r="O954" s="17"/>
      <c r="P954" s="18">
        <f t="shared" si="28"/>
        <v>0</v>
      </c>
      <c r="Q954" s="22" t="e">
        <f t="shared" si="29"/>
        <v>#VALUE!</v>
      </c>
      <c r="R954" s="23"/>
    </row>
    <row r="955" spans="1:18" ht="12.75">
      <c r="A955" s="22"/>
      <c r="D955" s="19"/>
      <c r="H955" s="18"/>
      <c r="J955" s="18"/>
      <c r="N955" s="16"/>
      <c r="O955" s="17"/>
      <c r="P955" s="18">
        <f t="shared" si="28"/>
        <v>0</v>
      </c>
      <c r="Q955" s="22" t="e">
        <f t="shared" si="29"/>
        <v>#VALUE!</v>
      </c>
      <c r="R955" s="23"/>
    </row>
    <row r="956" spans="1:18" ht="12.75">
      <c r="A956" s="22"/>
      <c r="D956" s="19"/>
      <c r="H956" s="18"/>
      <c r="J956" s="18"/>
      <c r="N956" s="16"/>
      <c r="O956" s="17"/>
      <c r="P956" s="18">
        <f t="shared" si="28"/>
        <v>0</v>
      </c>
      <c r="Q956" s="22" t="e">
        <f t="shared" si="29"/>
        <v>#VALUE!</v>
      </c>
      <c r="R956" s="23"/>
    </row>
    <row r="957" spans="1:18" ht="12.75">
      <c r="A957" s="22"/>
      <c r="D957" s="19"/>
      <c r="H957" s="18"/>
      <c r="J957" s="18"/>
      <c r="N957" s="16"/>
      <c r="O957" s="17"/>
      <c r="P957" s="18">
        <f t="shared" si="28"/>
        <v>0</v>
      </c>
      <c r="Q957" s="22" t="e">
        <f t="shared" si="29"/>
        <v>#VALUE!</v>
      </c>
      <c r="R957" s="23"/>
    </row>
    <row r="958" spans="1:18" ht="12.75">
      <c r="A958" s="22"/>
      <c r="D958" s="19"/>
      <c r="H958" s="18"/>
      <c r="J958" s="18"/>
      <c r="N958" s="16"/>
      <c r="O958" s="17"/>
      <c r="P958" s="18">
        <f t="shared" si="28"/>
        <v>0</v>
      </c>
      <c r="Q958" s="22" t="e">
        <f t="shared" si="29"/>
        <v>#VALUE!</v>
      </c>
      <c r="R958" s="23"/>
    </row>
    <row r="959" spans="1:18" ht="12.75">
      <c r="A959" s="22"/>
      <c r="D959" s="19"/>
      <c r="H959" s="18"/>
      <c r="J959" s="18"/>
      <c r="N959" s="16"/>
      <c r="O959" s="17"/>
      <c r="P959" s="18">
        <f t="shared" si="28"/>
        <v>0</v>
      </c>
      <c r="Q959" s="22" t="e">
        <f t="shared" si="29"/>
        <v>#VALUE!</v>
      </c>
      <c r="R959" s="23"/>
    </row>
    <row r="960" spans="1:18" ht="12.75">
      <c r="A960" s="22"/>
      <c r="D960" s="19"/>
      <c r="H960" s="18"/>
      <c r="J960" s="18"/>
      <c r="N960" s="16"/>
      <c r="O960" s="17"/>
      <c r="P960" s="18">
        <f t="shared" si="28"/>
        <v>0</v>
      </c>
      <c r="Q960" s="22" t="e">
        <f t="shared" si="29"/>
        <v>#VALUE!</v>
      </c>
      <c r="R960" s="23"/>
    </row>
    <row r="961" spans="1:18" ht="12.75">
      <c r="A961" s="22"/>
      <c r="D961" s="19"/>
      <c r="H961" s="18"/>
      <c r="J961" s="18"/>
      <c r="N961" s="16"/>
      <c r="O961" s="17"/>
      <c r="P961" s="18">
        <f t="shared" si="28"/>
        <v>0</v>
      </c>
      <c r="Q961" s="22" t="e">
        <f t="shared" si="29"/>
        <v>#VALUE!</v>
      </c>
      <c r="R961" s="23"/>
    </row>
    <row r="962" spans="1:18" ht="12.75">
      <c r="A962" s="22"/>
      <c r="D962" s="19"/>
      <c r="H962" s="18"/>
      <c r="J962" s="18"/>
      <c r="N962" s="16"/>
      <c r="O962" s="17"/>
      <c r="P962" s="18">
        <f t="shared" si="28"/>
        <v>0</v>
      </c>
      <c r="Q962" s="22" t="e">
        <f t="shared" si="29"/>
        <v>#VALUE!</v>
      </c>
      <c r="R962" s="23"/>
    </row>
    <row r="963" spans="1:18" ht="12.75">
      <c r="A963" s="22"/>
      <c r="D963" s="19"/>
      <c r="H963" s="18"/>
      <c r="J963" s="18"/>
      <c r="N963" s="16"/>
      <c r="O963" s="17"/>
      <c r="P963" s="18">
        <f t="shared" si="28"/>
        <v>0</v>
      </c>
      <c r="Q963" s="22" t="e">
        <f t="shared" si="29"/>
        <v>#VALUE!</v>
      </c>
      <c r="R963" s="23"/>
    </row>
    <row r="964" spans="1:18" ht="12.75">
      <c r="A964" s="22"/>
      <c r="D964" s="19"/>
      <c r="H964" s="18"/>
      <c r="J964" s="18"/>
      <c r="N964" s="16"/>
      <c r="O964" s="17"/>
      <c r="P964" s="18">
        <f t="shared" si="28"/>
        <v>0</v>
      </c>
      <c r="Q964" s="22" t="e">
        <f t="shared" si="29"/>
        <v>#VALUE!</v>
      </c>
      <c r="R964" s="23"/>
    </row>
    <row r="965" spans="1:18" ht="12.75">
      <c r="A965" s="22"/>
      <c r="D965" s="19"/>
      <c r="H965" s="18"/>
      <c r="J965" s="18"/>
      <c r="N965" s="16"/>
      <c r="O965" s="17"/>
      <c r="P965" s="18">
        <f t="shared" ref="P965:P1028" si="30">H965+J965+S965</f>
        <v>0</v>
      </c>
      <c r="Q965" s="22" t="e">
        <f t="shared" ref="Q965:Q975" si="31">DATEVALUE(A965)</f>
        <v>#VALUE!</v>
      </c>
      <c r="R965" s="23"/>
    </row>
    <row r="966" spans="1:18" ht="12.75">
      <c r="A966" s="22"/>
      <c r="D966" s="19"/>
      <c r="H966" s="18"/>
      <c r="J966" s="18"/>
      <c r="N966" s="16"/>
      <c r="O966" s="17"/>
      <c r="P966" s="18">
        <f t="shared" si="30"/>
        <v>0</v>
      </c>
      <c r="Q966" s="22" t="e">
        <f t="shared" si="31"/>
        <v>#VALUE!</v>
      </c>
      <c r="R966" s="23"/>
    </row>
    <row r="967" spans="1:18" ht="12.75">
      <c r="A967" s="22"/>
      <c r="D967" s="19"/>
      <c r="H967" s="18"/>
      <c r="J967" s="18"/>
      <c r="N967" s="16"/>
      <c r="O967" s="17"/>
      <c r="P967" s="18">
        <f t="shared" si="30"/>
        <v>0</v>
      </c>
      <c r="Q967" s="22" t="e">
        <f t="shared" si="31"/>
        <v>#VALUE!</v>
      </c>
      <c r="R967" s="23"/>
    </row>
    <row r="968" spans="1:18" ht="12.75">
      <c r="A968" s="22"/>
      <c r="D968" s="19"/>
      <c r="H968" s="18"/>
      <c r="J968" s="18"/>
      <c r="N968" s="16"/>
      <c r="O968" s="17"/>
      <c r="P968" s="18">
        <f t="shared" si="30"/>
        <v>0</v>
      </c>
      <c r="Q968" s="22" t="e">
        <f t="shared" si="31"/>
        <v>#VALUE!</v>
      </c>
      <c r="R968" s="23"/>
    </row>
    <row r="969" spans="1:18" ht="12.75">
      <c r="A969" s="22"/>
      <c r="D969" s="19"/>
      <c r="H969" s="18"/>
      <c r="J969" s="18"/>
      <c r="N969" s="16"/>
      <c r="O969" s="17"/>
      <c r="P969" s="18">
        <f t="shared" si="30"/>
        <v>0</v>
      </c>
      <c r="Q969" s="22" t="e">
        <f t="shared" si="31"/>
        <v>#VALUE!</v>
      </c>
      <c r="R969" s="23"/>
    </row>
    <row r="970" spans="1:18" ht="12.75">
      <c r="A970" s="22"/>
      <c r="D970" s="19"/>
      <c r="H970" s="18"/>
      <c r="J970" s="18"/>
      <c r="N970" s="16"/>
      <c r="O970" s="17"/>
      <c r="P970" s="18">
        <f t="shared" si="30"/>
        <v>0</v>
      </c>
      <c r="Q970" s="22" t="e">
        <f t="shared" si="31"/>
        <v>#VALUE!</v>
      </c>
      <c r="R970" s="23"/>
    </row>
    <row r="971" spans="1:18" ht="12.75">
      <c r="A971" s="22"/>
      <c r="D971" s="19"/>
      <c r="H971" s="18"/>
      <c r="J971" s="18"/>
      <c r="N971" s="16"/>
      <c r="O971" s="17"/>
      <c r="P971" s="18">
        <f t="shared" si="30"/>
        <v>0</v>
      </c>
      <c r="Q971" s="22" t="e">
        <f t="shared" si="31"/>
        <v>#VALUE!</v>
      </c>
      <c r="R971" s="23"/>
    </row>
    <row r="972" spans="1:18" ht="12.75">
      <c r="A972" s="22"/>
      <c r="D972" s="19"/>
      <c r="H972" s="18"/>
      <c r="J972" s="18"/>
      <c r="N972" s="16"/>
      <c r="O972" s="17"/>
      <c r="P972" s="18">
        <f t="shared" si="30"/>
        <v>0</v>
      </c>
      <c r="Q972" s="22" t="e">
        <f t="shared" si="31"/>
        <v>#VALUE!</v>
      </c>
      <c r="R972" s="23"/>
    </row>
    <row r="973" spans="1:18" ht="12.75">
      <c r="A973" s="22"/>
      <c r="D973" s="19"/>
      <c r="H973" s="18"/>
      <c r="J973" s="18"/>
      <c r="N973" s="16"/>
      <c r="O973" s="17"/>
      <c r="P973" s="18">
        <f t="shared" si="30"/>
        <v>0</v>
      </c>
      <c r="Q973" s="22" t="e">
        <f t="shared" si="31"/>
        <v>#VALUE!</v>
      </c>
      <c r="R973" s="23"/>
    </row>
    <row r="974" spans="1:18" ht="12.75">
      <c r="A974" s="22"/>
      <c r="D974" s="19"/>
      <c r="H974" s="18"/>
      <c r="J974" s="18"/>
      <c r="N974" s="16"/>
      <c r="O974" s="17"/>
      <c r="P974" s="18">
        <f t="shared" si="30"/>
        <v>0</v>
      </c>
      <c r="Q974" s="22" t="e">
        <f t="shared" si="31"/>
        <v>#VALUE!</v>
      </c>
      <c r="R974" s="23"/>
    </row>
    <row r="975" spans="1:18" ht="12.75">
      <c r="A975" s="22"/>
      <c r="D975" s="19"/>
      <c r="H975" s="18"/>
      <c r="J975" s="18"/>
      <c r="N975" s="16"/>
      <c r="O975" s="17"/>
      <c r="P975" s="18">
        <f t="shared" si="30"/>
        <v>0</v>
      </c>
      <c r="Q975" s="22" t="e">
        <f t="shared" si="31"/>
        <v>#VALUE!</v>
      </c>
      <c r="R975" s="23"/>
    </row>
    <row r="976" spans="1:18" ht="12.75">
      <c r="A976" s="22"/>
      <c r="D976" s="19"/>
      <c r="H976" s="18"/>
      <c r="J976" s="18"/>
      <c r="N976" s="16"/>
      <c r="O976" s="17"/>
      <c r="P976" s="18">
        <f t="shared" si="30"/>
        <v>0</v>
      </c>
      <c r="Q976" s="22"/>
      <c r="R976" s="23"/>
    </row>
    <row r="977" spans="1:18" ht="12.75">
      <c r="A977" s="22"/>
      <c r="D977" s="19"/>
      <c r="H977" s="18"/>
      <c r="J977" s="18"/>
      <c r="N977" s="16"/>
      <c r="O977" s="17"/>
      <c r="P977" s="18">
        <f t="shared" si="30"/>
        <v>0</v>
      </c>
      <c r="Q977" s="22"/>
      <c r="R977" s="23"/>
    </row>
    <row r="978" spans="1:18" ht="12.75">
      <c r="A978" s="22"/>
      <c r="D978" s="19"/>
      <c r="H978" s="18"/>
      <c r="J978" s="18"/>
      <c r="N978" s="16"/>
      <c r="O978" s="17"/>
      <c r="P978" s="18">
        <f t="shared" si="30"/>
        <v>0</v>
      </c>
      <c r="Q978" s="22"/>
      <c r="R978" s="23"/>
    </row>
    <row r="979" spans="1:18" ht="12.75">
      <c r="A979" s="22"/>
      <c r="D979" s="19"/>
      <c r="H979" s="18"/>
      <c r="J979" s="18"/>
      <c r="N979" s="16"/>
      <c r="O979" s="17"/>
      <c r="P979" s="18">
        <f t="shared" si="30"/>
        <v>0</v>
      </c>
      <c r="Q979" s="22"/>
      <c r="R979" s="23"/>
    </row>
    <row r="980" spans="1:18" ht="12.75">
      <c r="A980" s="22"/>
      <c r="D980" s="19"/>
      <c r="H980" s="18"/>
      <c r="J980" s="18"/>
      <c r="N980" s="16"/>
      <c r="O980" s="17"/>
      <c r="P980" s="18">
        <f t="shared" si="30"/>
        <v>0</v>
      </c>
      <c r="Q980" s="22"/>
      <c r="R980" s="23"/>
    </row>
    <row r="981" spans="1:18" ht="12.75">
      <c r="A981" s="22"/>
      <c r="D981" s="19"/>
      <c r="H981" s="18"/>
      <c r="J981" s="18"/>
      <c r="N981" s="16"/>
      <c r="O981" s="17"/>
      <c r="P981" s="18">
        <f t="shared" si="30"/>
        <v>0</v>
      </c>
      <c r="Q981" s="22"/>
      <c r="R981" s="23"/>
    </row>
    <row r="982" spans="1:18" ht="12.75">
      <c r="A982" s="22"/>
      <c r="D982" s="19"/>
      <c r="H982" s="18"/>
      <c r="J982" s="18"/>
      <c r="N982" s="16"/>
      <c r="O982" s="17"/>
      <c r="P982" s="18">
        <f t="shared" si="30"/>
        <v>0</v>
      </c>
      <c r="Q982" s="22"/>
      <c r="R982" s="23"/>
    </row>
    <row r="983" spans="1:18" ht="12.75">
      <c r="A983" s="22"/>
      <c r="D983" s="19"/>
      <c r="H983" s="18"/>
      <c r="J983" s="18"/>
      <c r="N983" s="16"/>
      <c r="O983" s="17"/>
      <c r="P983" s="18">
        <f t="shared" si="30"/>
        <v>0</v>
      </c>
      <c r="Q983" s="22"/>
      <c r="R983" s="23"/>
    </row>
    <row r="984" spans="1:18" ht="12.75">
      <c r="A984" s="22"/>
      <c r="D984" s="19"/>
      <c r="H984" s="18"/>
      <c r="J984" s="18"/>
      <c r="N984" s="16"/>
      <c r="O984" s="17"/>
      <c r="P984" s="18">
        <f t="shared" si="30"/>
        <v>0</v>
      </c>
      <c r="Q984" s="22"/>
      <c r="R984" s="23"/>
    </row>
    <row r="985" spans="1:18" ht="12.75">
      <c r="A985" s="22"/>
      <c r="D985" s="19"/>
      <c r="H985" s="18"/>
      <c r="J985" s="18"/>
      <c r="N985" s="16"/>
      <c r="O985" s="17"/>
      <c r="P985" s="18">
        <f t="shared" si="30"/>
        <v>0</v>
      </c>
      <c r="Q985" s="22"/>
      <c r="R985" s="23"/>
    </row>
    <row r="986" spans="1:18" ht="12.75">
      <c r="A986" s="22"/>
      <c r="D986" s="19"/>
      <c r="H986" s="18"/>
      <c r="J986" s="18"/>
      <c r="N986" s="16"/>
      <c r="O986" s="17"/>
      <c r="P986" s="18">
        <f t="shared" si="30"/>
        <v>0</v>
      </c>
      <c r="Q986" s="22"/>
      <c r="R986" s="23"/>
    </row>
    <row r="987" spans="1:18" ht="12.75">
      <c r="A987" s="22"/>
      <c r="D987" s="19"/>
      <c r="H987" s="18"/>
      <c r="J987" s="18"/>
      <c r="N987" s="16"/>
      <c r="O987" s="17"/>
      <c r="P987" s="18">
        <f t="shared" si="30"/>
        <v>0</v>
      </c>
      <c r="Q987" s="22"/>
      <c r="R987" s="23"/>
    </row>
    <row r="988" spans="1:18" ht="12.75">
      <c r="A988" s="22"/>
      <c r="D988" s="19"/>
      <c r="H988" s="18"/>
      <c r="J988" s="18"/>
      <c r="N988" s="16"/>
      <c r="O988" s="17"/>
      <c r="P988" s="18">
        <f t="shared" si="30"/>
        <v>0</v>
      </c>
      <c r="Q988" s="22"/>
      <c r="R988" s="23"/>
    </row>
    <row r="989" spans="1:18" ht="12.75">
      <c r="A989" s="22"/>
      <c r="D989" s="19"/>
      <c r="H989" s="18"/>
      <c r="J989" s="18"/>
      <c r="N989" s="16"/>
      <c r="O989" s="17"/>
      <c r="P989" s="18">
        <f t="shared" si="30"/>
        <v>0</v>
      </c>
      <c r="Q989" s="22"/>
      <c r="R989" s="23"/>
    </row>
    <row r="990" spans="1:18" ht="12.75">
      <c r="A990" s="22"/>
      <c r="D990" s="19"/>
      <c r="H990" s="18"/>
      <c r="J990" s="18"/>
      <c r="N990" s="16"/>
      <c r="O990" s="17"/>
      <c r="P990" s="18">
        <f t="shared" si="30"/>
        <v>0</v>
      </c>
      <c r="Q990" s="22"/>
      <c r="R990" s="23"/>
    </row>
    <row r="991" spans="1:18" ht="12.75">
      <c r="A991" s="22"/>
      <c r="D991" s="19"/>
      <c r="H991" s="18"/>
      <c r="J991" s="18"/>
      <c r="N991" s="16"/>
      <c r="O991" s="17"/>
      <c r="P991" s="18">
        <f t="shared" si="30"/>
        <v>0</v>
      </c>
      <c r="Q991" s="22"/>
      <c r="R991" s="23"/>
    </row>
    <row r="992" spans="1:18" ht="12.75">
      <c r="A992" s="22"/>
      <c r="D992" s="19"/>
      <c r="H992" s="18"/>
      <c r="J992" s="18"/>
      <c r="N992" s="16"/>
      <c r="O992" s="17"/>
      <c r="P992" s="18">
        <f t="shared" si="30"/>
        <v>0</v>
      </c>
      <c r="Q992" s="22"/>
      <c r="R992" s="23"/>
    </row>
    <row r="993" spans="1:18" ht="12.75">
      <c r="A993" s="22"/>
      <c r="D993" s="19"/>
      <c r="H993" s="18"/>
      <c r="J993" s="18"/>
      <c r="N993" s="16"/>
      <c r="O993" s="17"/>
      <c r="P993" s="18">
        <f t="shared" si="30"/>
        <v>0</v>
      </c>
      <c r="Q993" s="22"/>
      <c r="R993" s="23"/>
    </row>
    <row r="994" spans="1:18" ht="12.75">
      <c r="A994" s="22"/>
      <c r="D994" s="19"/>
      <c r="H994" s="18"/>
      <c r="J994" s="18"/>
      <c r="N994" s="16"/>
      <c r="O994" s="17"/>
      <c r="P994" s="18">
        <f t="shared" si="30"/>
        <v>0</v>
      </c>
      <c r="Q994" s="22"/>
      <c r="R994" s="23"/>
    </row>
    <row r="995" spans="1:18" ht="12.75">
      <c r="A995" s="22"/>
      <c r="D995" s="19"/>
      <c r="H995" s="18"/>
      <c r="J995" s="18"/>
      <c r="N995" s="16"/>
      <c r="O995" s="17"/>
      <c r="P995" s="18">
        <f t="shared" si="30"/>
        <v>0</v>
      </c>
      <c r="Q995" s="22"/>
      <c r="R995" s="23"/>
    </row>
    <row r="996" spans="1:18" ht="12.75">
      <c r="A996" s="22"/>
      <c r="D996" s="19"/>
      <c r="H996" s="18"/>
      <c r="J996" s="18"/>
      <c r="N996" s="16"/>
      <c r="O996" s="17"/>
      <c r="P996" s="18">
        <f t="shared" si="30"/>
        <v>0</v>
      </c>
      <c r="Q996" s="22"/>
      <c r="R996" s="23"/>
    </row>
    <row r="997" spans="1:18" ht="12.75">
      <c r="A997" s="22"/>
      <c r="D997" s="19"/>
      <c r="H997" s="18"/>
      <c r="J997" s="18"/>
      <c r="N997" s="16"/>
      <c r="O997" s="17"/>
      <c r="P997" s="18">
        <f t="shared" si="30"/>
        <v>0</v>
      </c>
      <c r="Q997" s="22"/>
      <c r="R997" s="23"/>
    </row>
    <row r="998" spans="1:18" ht="12.75">
      <c r="A998" s="22"/>
      <c r="D998" s="19"/>
      <c r="H998" s="18"/>
      <c r="J998" s="18"/>
      <c r="N998" s="16"/>
      <c r="O998" s="17"/>
      <c r="P998" s="18">
        <f t="shared" si="30"/>
        <v>0</v>
      </c>
      <c r="Q998" s="22"/>
      <c r="R998" s="23"/>
    </row>
    <row r="999" spans="1:18" ht="12.75">
      <c r="A999" s="22"/>
      <c r="D999" s="19"/>
      <c r="H999" s="18"/>
      <c r="J999" s="18"/>
      <c r="N999" s="16"/>
      <c r="O999" s="17"/>
      <c r="P999" s="18">
        <f t="shared" si="30"/>
        <v>0</v>
      </c>
      <c r="Q999" s="22"/>
      <c r="R999" s="23"/>
    </row>
    <row r="1000" spans="1:18" ht="12.75">
      <c r="A1000" s="22"/>
      <c r="D1000" s="19"/>
      <c r="H1000" s="18"/>
      <c r="J1000" s="18"/>
      <c r="N1000" s="16"/>
      <c r="O1000" s="17"/>
      <c r="P1000" s="18">
        <f t="shared" si="30"/>
        <v>0</v>
      </c>
      <c r="Q1000" s="22"/>
      <c r="R1000" s="23"/>
    </row>
    <row r="1001" spans="1:18" ht="12.75">
      <c r="A1001" s="22"/>
      <c r="D1001" s="19"/>
      <c r="H1001" s="18"/>
      <c r="J1001" s="18"/>
      <c r="N1001" s="16"/>
      <c r="O1001" s="17"/>
      <c r="P1001" s="18">
        <f t="shared" si="30"/>
        <v>0</v>
      </c>
      <c r="Q1001" s="22"/>
      <c r="R1001" s="23"/>
    </row>
    <row r="1002" spans="1:18" ht="12.75">
      <c r="A1002" s="22"/>
      <c r="D1002" s="19"/>
      <c r="H1002" s="18"/>
      <c r="J1002" s="18"/>
      <c r="N1002" s="16"/>
      <c r="O1002" s="17"/>
      <c r="P1002" s="18">
        <f t="shared" si="30"/>
        <v>0</v>
      </c>
      <c r="Q1002" s="22"/>
      <c r="R1002" s="23"/>
    </row>
    <row r="1003" spans="1:18" ht="12.75">
      <c r="A1003" s="22"/>
      <c r="D1003" s="19"/>
      <c r="H1003" s="18"/>
      <c r="J1003" s="18"/>
      <c r="N1003" s="16"/>
      <c r="O1003" s="17"/>
      <c r="P1003" s="18">
        <f t="shared" si="30"/>
        <v>0</v>
      </c>
      <c r="Q1003" s="22"/>
      <c r="R1003" s="23"/>
    </row>
    <row r="1004" spans="1:18" ht="12.75">
      <c r="A1004" s="22"/>
      <c r="D1004" s="19"/>
      <c r="H1004" s="18"/>
      <c r="J1004" s="18"/>
      <c r="N1004" s="16"/>
      <c r="O1004" s="17"/>
      <c r="P1004" s="18">
        <f t="shared" si="30"/>
        <v>0</v>
      </c>
      <c r="Q1004" s="22"/>
      <c r="R1004" s="23"/>
    </row>
    <row r="1005" spans="1:18" ht="12.75">
      <c r="A1005" s="22"/>
      <c r="D1005" s="19"/>
      <c r="H1005" s="18"/>
      <c r="J1005" s="18"/>
      <c r="N1005" s="16"/>
      <c r="O1005" s="17"/>
      <c r="P1005" s="18">
        <f t="shared" si="30"/>
        <v>0</v>
      </c>
      <c r="Q1005" s="22"/>
      <c r="R1005" s="23"/>
    </row>
    <row r="1006" spans="1:18" ht="12.75">
      <c r="A1006" s="22"/>
      <c r="D1006" s="19"/>
      <c r="H1006" s="18"/>
      <c r="J1006" s="18"/>
      <c r="N1006" s="16"/>
      <c r="O1006" s="17"/>
      <c r="P1006" s="18">
        <f t="shared" si="30"/>
        <v>0</v>
      </c>
      <c r="Q1006" s="22"/>
      <c r="R1006" s="23"/>
    </row>
    <row r="1007" spans="1:18" ht="12.75">
      <c r="A1007" s="22"/>
      <c r="D1007" s="19"/>
      <c r="H1007" s="18"/>
      <c r="J1007" s="18"/>
      <c r="N1007" s="16"/>
      <c r="O1007" s="17"/>
      <c r="P1007" s="18">
        <f t="shared" si="30"/>
        <v>0</v>
      </c>
      <c r="Q1007" s="22"/>
      <c r="R1007" s="23"/>
    </row>
    <row r="1008" spans="1:18" ht="12.75">
      <c r="A1008" s="22"/>
      <c r="D1008" s="19"/>
      <c r="H1008" s="18"/>
      <c r="J1008" s="18"/>
      <c r="N1008" s="16"/>
      <c r="O1008" s="17"/>
      <c r="P1008" s="18">
        <f t="shared" si="30"/>
        <v>0</v>
      </c>
      <c r="Q1008" s="22"/>
      <c r="R1008" s="23"/>
    </row>
    <row r="1009" spans="1:18" ht="12.75">
      <c r="A1009" s="22"/>
      <c r="D1009" s="19"/>
      <c r="H1009" s="18"/>
      <c r="J1009" s="18"/>
      <c r="N1009" s="16"/>
      <c r="O1009" s="17"/>
      <c r="P1009" s="18">
        <f t="shared" si="30"/>
        <v>0</v>
      </c>
      <c r="Q1009" s="22"/>
      <c r="R1009" s="23"/>
    </row>
    <row r="1010" spans="1:18" ht="12.75">
      <c r="A1010" s="22"/>
      <c r="D1010" s="19"/>
      <c r="H1010" s="18"/>
      <c r="J1010" s="18"/>
      <c r="N1010" s="16"/>
      <c r="O1010" s="17"/>
      <c r="P1010" s="18">
        <f t="shared" si="30"/>
        <v>0</v>
      </c>
      <c r="Q1010" s="22"/>
      <c r="R1010" s="23"/>
    </row>
    <row r="1011" spans="1:18" ht="12.75">
      <c r="A1011" s="22"/>
      <c r="D1011" s="19"/>
      <c r="H1011" s="18"/>
      <c r="J1011" s="18"/>
      <c r="N1011" s="16"/>
      <c r="O1011" s="17"/>
      <c r="P1011" s="18">
        <f t="shared" si="30"/>
        <v>0</v>
      </c>
      <c r="Q1011" s="22"/>
      <c r="R1011" s="23"/>
    </row>
    <row r="1012" spans="1:18" ht="12.75">
      <c r="A1012" s="22"/>
      <c r="D1012" s="19"/>
      <c r="H1012" s="18"/>
      <c r="J1012" s="18"/>
      <c r="N1012" s="16"/>
      <c r="O1012" s="17"/>
      <c r="P1012" s="18">
        <f t="shared" si="30"/>
        <v>0</v>
      </c>
      <c r="Q1012" s="22"/>
      <c r="R1012" s="23"/>
    </row>
    <row r="1013" spans="1:18" ht="12.75">
      <c r="A1013" s="22"/>
      <c r="D1013" s="19"/>
      <c r="H1013" s="18"/>
      <c r="J1013" s="18"/>
      <c r="N1013" s="16"/>
      <c r="O1013" s="17"/>
      <c r="P1013" s="18">
        <f t="shared" si="30"/>
        <v>0</v>
      </c>
      <c r="Q1013" s="22"/>
      <c r="R1013" s="23"/>
    </row>
    <row r="1014" spans="1:18" ht="12.75">
      <c r="A1014" s="22"/>
      <c r="D1014" s="19"/>
      <c r="H1014" s="18"/>
      <c r="J1014" s="18"/>
      <c r="N1014" s="16"/>
      <c r="O1014" s="17"/>
      <c r="P1014" s="18">
        <f t="shared" si="30"/>
        <v>0</v>
      </c>
      <c r="Q1014" s="22"/>
      <c r="R1014" s="23"/>
    </row>
    <row r="1015" spans="1:18" ht="12.75">
      <c r="A1015" s="22"/>
      <c r="D1015" s="19"/>
      <c r="H1015" s="18"/>
      <c r="J1015" s="18"/>
      <c r="N1015" s="16"/>
      <c r="O1015" s="17"/>
      <c r="P1015" s="18">
        <f t="shared" si="30"/>
        <v>0</v>
      </c>
      <c r="Q1015" s="22"/>
      <c r="R1015" s="23"/>
    </row>
    <row r="1016" spans="1:18" ht="12.75">
      <c r="A1016" s="22"/>
      <c r="D1016" s="19"/>
      <c r="H1016" s="18"/>
      <c r="J1016" s="18"/>
      <c r="N1016" s="16"/>
      <c r="O1016" s="17"/>
      <c r="P1016" s="18">
        <f t="shared" si="30"/>
        <v>0</v>
      </c>
      <c r="Q1016" s="22"/>
      <c r="R1016" s="23"/>
    </row>
    <row r="1017" spans="1:18" ht="12.75">
      <c r="A1017" s="22"/>
      <c r="D1017" s="19"/>
      <c r="H1017" s="18"/>
      <c r="J1017" s="18"/>
      <c r="N1017" s="16"/>
      <c r="O1017" s="17"/>
      <c r="P1017" s="18">
        <f t="shared" si="30"/>
        <v>0</v>
      </c>
      <c r="Q1017" s="22"/>
      <c r="R1017" s="23"/>
    </row>
    <row r="1018" spans="1:18" ht="12.75">
      <c r="A1018" s="22"/>
      <c r="D1018" s="19"/>
      <c r="H1018" s="18"/>
      <c r="J1018" s="18"/>
      <c r="N1018" s="16"/>
      <c r="O1018" s="17"/>
      <c r="P1018" s="18">
        <f t="shared" si="30"/>
        <v>0</v>
      </c>
      <c r="Q1018" s="22"/>
      <c r="R1018" s="23"/>
    </row>
    <row r="1019" spans="1:18" ht="12.75">
      <c r="A1019" s="22"/>
      <c r="D1019" s="19"/>
      <c r="H1019" s="18"/>
      <c r="J1019" s="18"/>
      <c r="N1019" s="16"/>
      <c r="O1019" s="17"/>
      <c r="P1019" s="18">
        <f t="shared" si="30"/>
        <v>0</v>
      </c>
      <c r="Q1019" s="22"/>
      <c r="R1019" s="23"/>
    </row>
    <row r="1020" spans="1:18" ht="12.75">
      <c r="A1020" s="22"/>
      <c r="D1020" s="19"/>
      <c r="H1020" s="18"/>
      <c r="J1020" s="18"/>
      <c r="N1020" s="16"/>
      <c r="O1020" s="17"/>
      <c r="P1020" s="18">
        <f t="shared" si="30"/>
        <v>0</v>
      </c>
      <c r="Q1020" s="22"/>
      <c r="R1020" s="23"/>
    </row>
    <row r="1021" spans="1:18" ht="12.75">
      <c r="A1021" s="22"/>
      <c r="D1021" s="19"/>
      <c r="H1021" s="18"/>
      <c r="J1021" s="18"/>
      <c r="N1021" s="16"/>
      <c r="O1021" s="17"/>
      <c r="P1021" s="18">
        <f t="shared" si="30"/>
        <v>0</v>
      </c>
      <c r="Q1021" s="22"/>
      <c r="R1021" s="23"/>
    </row>
    <row r="1022" spans="1:18" ht="12.75">
      <c r="A1022" s="22"/>
      <c r="D1022" s="19"/>
      <c r="H1022" s="18"/>
      <c r="J1022" s="18"/>
      <c r="N1022" s="16"/>
      <c r="O1022" s="17"/>
      <c r="P1022" s="18">
        <f t="shared" si="30"/>
        <v>0</v>
      </c>
      <c r="Q1022" s="22"/>
      <c r="R1022" s="23"/>
    </row>
    <row r="1023" spans="1:18" ht="12.75">
      <c r="A1023" s="22"/>
      <c r="D1023" s="19"/>
      <c r="H1023" s="18"/>
      <c r="J1023" s="18"/>
      <c r="N1023" s="16"/>
      <c r="O1023" s="17"/>
      <c r="P1023" s="18">
        <f t="shared" si="30"/>
        <v>0</v>
      </c>
      <c r="Q1023" s="22"/>
      <c r="R1023" s="23"/>
    </row>
    <row r="1024" spans="1:18" ht="12.75">
      <c r="A1024" s="22"/>
      <c r="D1024" s="19"/>
      <c r="H1024" s="18"/>
      <c r="J1024" s="18"/>
      <c r="N1024" s="16"/>
      <c r="O1024" s="17"/>
      <c r="P1024" s="18">
        <f t="shared" si="30"/>
        <v>0</v>
      </c>
      <c r="Q1024" s="22"/>
      <c r="R1024" s="23"/>
    </row>
    <row r="1025" spans="1:18" ht="12.75">
      <c r="A1025" s="22"/>
      <c r="D1025" s="19"/>
      <c r="H1025" s="18"/>
      <c r="J1025" s="18"/>
      <c r="N1025" s="16"/>
      <c r="O1025" s="17"/>
      <c r="P1025" s="18">
        <f t="shared" si="30"/>
        <v>0</v>
      </c>
      <c r="Q1025" s="22"/>
      <c r="R1025" s="23"/>
    </row>
    <row r="1026" spans="1:18" ht="12.75">
      <c r="A1026" s="22"/>
      <c r="D1026" s="19"/>
      <c r="H1026" s="18"/>
      <c r="J1026" s="18"/>
      <c r="N1026" s="16"/>
      <c r="O1026" s="17"/>
      <c r="P1026" s="18">
        <f t="shared" si="30"/>
        <v>0</v>
      </c>
      <c r="Q1026" s="22"/>
      <c r="R1026" s="23"/>
    </row>
    <row r="1027" spans="1:18" ht="12.75">
      <c r="A1027" s="22"/>
      <c r="D1027" s="19"/>
      <c r="H1027" s="18"/>
      <c r="J1027" s="18"/>
      <c r="N1027" s="16"/>
      <c r="O1027" s="17"/>
      <c r="P1027" s="18">
        <f t="shared" si="30"/>
        <v>0</v>
      </c>
      <c r="Q1027" s="22"/>
      <c r="R1027" s="23"/>
    </row>
    <row r="1028" spans="1:18" ht="12.75">
      <c r="A1028" s="22"/>
      <c r="D1028" s="19"/>
      <c r="H1028" s="18"/>
      <c r="J1028" s="18"/>
      <c r="N1028" s="16"/>
      <c r="O1028" s="17"/>
      <c r="P1028" s="18">
        <f t="shared" si="30"/>
        <v>0</v>
      </c>
      <c r="Q1028" s="22"/>
      <c r="R1028" s="23"/>
    </row>
    <row r="1029" spans="1:18" ht="12.75">
      <c r="A1029" s="22"/>
      <c r="D1029" s="19"/>
      <c r="H1029" s="18"/>
      <c r="J1029" s="18"/>
      <c r="N1029" s="16"/>
      <c r="O1029" s="17"/>
      <c r="P1029" s="18">
        <f t="shared" ref="P1029:P1092" si="32">H1029+J1029+S1029</f>
        <v>0</v>
      </c>
      <c r="Q1029" s="22"/>
      <c r="R1029" s="23"/>
    </row>
    <row r="1030" spans="1:18" ht="12.75">
      <c r="A1030" s="22"/>
      <c r="D1030" s="19"/>
      <c r="H1030" s="18"/>
      <c r="J1030" s="18"/>
      <c r="N1030" s="16"/>
      <c r="O1030" s="17"/>
      <c r="P1030" s="18">
        <f t="shared" si="32"/>
        <v>0</v>
      </c>
      <c r="Q1030" s="22"/>
      <c r="R1030" s="23"/>
    </row>
    <row r="1031" spans="1:18" ht="12.75">
      <c r="A1031" s="22"/>
      <c r="D1031" s="19"/>
      <c r="H1031" s="18"/>
      <c r="J1031" s="18"/>
      <c r="N1031" s="16"/>
      <c r="O1031" s="17"/>
      <c r="P1031" s="18">
        <f t="shared" si="32"/>
        <v>0</v>
      </c>
      <c r="Q1031" s="22"/>
      <c r="R1031" s="23"/>
    </row>
    <row r="1032" spans="1:18" ht="12.75">
      <c r="A1032" s="22"/>
      <c r="D1032" s="19"/>
      <c r="H1032" s="18"/>
      <c r="J1032" s="18"/>
      <c r="N1032" s="16"/>
      <c r="O1032" s="17"/>
      <c r="P1032" s="18">
        <f t="shared" si="32"/>
        <v>0</v>
      </c>
      <c r="Q1032" s="22"/>
      <c r="R1032" s="23"/>
    </row>
    <row r="1033" spans="1:18" ht="12.75">
      <c r="A1033" s="22"/>
      <c r="D1033" s="19"/>
      <c r="H1033" s="18"/>
      <c r="J1033" s="18"/>
      <c r="N1033" s="16"/>
      <c r="O1033" s="17"/>
      <c r="P1033" s="18">
        <f t="shared" si="32"/>
        <v>0</v>
      </c>
      <c r="Q1033" s="22"/>
      <c r="R1033" s="23"/>
    </row>
    <row r="1034" spans="1:18" ht="12.75">
      <c r="A1034" s="22"/>
      <c r="D1034" s="19"/>
      <c r="H1034" s="18"/>
      <c r="J1034" s="18"/>
      <c r="N1034" s="16"/>
      <c r="O1034" s="17"/>
      <c r="P1034" s="18">
        <f t="shared" si="32"/>
        <v>0</v>
      </c>
      <c r="Q1034" s="22"/>
      <c r="R1034" s="23"/>
    </row>
    <row r="1035" spans="1:18" ht="12.75">
      <c r="A1035" s="22"/>
      <c r="D1035" s="19"/>
      <c r="H1035" s="18"/>
      <c r="J1035" s="18"/>
      <c r="N1035" s="16"/>
      <c r="O1035" s="17"/>
      <c r="P1035" s="18">
        <f t="shared" si="32"/>
        <v>0</v>
      </c>
      <c r="Q1035" s="22"/>
      <c r="R1035" s="23"/>
    </row>
    <row r="1036" spans="1:18" ht="12.75">
      <c r="A1036" s="22"/>
      <c r="D1036" s="19"/>
      <c r="H1036" s="18"/>
      <c r="J1036" s="18"/>
      <c r="N1036" s="16"/>
      <c r="O1036" s="17"/>
      <c r="P1036" s="18">
        <f t="shared" si="32"/>
        <v>0</v>
      </c>
      <c r="Q1036" s="22"/>
      <c r="R1036" s="23"/>
    </row>
    <row r="1037" spans="1:18" ht="12.75">
      <c r="A1037" s="22"/>
      <c r="D1037" s="19"/>
      <c r="H1037" s="18"/>
      <c r="J1037" s="18"/>
      <c r="N1037" s="16"/>
      <c r="O1037" s="17"/>
      <c r="P1037" s="18">
        <f t="shared" si="32"/>
        <v>0</v>
      </c>
      <c r="Q1037" s="22"/>
      <c r="R1037" s="23"/>
    </row>
    <row r="1038" spans="1:18" ht="12.75">
      <c r="A1038" s="22"/>
      <c r="D1038" s="19"/>
      <c r="H1038" s="18"/>
      <c r="J1038" s="18"/>
      <c r="N1038" s="16"/>
      <c r="O1038" s="17"/>
      <c r="P1038" s="18">
        <f t="shared" si="32"/>
        <v>0</v>
      </c>
      <c r="Q1038" s="22"/>
      <c r="R1038" s="23"/>
    </row>
    <row r="1039" spans="1:18" ht="12.75">
      <c r="A1039" s="22"/>
      <c r="D1039" s="19"/>
      <c r="H1039" s="18"/>
      <c r="J1039" s="18"/>
      <c r="N1039" s="16"/>
      <c r="O1039" s="17"/>
      <c r="P1039" s="18">
        <f t="shared" si="32"/>
        <v>0</v>
      </c>
      <c r="Q1039" s="22"/>
      <c r="R1039" s="23"/>
    </row>
    <row r="1040" spans="1:18" ht="12.75">
      <c r="A1040" s="22"/>
      <c r="D1040" s="19"/>
      <c r="H1040" s="18"/>
      <c r="J1040" s="18"/>
      <c r="N1040" s="16"/>
      <c r="O1040" s="17"/>
      <c r="P1040" s="18">
        <f t="shared" si="32"/>
        <v>0</v>
      </c>
      <c r="Q1040" s="22"/>
      <c r="R1040" s="23"/>
    </row>
    <row r="1041" spans="1:18" ht="12.75">
      <c r="A1041" s="22"/>
      <c r="D1041" s="19"/>
      <c r="H1041" s="18"/>
      <c r="J1041" s="18"/>
      <c r="N1041" s="16"/>
      <c r="O1041" s="17"/>
      <c r="P1041" s="18">
        <f t="shared" si="32"/>
        <v>0</v>
      </c>
      <c r="Q1041" s="22"/>
      <c r="R1041" s="23"/>
    </row>
    <row r="1042" spans="1:18" ht="12.75">
      <c r="A1042" s="22"/>
      <c r="D1042" s="19"/>
      <c r="H1042" s="18"/>
      <c r="J1042" s="18"/>
      <c r="N1042" s="16"/>
      <c r="O1042" s="17"/>
      <c r="P1042" s="18">
        <f t="shared" si="32"/>
        <v>0</v>
      </c>
      <c r="Q1042" s="22"/>
      <c r="R1042" s="23"/>
    </row>
    <row r="1043" spans="1:18" ht="12.75">
      <c r="A1043" s="22"/>
      <c r="D1043" s="19"/>
      <c r="H1043" s="18"/>
      <c r="J1043" s="18"/>
      <c r="N1043" s="16"/>
      <c r="O1043" s="17"/>
      <c r="P1043" s="18">
        <f t="shared" si="32"/>
        <v>0</v>
      </c>
      <c r="Q1043" s="22"/>
      <c r="R1043" s="23"/>
    </row>
    <row r="1044" spans="1:18" ht="12.75">
      <c r="A1044" s="22"/>
      <c r="D1044" s="19"/>
      <c r="H1044" s="18"/>
      <c r="J1044" s="18"/>
      <c r="N1044" s="16"/>
      <c r="O1044" s="17"/>
      <c r="P1044" s="18">
        <f t="shared" si="32"/>
        <v>0</v>
      </c>
      <c r="Q1044" s="22"/>
      <c r="R1044" s="23"/>
    </row>
    <row r="1045" spans="1:18" ht="12.75">
      <c r="A1045" s="22"/>
      <c r="D1045" s="19"/>
      <c r="H1045" s="18"/>
      <c r="J1045" s="18"/>
      <c r="N1045" s="16"/>
      <c r="O1045" s="17"/>
      <c r="P1045" s="18">
        <f t="shared" si="32"/>
        <v>0</v>
      </c>
      <c r="Q1045" s="22"/>
      <c r="R1045" s="23"/>
    </row>
    <row r="1046" spans="1:18" ht="12.75">
      <c r="A1046" s="22"/>
      <c r="D1046" s="19"/>
      <c r="H1046" s="18"/>
      <c r="J1046" s="18"/>
      <c r="N1046" s="16"/>
      <c r="O1046" s="17"/>
      <c r="P1046" s="18">
        <f t="shared" si="32"/>
        <v>0</v>
      </c>
      <c r="Q1046" s="22"/>
      <c r="R1046" s="23"/>
    </row>
    <row r="1047" spans="1:18" ht="12.75">
      <c r="A1047" s="22"/>
      <c r="D1047" s="19"/>
      <c r="H1047" s="18"/>
      <c r="J1047" s="18"/>
      <c r="N1047" s="16"/>
      <c r="O1047" s="17"/>
      <c r="P1047" s="18">
        <f t="shared" si="32"/>
        <v>0</v>
      </c>
      <c r="Q1047" s="22"/>
      <c r="R1047" s="23"/>
    </row>
    <row r="1048" spans="1:18" ht="12.75">
      <c r="A1048" s="22"/>
      <c r="D1048" s="19"/>
      <c r="H1048" s="18"/>
      <c r="J1048" s="18"/>
      <c r="N1048" s="16"/>
      <c r="O1048" s="17"/>
      <c r="P1048" s="18">
        <f t="shared" si="32"/>
        <v>0</v>
      </c>
      <c r="Q1048" s="22"/>
      <c r="R1048" s="23"/>
    </row>
    <row r="1049" spans="1:18" ht="12.75">
      <c r="A1049" s="22"/>
      <c r="D1049" s="19"/>
      <c r="H1049" s="18"/>
      <c r="J1049" s="18"/>
      <c r="N1049" s="16"/>
      <c r="O1049" s="17"/>
      <c r="P1049" s="18">
        <f t="shared" si="32"/>
        <v>0</v>
      </c>
      <c r="Q1049" s="22"/>
      <c r="R1049" s="23"/>
    </row>
    <row r="1050" spans="1:18" ht="12.75">
      <c r="A1050" s="22"/>
      <c r="D1050" s="19"/>
      <c r="H1050" s="18"/>
      <c r="J1050" s="18"/>
      <c r="N1050" s="16"/>
      <c r="O1050" s="17"/>
      <c r="P1050" s="18">
        <f t="shared" si="32"/>
        <v>0</v>
      </c>
      <c r="Q1050" s="22"/>
      <c r="R1050" s="23"/>
    </row>
    <row r="1051" spans="1:18" ht="12.75">
      <c r="A1051" s="22"/>
      <c r="D1051" s="19"/>
      <c r="H1051" s="18"/>
      <c r="J1051" s="18"/>
      <c r="N1051" s="16"/>
      <c r="O1051" s="17"/>
      <c r="P1051" s="18">
        <f t="shared" si="32"/>
        <v>0</v>
      </c>
      <c r="Q1051" s="22"/>
      <c r="R1051" s="23"/>
    </row>
    <row r="1052" spans="1:18" ht="12.75">
      <c r="A1052" s="22"/>
      <c r="D1052" s="19"/>
      <c r="H1052" s="18"/>
      <c r="J1052" s="18"/>
      <c r="N1052" s="16"/>
      <c r="O1052" s="17"/>
      <c r="P1052" s="18">
        <f t="shared" si="32"/>
        <v>0</v>
      </c>
      <c r="Q1052" s="22"/>
      <c r="R1052" s="23"/>
    </row>
    <row r="1053" spans="1:18" ht="12.75">
      <c r="A1053" s="22"/>
      <c r="D1053" s="19"/>
      <c r="H1053" s="18"/>
      <c r="J1053" s="18"/>
      <c r="N1053" s="16"/>
      <c r="O1053" s="17"/>
      <c r="P1053" s="18">
        <f t="shared" si="32"/>
        <v>0</v>
      </c>
      <c r="Q1053" s="22"/>
      <c r="R1053" s="23"/>
    </row>
    <row r="1054" spans="1:18" ht="12.75">
      <c r="A1054" s="22"/>
      <c r="D1054" s="19"/>
      <c r="H1054" s="18"/>
      <c r="J1054" s="18"/>
      <c r="N1054" s="16"/>
      <c r="O1054" s="17"/>
      <c r="P1054" s="18">
        <f t="shared" si="32"/>
        <v>0</v>
      </c>
      <c r="Q1054" s="22"/>
      <c r="R1054" s="23"/>
    </row>
    <row r="1055" spans="1:18" ht="12.75">
      <c r="A1055" s="22"/>
      <c r="D1055" s="19"/>
      <c r="H1055" s="18"/>
      <c r="J1055" s="18"/>
      <c r="N1055" s="16"/>
      <c r="O1055" s="17"/>
      <c r="P1055" s="18">
        <f t="shared" si="32"/>
        <v>0</v>
      </c>
      <c r="Q1055" s="22"/>
      <c r="R1055" s="23"/>
    </row>
    <row r="1056" spans="1:18" ht="12.75">
      <c r="A1056" s="22"/>
      <c r="D1056" s="19"/>
      <c r="H1056" s="18"/>
      <c r="J1056" s="18"/>
      <c r="N1056" s="16"/>
      <c r="O1056" s="17"/>
      <c r="P1056" s="18">
        <f t="shared" si="32"/>
        <v>0</v>
      </c>
      <c r="Q1056" s="22"/>
      <c r="R1056" s="23"/>
    </row>
    <row r="1057" spans="1:18" ht="12.75">
      <c r="A1057" s="22"/>
      <c r="D1057" s="19"/>
      <c r="H1057" s="18"/>
      <c r="J1057" s="18"/>
      <c r="N1057" s="16"/>
      <c r="O1057" s="17"/>
      <c r="P1057" s="18">
        <f t="shared" si="32"/>
        <v>0</v>
      </c>
      <c r="Q1057" s="22"/>
      <c r="R1057" s="23"/>
    </row>
    <row r="1058" spans="1:18" ht="12.75">
      <c r="A1058" s="22"/>
      <c r="D1058" s="19"/>
      <c r="H1058" s="18"/>
      <c r="J1058" s="18"/>
      <c r="N1058" s="16"/>
      <c r="O1058" s="17"/>
      <c r="P1058" s="18">
        <f t="shared" si="32"/>
        <v>0</v>
      </c>
      <c r="Q1058" s="22"/>
      <c r="R1058" s="23"/>
    </row>
    <row r="1059" spans="1:18" ht="12.75">
      <c r="A1059" s="22"/>
      <c r="D1059" s="19"/>
      <c r="H1059" s="18"/>
      <c r="J1059" s="18"/>
      <c r="N1059" s="16"/>
      <c r="O1059" s="17"/>
      <c r="P1059" s="18">
        <f t="shared" si="32"/>
        <v>0</v>
      </c>
      <c r="Q1059" s="22"/>
      <c r="R1059" s="23"/>
    </row>
    <row r="1060" spans="1:18" ht="12.75">
      <c r="A1060" s="22"/>
      <c r="D1060" s="19"/>
      <c r="H1060" s="18"/>
      <c r="J1060" s="18"/>
      <c r="N1060" s="16"/>
      <c r="O1060" s="17"/>
      <c r="P1060" s="18">
        <f t="shared" si="32"/>
        <v>0</v>
      </c>
      <c r="Q1060" s="22"/>
      <c r="R1060" s="23"/>
    </row>
    <row r="1061" spans="1:18" ht="12.75">
      <c r="A1061" s="22"/>
      <c r="D1061" s="19"/>
      <c r="H1061" s="18"/>
      <c r="J1061" s="18"/>
      <c r="N1061" s="16"/>
      <c r="O1061" s="17"/>
      <c r="P1061" s="18">
        <f t="shared" si="32"/>
        <v>0</v>
      </c>
      <c r="Q1061" s="22"/>
      <c r="R1061" s="23"/>
    </row>
    <row r="1062" spans="1:18" ht="12.75">
      <c r="A1062" s="22"/>
      <c r="D1062" s="19"/>
      <c r="H1062" s="18"/>
      <c r="J1062" s="18"/>
      <c r="N1062" s="16"/>
      <c r="O1062" s="17"/>
      <c r="P1062" s="18">
        <f t="shared" si="32"/>
        <v>0</v>
      </c>
      <c r="Q1062" s="22"/>
      <c r="R1062" s="23"/>
    </row>
    <row r="1063" spans="1:18" ht="12.75">
      <c r="A1063" s="22"/>
      <c r="D1063" s="19"/>
      <c r="H1063" s="18"/>
      <c r="J1063" s="18"/>
      <c r="N1063" s="16"/>
      <c r="O1063" s="17"/>
      <c r="P1063" s="18">
        <f t="shared" si="32"/>
        <v>0</v>
      </c>
      <c r="Q1063" s="22"/>
      <c r="R1063" s="23"/>
    </row>
    <row r="1064" spans="1:18" ht="12.75">
      <c r="A1064" s="22"/>
      <c r="D1064" s="19"/>
      <c r="H1064" s="18"/>
      <c r="J1064" s="18"/>
      <c r="N1064" s="16"/>
      <c r="O1064" s="17"/>
      <c r="P1064" s="18">
        <f t="shared" si="32"/>
        <v>0</v>
      </c>
      <c r="Q1064" s="22"/>
      <c r="R1064" s="23"/>
    </row>
    <row r="1065" spans="1:18" ht="12.75">
      <c r="A1065" s="22"/>
      <c r="D1065" s="19"/>
      <c r="H1065" s="18"/>
      <c r="J1065" s="18"/>
      <c r="N1065" s="16"/>
      <c r="O1065" s="17"/>
      <c r="P1065" s="18">
        <f t="shared" si="32"/>
        <v>0</v>
      </c>
      <c r="Q1065" s="22"/>
      <c r="R1065" s="23"/>
    </row>
    <row r="1066" spans="1:18" ht="12.75">
      <c r="A1066" s="22"/>
      <c r="D1066" s="19"/>
      <c r="H1066" s="18"/>
      <c r="J1066" s="18"/>
      <c r="N1066" s="16"/>
      <c r="O1066" s="17"/>
      <c r="P1066" s="18">
        <f t="shared" si="32"/>
        <v>0</v>
      </c>
      <c r="Q1066" s="22"/>
      <c r="R1066" s="23"/>
    </row>
    <row r="1067" spans="1:18" ht="12.75">
      <c r="A1067" s="22"/>
      <c r="D1067" s="19"/>
      <c r="H1067" s="18"/>
      <c r="J1067" s="18"/>
      <c r="N1067" s="16"/>
      <c r="O1067" s="17"/>
      <c r="P1067" s="18">
        <f t="shared" si="32"/>
        <v>0</v>
      </c>
      <c r="Q1067" s="22"/>
      <c r="R1067" s="23"/>
    </row>
    <row r="1068" spans="1:18" ht="12.75">
      <c r="A1068" s="22"/>
      <c r="D1068" s="19"/>
      <c r="H1068" s="18"/>
      <c r="J1068" s="18"/>
      <c r="N1068" s="16"/>
      <c r="O1068" s="17"/>
      <c r="P1068" s="18">
        <f t="shared" si="32"/>
        <v>0</v>
      </c>
      <c r="Q1068" s="22"/>
      <c r="R1068" s="23"/>
    </row>
    <row r="1069" spans="1:18" ht="12.75">
      <c r="A1069" s="22"/>
      <c r="D1069" s="19"/>
      <c r="H1069" s="18"/>
      <c r="J1069" s="18"/>
      <c r="N1069" s="16"/>
      <c r="O1069" s="17"/>
      <c r="P1069" s="18">
        <f t="shared" si="32"/>
        <v>0</v>
      </c>
      <c r="Q1069" s="22"/>
      <c r="R1069" s="23"/>
    </row>
    <row r="1070" spans="1:18" ht="12.75">
      <c r="A1070" s="22"/>
      <c r="D1070" s="19"/>
      <c r="H1070" s="18"/>
      <c r="J1070" s="18"/>
      <c r="N1070" s="16"/>
      <c r="O1070" s="17"/>
      <c r="P1070" s="18">
        <f t="shared" si="32"/>
        <v>0</v>
      </c>
      <c r="Q1070" s="22"/>
      <c r="R1070" s="23"/>
    </row>
    <row r="1071" spans="1:18" ht="12.75">
      <c r="A1071" s="22"/>
      <c r="D1071" s="19"/>
      <c r="H1071" s="18"/>
      <c r="J1071" s="18"/>
      <c r="N1071" s="16"/>
      <c r="O1071" s="17"/>
      <c r="P1071" s="18">
        <f t="shared" si="32"/>
        <v>0</v>
      </c>
      <c r="Q1071" s="22"/>
      <c r="R1071" s="23"/>
    </row>
    <row r="1072" spans="1:18" ht="12.75">
      <c r="A1072" s="22"/>
      <c r="D1072" s="19"/>
      <c r="H1072" s="18"/>
      <c r="J1072" s="18"/>
      <c r="N1072" s="16"/>
      <c r="O1072" s="17"/>
      <c r="P1072" s="18">
        <f t="shared" si="32"/>
        <v>0</v>
      </c>
      <c r="Q1072" s="22"/>
      <c r="R1072" s="23"/>
    </row>
    <row r="1073" spans="1:18" ht="12.75">
      <c r="A1073" s="22"/>
      <c r="D1073" s="19"/>
      <c r="H1073" s="18"/>
      <c r="J1073" s="18"/>
      <c r="N1073" s="16"/>
      <c r="O1073" s="17"/>
      <c r="P1073" s="18">
        <f t="shared" si="32"/>
        <v>0</v>
      </c>
      <c r="Q1073" s="22"/>
      <c r="R1073" s="23"/>
    </row>
    <row r="1074" spans="1:18" ht="12.75">
      <c r="A1074" s="22"/>
      <c r="D1074" s="19"/>
      <c r="H1074" s="18"/>
      <c r="J1074" s="18"/>
      <c r="N1074" s="16"/>
      <c r="O1074" s="17"/>
      <c r="P1074" s="18">
        <f t="shared" si="32"/>
        <v>0</v>
      </c>
      <c r="Q1074" s="22"/>
      <c r="R1074" s="23"/>
    </row>
    <row r="1075" spans="1:18" ht="12.75">
      <c r="A1075" s="22"/>
      <c r="D1075" s="19"/>
      <c r="H1075" s="18"/>
      <c r="J1075" s="18"/>
      <c r="N1075" s="16"/>
      <c r="O1075" s="17"/>
      <c r="P1075" s="18">
        <f t="shared" si="32"/>
        <v>0</v>
      </c>
      <c r="Q1075" s="22"/>
      <c r="R1075" s="23"/>
    </row>
    <row r="1076" spans="1:18" ht="12.75">
      <c r="A1076" s="22"/>
      <c r="D1076" s="19"/>
      <c r="H1076" s="18"/>
      <c r="J1076" s="18"/>
      <c r="N1076" s="16"/>
      <c r="O1076" s="17"/>
      <c r="P1076" s="18">
        <f t="shared" si="32"/>
        <v>0</v>
      </c>
      <c r="Q1076" s="22"/>
      <c r="R1076" s="23"/>
    </row>
    <row r="1077" spans="1:18" ht="12.75">
      <c r="A1077" s="22"/>
      <c r="D1077" s="19"/>
      <c r="H1077" s="18"/>
      <c r="J1077" s="18"/>
      <c r="N1077" s="16"/>
      <c r="O1077" s="17"/>
      <c r="P1077" s="18">
        <f t="shared" si="32"/>
        <v>0</v>
      </c>
      <c r="Q1077" s="22"/>
      <c r="R1077" s="23"/>
    </row>
    <row r="1078" spans="1:18" ht="12.75">
      <c r="A1078" s="22"/>
      <c r="D1078" s="19"/>
      <c r="H1078" s="18"/>
      <c r="J1078" s="18"/>
      <c r="N1078" s="16"/>
      <c r="O1078" s="17"/>
      <c r="P1078" s="18">
        <f t="shared" si="32"/>
        <v>0</v>
      </c>
      <c r="Q1078" s="22"/>
      <c r="R1078" s="23"/>
    </row>
    <row r="1079" spans="1:18" ht="12.75">
      <c r="A1079" s="22"/>
      <c r="D1079" s="19"/>
      <c r="H1079" s="18"/>
      <c r="J1079" s="18"/>
      <c r="N1079" s="16"/>
      <c r="O1079" s="17"/>
      <c r="P1079" s="18">
        <f t="shared" si="32"/>
        <v>0</v>
      </c>
      <c r="Q1079" s="22"/>
      <c r="R1079" s="23"/>
    </row>
    <row r="1080" spans="1:18" ht="12.75">
      <c r="A1080" s="22"/>
      <c r="D1080" s="19"/>
      <c r="H1080" s="18"/>
      <c r="J1080" s="18"/>
      <c r="N1080" s="16"/>
      <c r="O1080" s="17"/>
      <c r="P1080" s="18">
        <f t="shared" si="32"/>
        <v>0</v>
      </c>
      <c r="Q1080" s="22"/>
      <c r="R1080" s="23"/>
    </row>
    <row r="1081" spans="1:18" ht="12.75">
      <c r="A1081" s="22"/>
      <c r="D1081" s="19"/>
      <c r="H1081" s="18"/>
      <c r="J1081" s="18"/>
      <c r="N1081" s="16"/>
      <c r="O1081" s="17"/>
      <c r="P1081" s="18">
        <f t="shared" si="32"/>
        <v>0</v>
      </c>
      <c r="Q1081" s="22"/>
      <c r="R1081" s="23"/>
    </row>
    <row r="1082" spans="1:18" ht="12.75">
      <c r="A1082" s="22"/>
      <c r="D1082" s="19"/>
      <c r="H1082" s="18"/>
      <c r="J1082" s="18"/>
      <c r="N1082" s="16"/>
      <c r="O1082" s="17"/>
      <c r="P1082" s="18">
        <f t="shared" si="32"/>
        <v>0</v>
      </c>
      <c r="Q1082" s="22"/>
      <c r="R1082" s="23"/>
    </row>
    <row r="1083" spans="1:18" ht="12.75">
      <c r="A1083" s="22"/>
      <c r="D1083" s="19"/>
      <c r="H1083" s="18"/>
      <c r="J1083" s="18"/>
      <c r="N1083" s="16"/>
      <c r="O1083" s="17"/>
      <c r="P1083" s="18">
        <f t="shared" si="32"/>
        <v>0</v>
      </c>
      <c r="Q1083" s="22"/>
      <c r="R1083" s="23"/>
    </row>
    <row r="1084" spans="1:18" ht="12.75">
      <c r="A1084" s="22"/>
      <c r="D1084" s="19"/>
      <c r="H1084" s="18"/>
      <c r="J1084" s="18"/>
      <c r="N1084" s="16"/>
      <c r="O1084" s="17"/>
      <c r="P1084" s="18">
        <f t="shared" si="32"/>
        <v>0</v>
      </c>
      <c r="Q1084" s="22"/>
      <c r="R1084" s="23"/>
    </row>
    <row r="1085" spans="1:18" ht="12.75">
      <c r="A1085" s="22"/>
      <c r="D1085" s="19"/>
      <c r="H1085" s="18"/>
      <c r="J1085" s="18"/>
      <c r="N1085" s="16"/>
      <c r="O1085" s="17"/>
      <c r="P1085" s="18">
        <f t="shared" si="32"/>
        <v>0</v>
      </c>
      <c r="Q1085" s="22"/>
      <c r="R1085" s="23"/>
    </row>
    <row r="1086" spans="1:18" ht="12.75">
      <c r="A1086" s="22"/>
      <c r="D1086" s="19"/>
      <c r="H1086" s="18"/>
      <c r="J1086" s="18"/>
      <c r="N1086" s="16"/>
      <c r="O1086" s="17"/>
      <c r="P1086" s="18">
        <f t="shared" si="32"/>
        <v>0</v>
      </c>
      <c r="Q1086" s="22"/>
      <c r="R1086" s="23"/>
    </row>
    <row r="1087" spans="1:18" ht="12.75">
      <c r="A1087" s="22"/>
      <c r="D1087" s="19"/>
      <c r="H1087" s="18"/>
      <c r="J1087" s="18"/>
      <c r="N1087" s="16"/>
      <c r="O1087" s="17"/>
      <c r="P1087" s="18">
        <f t="shared" si="32"/>
        <v>0</v>
      </c>
      <c r="Q1087" s="22"/>
      <c r="R1087" s="23"/>
    </row>
    <row r="1088" spans="1:18" ht="12.75">
      <c r="A1088" s="22"/>
      <c r="D1088" s="19"/>
      <c r="H1088" s="18"/>
      <c r="J1088" s="18"/>
      <c r="N1088" s="16"/>
      <c r="O1088" s="17"/>
      <c r="P1088" s="18">
        <f t="shared" si="32"/>
        <v>0</v>
      </c>
      <c r="Q1088" s="22"/>
      <c r="R1088" s="23"/>
    </row>
    <row r="1089" spans="1:18" ht="12.75">
      <c r="A1089" s="22"/>
      <c r="D1089" s="19"/>
      <c r="H1089" s="18"/>
      <c r="J1089" s="18"/>
      <c r="N1089" s="16"/>
      <c r="O1089" s="17"/>
      <c r="P1089" s="18">
        <f t="shared" si="32"/>
        <v>0</v>
      </c>
      <c r="Q1089" s="22"/>
      <c r="R1089" s="23"/>
    </row>
    <row r="1090" spans="1:18" ht="12.75">
      <c r="A1090" s="22"/>
      <c r="D1090" s="19"/>
      <c r="H1090" s="18"/>
      <c r="J1090" s="18"/>
      <c r="N1090" s="16"/>
      <c r="O1090" s="17"/>
      <c r="P1090" s="18">
        <f t="shared" si="32"/>
        <v>0</v>
      </c>
      <c r="Q1090" s="22"/>
      <c r="R1090" s="23"/>
    </row>
    <row r="1091" spans="1:18" ht="12.75">
      <c r="A1091" s="22"/>
      <c r="D1091" s="19"/>
      <c r="H1091" s="18"/>
      <c r="J1091" s="18"/>
      <c r="N1091" s="16"/>
      <c r="O1091" s="17"/>
      <c r="P1091" s="18">
        <f t="shared" si="32"/>
        <v>0</v>
      </c>
      <c r="Q1091" s="22"/>
      <c r="R1091" s="23"/>
    </row>
    <row r="1092" spans="1:18" ht="12.75">
      <c r="A1092" s="22"/>
      <c r="D1092" s="19"/>
      <c r="H1092" s="18"/>
      <c r="J1092" s="18"/>
      <c r="N1092" s="16"/>
      <c r="O1092" s="17"/>
      <c r="P1092" s="18">
        <f t="shared" si="32"/>
        <v>0</v>
      </c>
      <c r="Q1092" s="22"/>
      <c r="R1092" s="23"/>
    </row>
    <row r="1093" spans="1:18" ht="12.75">
      <c r="A1093" s="22"/>
      <c r="D1093" s="19"/>
      <c r="H1093" s="18"/>
      <c r="J1093" s="18"/>
      <c r="N1093" s="16"/>
      <c r="O1093" s="17"/>
      <c r="P1093" s="18">
        <f t="shared" ref="P1093:P1130" si="33">H1093+J1093+S1093</f>
        <v>0</v>
      </c>
      <c r="Q1093" s="22"/>
      <c r="R1093" s="23"/>
    </row>
    <row r="1094" spans="1:18" ht="12.75">
      <c r="A1094" s="22"/>
      <c r="D1094" s="19"/>
      <c r="H1094" s="18"/>
      <c r="J1094" s="18"/>
      <c r="N1094" s="16"/>
      <c r="O1094" s="17"/>
      <c r="P1094" s="18">
        <f t="shared" si="33"/>
        <v>0</v>
      </c>
      <c r="Q1094" s="22"/>
      <c r="R1094" s="23"/>
    </row>
    <row r="1095" spans="1:18" ht="12.75">
      <c r="A1095" s="22"/>
      <c r="D1095" s="19"/>
      <c r="H1095" s="18"/>
      <c r="J1095" s="18"/>
      <c r="N1095" s="16"/>
      <c r="O1095" s="17"/>
      <c r="P1095" s="18">
        <f t="shared" si="33"/>
        <v>0</v>
      </c>
      <c r="Q1095" s="22"/>
      <c r="R1095" s="23"/>
    </row>
    <row r="1096" spans="1:18" ht="12.75">
      <c r="A1096" s="22"/>
      <c r="D1096" s="19"/>
      <c r="H1096" s="18"/>
      <c r="J1096" s="18"/>
      <c r="N1096" s="16"/>
      <c r="O1096" s="17"/>
      <c r="P1096" s="18">
        <f t="shared" si="33"/>
        <v>0</v>
      </c>
      <c r="Q1096" s="22"/>
      <c r="R1096" s="23"/>
    </row>
    <row r="1097" spans="1:18" ht="12.75">
      <c r="A1097" s="22"/>
      <c r="D1097" s="19"/>
      <c r="H1097" s="18"/>
      <c r="J1097" s="18"/>
      <c r="N1097" s="16"/>
      <c r="O1097" s="17"/>
      <c r="P1097" s="18">
        <f t="shared" si="33"/>
        <v>0</v>
      </c>
      <c r="Q1097" s="22"/>
      <c r="R1097" s="23"/>
    </row>
    <row r="1098" spans="1:18" ht="12.75">
      <c r="A1098" s="22"/>
      <c r="D1098" s="19"/>
      <c r="H1098" s="18"/>
      <c r="J1098" s="18"/>
      <c r="N1098" s="16"/>
      <c r="O1098" s="17"/>
      <c r="P1098" s="18">
        <f t="shared" si="33"/>
        <v>0</v>
      </c>
      <c r="Q1098" s="22"/>
      <c r="R1098" s="23"/>
    </row>
    <row r="1099" spans="1:18" ht="12.75">
      <c r="A1099" s="22"/>
      <c r="D1099" s="19"/>
      <c r="H1099" s="18"/>
      <c r="J1099" s="18"/>
      <c r="N1099" s="16"/>
      <c r="O1099" s="17"/>
      <c r="P1099" s="18">
        <f t="shared" si="33"/>
        <v>0</v>
      </c>
      <c r="Q1099" s="22"/>
      <c r="R1099" s="23"/>
    </row>
    <row r="1100" spans="1:18" ht="12.75">
      <c r="A1100" s="22"/>
      <c r="D1100" s="19"/>
      <c r="H1100" s="18"/>
      <c r="J1100" s="18"/>
      <c r="N1100" s="16"/>
      <c r="O1100" s="17"/>
      <c r="P1100" s="18">
        <f t="shared" si="33"/>
        <v>0</v>
      </c>
      <c r="Q1100" s="22"/>
      <c r="R1100" s="23"/>
    </row>
    <row r="1101" spans="1:18" ht="12.75">
      <c r="A1101" s="22"/>
      <c r="D1101" s="19"/>
      <c r="H1101" s="18"/>
      <c r="J1101" s="18"/>
      <c r="N1101" s="16"/>
      <c r="O1101" s="17"/>
      <c r="P1101" s="18">
        <f t="shared" si="33"/>
        <v>0</v>
      </c>
      <c r="Q1101" s="22"/>
      <c r="R1101" s="23"/>
    </row>
    <row r="1102" spans="1:18" ht="12.75">
      <c r="A1102" s="22"/>
      <c r="D1102" s="19"/>
      <c r="H1102" s="18"/>
      <c r="J1102" s="18"/>
      <c r="N1102" s="16"/>
      <c r="O1102" s="17"/>
      <c r="P1102" s="18">
        <f t="shared" si="33"/>
        <v>0</v>
      </c>
      <c r="Q1102" s="22"/>
      <c r="R1102" s="23"/>
    </row>
    <row r="1103" spans="1:18" ht="12.75">
      <c r="A1103" s="22"/>
      <c r="D1103" s="19"/>
      <c r="H1103" s="18"/>
      <c r="J1103" s="18"/>
      <c r="N1103" s="16"/>
      <c r="O1103" s="17"/>
      <c r="P1103" s="18">
        <f t="shared" si="33"/>
        <v>0</v>
      </c>
      <c r="Q1103" s="22"/>
      <c r="R1103" s="23"/>
    </row>
    <row r="1104" spans="1:18" ht="12.75">
      <c r="A1104" s="22"/>
      <c r="D1104" s="19"/>
      <c r="H1104" s="18"/>
      <c r="J1104" s="18"/>
      <c r="N1104" s="16"/>
      <c r="O1104" s="17"/>
      <c r="P1104" s="18">
        <f t="shared" si="33"/>
        <v>0</v>
      </c>
      <c r="Q1104" s="22"/>
      <c r="R1104" s="23"/>
    </row>
    <row r="1105" spans="1:18" ht="12.75">
      <c r="A1105" s="22"/>
      <c r="D1105" s="19"/>
      <c r="H1105" s="18"/>
      <c r="J1105" s="18"/>
      <c r="N1105" s="16"/>
      <c r="O1105" s="17"/>
      <c r="P1105" s="18">
        <f t="shared" si="33"/>
        <v>0</v>
      </c>
      <c r="Q1105" s="22"/>
      <c r="R1105" s="23"/>
    </row>
    <row r="1106" spans="1:18" ht="12.75">
      <c r="A1106" s="22"/>
      <c r="D1106" s="19"/>
      <c r="H1106" s="18"/>
      <c r="J1106" s="18"/>
      <c r="N1106" s="16"/>
      <c r="O1106" s="17"/>
      <c r="P1106" s="18">
        <f t="shared" si="33"/>
        <v>0</v>
      </c>
      <c r="Q1106" s="22"/>
      <c r="R1106" s="23"/>
    </row>
    <row r="1107" spans="1:18" ht="12.75">
      <c r="A1107" s="22"/>
      <c r="D1107" s="19"/>
      <c r="H1107" s="18"/>
      <c r="J1107" s="18"/>
      <c r="N1107" s="16"/>
      <c r="O1107" s="17"/>
      <c r="P1107" s="18">
        <f t="shared" si="33"/>
        <v>0</v>
      </c>
      <c r="Q1107" s="22"/>
      <c r="R1107" s="23"/>
    </row>
    <row r="1108" spans="1:18" ht="12.75">
      <c r="A1108" s="22"/>
      <c r="D1108" s="19"/>
      <c r="H1108" s="18"/>
      <c r="J1108" s="18"/>
      <c r="N1108" s="16"/>
      <c r="O1108" s="17"/>
      <c r="P1108" s="18">
        <f t="shared" si="33"/>
        <v>0</v>
      </c>
      <c r="Q1108" s="22"/>
      <c r="R1108" s="23"/>
    </row>
    <row r="1109" spans="1:18" ht="12.75">
      <c r="A1109" s="22"/>
      <c r="D1109" s="19"/>
      <c r="H1109" s="18"/>
      <c r="J1109" s="18"/>
      <c r="N1109" s="16"/>
      <c r="O1109" s="17"/>
      <c r="P1109" s="18">
        <f t="shared" si="33"/>
        <v>0</v>
      </c>
      <c r="Q1109" s="22"/>
      <c r="R1109" s="23"/>
    </row>
    <row r="1110" spans="1:18" ht="12.75">
      <c r="A1110" s="22"/>
      <c r="D1110" s="19"/>
      <c r="H1110" s="18"/>
      <c r="J1110" s="18"/>
      <c r="N1110" s="16"/>
      <c r="O1110" s="17"/>
      <c r="P1110" s="18">
        <f t="shared" si="33"/>
        <v>0</v>
      </c>
      <c r="Q1110" s="22"/>
      <c r="R1110" s="23"/>
    </row>
    <row r="1111" spans="1:18" ht="12.75">
      <c r="A1111" s="22"/>
      <c r="D1111" s="19"/>
      <c r="H1111" s="18"/>
      <c r="J1111" s="18"/>
      <c r="N1111" s="16"/>
      <c r="O1111" s="17"/>
      <c r="P1111" s="18">
        <f t="shared" si="33"/>
        <v>0</v>
      </c>
      <c r="Q1111" s="22"/>
      <c r="R1111" s="23"/>
    </row>
    <row r="1112" spans="1:18" ht="12.75">
      <c r="A1112" s="22"/>
      <c r="D1112" s="19"/>
      <c r="H1112" s="18"/>
      <c r="J1112" s="18"/>
      <c r="N1112" s="16"/>
      <c r="O1112" s="17"/>
      <c r="P1112" s="18">
        <f t="shared" si="33"/>
        <v>0</v>
      </c>
      <c r="Q1112" s="22"/>
      <c r="R1112" s="23"/>
    </row>
    <row r="1113" spans="1:18" ht="12.75">
      <c r="A1113" s="22"/>
      <c r="D1113" s="19"/>
      <c r="H1113" s="18"/>
      <c r="J1113" s="18"/>
      <c r="N1113" s="16"/>
      <c r="O1113" s="17"/>
      <c r="P1113" s="18">
        <f t="shared" si="33"/>
        <v>0</v>
      </c>
      <c r="Q1113" s="22"/>
      <c r="R1113" s="23"/>
    </row>
    <row r="1114" spans="1:18" ht="12.75">
      <c r="A1114" s="22"/>
      <c r="D1114" s="19"/>
      <c r="H1114" s="18"/>
      <c r="J1114" s="18"/>
      <c r="N1114" s="16"/>
      <c r="O1114" s="17"/>
      <c r="P1114" s="18">
        <f t="shared" si="33"/>
        <v>0</v>
      </c>
      <c r="Q1114" s="22"/>
      <c r="R1114" s="23"/>
    </row>
    <row r="1115" spans="1:18" ht="12.75">
      <c r="A1115" s="22"/>
      <c r="D1115" s="19"/>
      <c r="H1115" s="18"/>
      <c r="J1115" s="18"/>
      <c r="N1115" s="16"/>
      <c r="O1115" s="17"/>
      <c r="P1115" s="18">
        <f t="shared" si="33"/>
        <v>0</v>
      </c>
      <c r="Q1115" s="22"/>
      <c r="R1115" s="23"/>
    </row>
    <row r="1116" spans="1:18" ht="12.75">
      <c r="A1116" s="22"/>
      <c r="D1116" s="19"/>
      <c r="H1116" s="18"/>
      <c r="J1116" s="18"/>
      <c r="N1116" s="16"/>
      <c r="O1116" s="17"/>
      <c r="P1116" s="18">
        <f t="shared" si="33"/>
        <v>0</v>
      </c>
      <c r="Q1116" s="22"/>
      <c r="R1116" s="23"/>
    </row>
    <row r="1117" spans="1:18" ht="12.75">
      <c r="A1117" s="22"/>
      <c r="D1117" s="19"/>
      <c r="H1117" s="18"/>
      <c r="J1117" s="18"/>
      <c r="N1117" s="16"/>
      <c r="O1117" s="17"/>
      <c r="P1117" s="18">
        <f t="shared" si="33"/>
        <v>0</v>
      </c>
      <c r="Q1117" s="22"/>
      <c r="R1117" s="23"/>
    </row>
    <row r="1118" spans="1:18" ht="12.75">
      <c r="A1118" s="22"/>
      <c r="D1118" s="19"/>
      <c r="H1118" s="18"/>
      <c r="J1118" s="18"/>
      <c r="N1118" s="16"/>
      <c r="O1118" s="17"/>
      <c r="P1118" s="18">
        <f t="shared" si="33"/>
        <v>0</v>
      </c>
      <c r="Q1118" s="22"/>
      <c r="R1118" s="23"/>
    </row>
    <row r="1119" spans="1:18" ht="12.75">
      <c r="A1119" s="22"/>
      <c r="D1119" s="19"/>
      <c r="H1119" s="18"/>
      <c r="J1119" s="18"/>
      <c r="N1119" s="16"/>
      <c r="O1119" s="17"/>
      <c r="P1119" s="18">
        <f t="shared" si="33"/>
        <v>0</v>
      </c>
      <c r="Q1119" s="22"/>
      <c r="R1119" s="23"/>
    </row>
    <row r="1120" spans="1:18" ht="12.75">
      <c r="A1120" s="22"/>
      <c r="D1120" s="19"/>
      <c r="H1120" s="18"/>
      <c r="J1120" s="18"/>
      <c r="N1120" s="16"/>
      <c r="O1120" s="17"/>
      <c r="P1120" s="18">
        <f t="shared" si="33"/>
        <v>0</v>
      </c>
      <c r="Q1120" s="22"/>
      <c r="R1120" s="23"/>
    </row>
    <row r="1121" spans="1:18" ht="12.75">
      <c r="A1121" s="22"/>
      <c r="D1121" s="19"/>
      <c r="H1121" s="18"/>
      <c r="J1121" s="18"/>
      <c r="N1121" s="16"/>
      <c r="O1121" s="17"/>
      <c r="P1121" s="18">
        <f t="shared" si="33"/>
        <v>0</v>
      </c>
      <c r="Q1121" s="22"/>
      <c r="R1121" s="23"/>
    </row>
    <row r="1122" spans="1:18" ht="12.75">
      <c r="A1122" s="22"/>
      <c r="D1122" s="19"/>
      <c r="H1122" s="18"/>
      <c r="J1122" s="18"/>
      <c r="N1122" s="16"/>
      <c r="O1122" s="17"/>
      <c r="P1122" s="18">
        <f t="shared" si="33"/>
        <v>0</v>
      </c>
      <c r="Q1122" s="22"/>
      <c r="R1122" s="23"/>
    </row>
    <row r="1123" spans="1:18" ht="12.75">
      <c r="A1123" s="22"/>
      <c r="D1123" s="19"/>
      <c r="H1123" s="18"/>
      <c r="J1123" s="18"/>
      <c r="N1123" s="16"/>
      <c r="O1123" s="17"/>
      <c r="P1123" s="18">
        <f t="shared" si="33"/>
        <v>0</v>
      </c>
      <c r="Q1123" s="22"/>
      <c r="R1123" s="23"/>
    </row>
    <row r="1124" spans="1:18" ht="12.75">
      <c r="A1124" s="22"/>
      <c r="D1124" s="19"/>
      <c r="H1124" s="18"/>
      <c r="J1124" s="18"/>
      <c r="N1124" s="16"/>
      <c r="O1124" s="17"/>
      <c r="P1124" s="18">
        <f t="shared" si="33"/>
        <v>0</v>
      </c>
      <c r="Q1124" s="22"/>
      <c r="R1124" s="23"/>
    </row>
    <row r="1125" spans="1:18" ht="12.75">
      <c r="A1125" s="22"/>
      <c r="D1125" s="19"/>
      <c r="H1125" s="18"/>
      <c r="J1125" s="18"/>
      <c r="N1125" s="16"/>
      <c r="O1125" s="17"/>
      <c r="P1125" s="18">
        <f t="shared" si="33"/>
        <v>0</v>
      </c>
      <c r="Q1125" s="22"/>
      <c r="R1125" s="23"/>
    </row>
    <row r="1126" spans="1:18" ht="12.75">
      <c r="A1126" s="22"/>
      <c r="D1126" s="19"/>
      <c r="H1126" s="18"/>
      <c r="J1126" s="18"/>
      <c r="N1126" s="16"/>
      <c r="O1126" s="17"/>
      <c r="P1126" s="18">
        <f t="shared" si="33"/>
        <v>0</v>
      </c>
      <c r="Q1126" s="22"/>
      <c r="R1126" s="23"/>
    </row>
    <row r="1127" spans="1:18" ht="12.75">
      <c r="A1127" s="22"/>
      <c r="D1127" s="19"/>
      <c r="H1127" s="18"/>
      <c r="J1127" s="18"/>
      <c r="N1127" s="16"/>
      <c r="O1127" s="17"/>
      <c r="P1127" s="18">
        <f t="shared" si="33"/>
        <v>0</v>
      </c>
      <c r="Q1127" s="22"/>
      <c r="R1127" s="23"/>
    </row>
    <row r="1128" spans="1:18" ht="12.75">
      <c r="A1128" s="22"/>
      <c r="D1128" s="19"/>
      <c r="H1128" s="18"/>
      <c r="J1128" s="18"/>
      <c r="N1128" s="16"/>
      <c r="O1128" s="17"/>
      <c r="P1128" s="18">
        <f t="shared" si="33"/>
        <v>0</v>
      </c>
      <c r="Q1128" s="22"/>
      <c r="R1128" s="23"/>
    </row>
    <row r="1129" spans="1:18" ht="12.75">
      <c r="A1129" s="22"/>
      <c r="D1129" s="19"/>
      <c r="H1129" s="18"/>
      <c r="J1129" s="18"/>
      <c r="N1129" s="16"/>
      <c r="O1129" s="17"/>
      <c r="P1129" s="18">
        <f t="shared" si="33"/>
        <v>0</v>
      </c>
      <c r="Q1129" s="22"/>
      <c r="R1129" s="23"/>
    </row>
    <row r="1130" spans="1:18" ht="12.75">
      <c r="A1130" s="22"/>
      <c r="D1130" s="19"/>
      <c r="H1130" s="18"/>
      <c r="J1130" s="18"/>
      <c r="N1130" s="16"/>
      <c r="O1130" s="17"/>
      <c r="P1130" s="18">
        <f t="shared" si="33"/>
        <v>0</v>
      </c>
      <c r="Q1130" s="22"/>
      <c r="R1130" s="23"/>
    </row>
    <row r="1131" spans="1:18" ht="12.75">
      <c r="A1131" s="22"/>
      <c r="D1131" s="19"/>
      <c r="N1131" s="16"/>
      <c r="O1131" s="17"/>
      <c r="Q1131" s="22"/>
    </row>
    <row r="1132" spans="1:18" ht="12.75">
      <c r="A1132" s="22"/>
      <c r="D1132" s="19"/>
      <c r="H1132" s="18"/>
      <c r="J1132" s="18"/>
      <c r="N1132" s="16"/>
      <c r="O1132" s="17"/>
      <c r="P1132" s="18">
        <f t="shared" ref="P1132:P1195" si="34">H1132+J1132+S1132</f>
        <v>0</v>
      </c>
      <c r="Q1132" s="22"/>
      <c r="R1132" s="23"/>
    </row>
    <row r="1133" spans="1:18" ht="12.75">
      <c r="A1133" s="22"/>
      <c r="D1133" s="19"/>
      <c r="H1133" s="18"/>
      <c r="J1133" s="18"/>
      <c r="N1133" s="16"/>
      <c r="O1133" s="17"/>
      <c r="P1133" s="18">
        <f t="shared" si="34"/>
        <v>0</v>
      </c>
      <c r="Q1133" s="22"/>
      <c r="R1133" s="23"/>
    </row>
    <row r="1134" spans="1:18" ht="12.75">
      <c r="A1134" s="22"/>
      <c r="D1134" s="19"/>
      <c r="H1134" s="18"/>
      <c r="J1134" s="18"/>
      <c r="N1134" s="16"/>
      <c r="O1134" s="17"/>
      <c r="P1134" s="18">
        <f t="shared" si="34"/>
        <v>0</v>
      </c>
      <c r="Q1134" s="22"/>
      <c r="R1134" s="23"/>
    </row>
    <row r="1135" spans="1:18" ht="12.75">
      <c r="A1135" s="22"/>
      <c r="D1135" s="19"/>
      <c r="H1135" s="18"/>
      <c r="J1135" s="18"/>
      <c r="N1135" s="16"/>
      <c r="O1135" s="17"/>
      <c r="P1135" s="18">
        <f t="shared" si="34"/>
        <v>0</v>
      </c>
      <c r="Q1135" s="22"/>
      <c r="R1135" s="23"/>
    </row>
    <row r="1136" spans="1:18" ht="12.75">
      <c r="A1136" s="22"/>
      <c r="D1136" s="19"/>
      <c r="H1136" s="18"/>
      <c r="J1136" s="18"/>
      <c r="N1136" s="16"/>
      <c r="O1136" s="17"/>
      <c r="P1136" s="18">
        <f t="shared" si="34"/>
        <v>0</v>
      </c>
      <c r="Q1136" s="22"/>
      <c r="R1136" s="23"/>
    </row>
    <row r="1137" spans="1:18" ht="12.75">
      <c r="A1137" s="22"/>
      <c r="D1137" s="19"/>
      <c r="H1137" s="18"/>
      <c r="J1137" s="18"/>
      <c r="N1137" s="16"/>
      <c r="O1137" s="17"/>
      <c r="P1137" s="18">
        <f t="shared" si="34"/>
        <v>0</v>
      </c>
      <c r="Q1137" s="22"/>
      <c r="R1137" s="23"/>
    </row>
    <row r="1138" spans="1:18" ht="12.75">
      <c r="A1138" s="22"/>
      <c r="D1138" s="19"/>
      <c r="H1138" s="18"/>
      <c r="J1138" s="18"/>
      <c r="N1138" s="16"/>
      <c r="O1138" s="17"/>
      <c r="P1138" s="18">
        <f t="shared" si="34"/>
        <v>0</v>
      </c>
      <c r="Q1138" s="22"/>
      <c r="R1138" s="23"/>
    </row>
    <row r="1139" spans="1:18" ht="12.75">
      <c r="A1139" s="22"/>
      <c r="D1139" s="19"/>
      <c r="H1139" s="18"/>
      <c r="J1139" s="18"/>
      <c r="N1139" s="16"/>
      <c r="O1139" s="17"/>
      <c r="P1139" s="18">
        <f t="shared" si="34"/>
        <v>0</v>
      </c>
      <c r="Q1139" s="22"/>
      <c r="R1139" s="23"/>
    </row>
    <row r="1140" spans="1:18" ht="12.75">
      <c r="A1140" s="22"/>
      <c r="D1140" s="19"/>
      <c r="H1140" s="18"/>
      <c r="J1140" s="18"/>
      <c r="N1140" s="16"/>
      <c r="O1140" s="17"/>
      <c r="P1140" s="18">
        <f t="shared" si="34"/>
        <v>0</v>
      </c>
      <c r="Q1140" s="22"/>
      <c r="R1140" s="23"/>
    </row>
    <row r="1141" spans="1:18" ht="12.75">
      <c r="A1141" s="22"/>
      <c r="D1141" s="19"/>
      <c r="H1141" s="18"/>
      <c r="J1141" s="18"/>
      <c r="N1141" s="16"/>
      <c r="O1141" s="17"/>
      <c r="P1141" s="18">
        <f t="shared" si="34"/>
        <v>0</v>
      </c>
      <c r="Q1141" s="22"/>
      <c r="R1141" s="23"/>
    </row>
    <row r="1142" spans="1:18" ht="12.75">
      <c r="A1142" s="22"/>
      <c r="D1142" s="19"/>
      <c r="H1142" s="18"/>
      <c r="J1142" s="18"/>
      <c r="N1142" s="16"/>
      <c r="O1142" s="17"/>
      <c r="P1142" s="18">
        <f t="shared" si="34"/>
        <v>0</v>
      </c>
      <c r="Q1142" s="22"/>
      <c r="R1142" s="23"/>
    </row>
    <row r="1143" spans="1:18" ht="12.75">
      <c r="A1143" s="22"/>
      <c r="D1143" s="19"/>
      <c r="H1143" s="18"/>
      <c r="J1143" s="18"/>
      <c r="N1143" s="16"/>
      <c r="O1143" s="17"/>
      <c r="P1143" s="18">
        <f t="shared" si="34"/>
        <v>0</v>
      </c>
      <c r="Q1143" s="22"/>
      <c r="R1143" s="23"/>
    </row>
    <row r="1144" spans="1:18" ht="12.75">
      <c r="A1144" s="22"/>
      <c r="D1144" s="19"/>
      <c r="H1144" s="18"/>
      <c r="J1144" s="18"/>
      <c r="N1144" s="16"/>
      <c r="O1144" s="17"/>
      <c r="P1144" s="18">
        <f t="shared" si="34"/>
        <v>0</v>
      </c>
      <c r="Q1144" s="22"/>
      <c r="R1144" s="23"/>
    </row>
    <row r="1145" spans="1:18" ht="12.75">
      <c r="A1145" s="22"/>
      <c r="D1145" s="19"/>
      <c r="H1145" s="18"/>
      <c r="J1145" s="18"/>
      <c r="N1145" s="16"/>
      <c r="O1145" s="17"/>
      <c r="P1145" s="18">
        <f t="shared" si="34"/>
        <v>0</v>
      </c>
      <c r="Q1145" s="22"/>
      <c r="R1145" s="23"/>
    </row>
    <row r="1146" spans="1:18" ht="12.75">
      <c r="A1146" s="22"/>
      <c r="D1146" s="19"/>
      <c r="H1146" s="18"/>
      <c r="J1146" s="18"/>
      <c r="N1146" s="16"/>
      <c r="O1146" s="17"/>
      <c r="P1146" s="18">
        <f t="shared" si="34"/>
        <v>0</v>
      </c>
      <c r="Q1146" s="22"/>
      <c r="R1146" s="23"/>
    </row>
    <row r="1147" spans="1:18" ht="12.75">
      <c r="A1147" s="22"/>
      <c r="D1147" s="19"/>
      <c r="H1147" s="18"/>
      <c r="J1147" s="18"/>
      <c r="N1147" s="16"/>
      <c r="O1147" s="17"/>
      <c r="P1147" s="18">
        <f t="shared" si="34"/>
        <v>0</v>
      </c>
      <c r="Q1147" s="22"/>
      <c r="R1147" s="23"/>
    </row>
    <row r="1148" spans="1:18" ht="12.75">
      <c r="A1148" s="22"/>
      <c r="D1148" s="19"/>
      <c r="H1148" s="18"/>
      <c r="J1148" s="18"/>
      <c r="N1148" s="16"/>
      <c r="O1148" s="17"/>
      <c r="P1148" s="18">
        <f t="shared" si="34"/>
        <v>0</v>
      </c>
      <c r="Q1148" s="22"/>
      <c r="R1148" s="23"/>
    </row>
    <row r="1149" spans="1:18" ht="12.75">
      <c r="A1149" s="22"/>
      <c r="D1149" s="19"/>
      <c r="H1149" s="18"/>
      <c r="J1149" s="18"/>
      <c r="N1149" s="16"/>
      <c r="O1149" s="17"/>
      <c r="P1149" s="18">
        <f t="shared" si="34"/>
        <v>0</v>
      </c>
      <c r="Q1149" s="22"/>
      <c r="R1149" s="23"/>
    </row>
    <row r="1150" spans="1:18" ht="12.75">
      <c r="A1150" s="22"/>
      <c r="D1150" s="19"/>
      <c r="H1150" s="18"/>
      <c r="J1150" s="18"/>
      <c r="N1150" s="16"/>
      <c r="O1150" s="17"/>
      <c r="P1150" s="18">
        <f t="shared" si="34"/>
        <v>0</v>
      </c>
      <c r="Q1150" s="22"/>
      <c r="R1150" s="23"/>
    </row>
    <row r="1151" spans="1:18" ht="12.75">
      <c r="A1151" s="22"/>
      <c r="D1151" s="19"/>
      <c r="H1151" s="18"/>
      <c r="J1151" s="18"/>
      <c r="N1151" s="16"/>
      <c r="O1151" s="17"/>
      <c r="P1151" s="18">
        <f t="shared" si="34"/>
        <v>0</v>
      </c>
      <c r="Q1151" s="22"/>
      <c r="R1151" s="23"/>
    </row>
    <row r="1152" spans="1:18" ht="12.75">
      <c r="A1152" s="22"/>
      <c r="D1152" s="19"/>
      <c r="H1152" s="18"/>
      <c r="J1152" s="18"/>
      <c r="N1152" s="16"/>
      <c r="O1152" s="17"/>
      <c r="P1152" s="18">
        <f t="shared" si="34"/>
        <v>0</v>
      </c>
      <c r="Q1152" s="22"/>
      <c r="R1152" s="23"/>
    </row>
    <row r="1153" spans="1:18" ht="12.75">
      <c r="A1153" s="22"/>
      <c r="D1153" s="19"/>
      <c r="H1153" s="18"/>
      <c r="J1153" s="18"/>
      <c r="N1153" s="16"/>
      <c r="O1153" s="17"/>
      <c r="P1153" s="18">
        <f t="shared" si="34"/>
        <v>0</v>
      </c>
      <c r="Q1153" s="22"/>
      <c r="R1153" s="23"/>
    </row>
    <row r="1154" spans="1:18" ht="12.75">
      <c r="A1154" s="22"/>
      <c r="D1154" s="19"/>
      <c r="H1154" s="18"/>
      <c r="J1154" s="18"/>
      <c r="N1154" s="16"/>
      <c r="O1154" s="17"/>
      <c r="P1154" s="18">
        <f t="shared" si="34"/>
        <v>0</v>
      </c>
      <c r="Q1154" s="22"/>
      <c r="R1154" s="23"/>
    </row>
    <row r="1155" spans="1:18" ht="12.75">
      <c r="A1155" s="22"/>
      <c r="D1155" s="19"/>
      <c r="H1155" s="18"/>
      <c r="J1155" s="18"/>
      <c r="N1155" s="16"/>
      <c r="O1155" s="17"/>
      <c r="P1155" s="18">
        <f t="shared" si="34"/>
        <v>0</v>
      </c>
      <c r="Q1155" s="22"/>
      <c r="R1155" s="23"/>
    </row>
    <row r="1156" spans="1:18" ht="12.75">
      <c r="A1156" s="22"/>
      <c r="D1156" s="19"/>
      <c r="H1156" s="18"/>
      <c r="J1156" s="18"/>
      <c r="N1156" s="16"/>
      <c r="O1156" s="17"/>
      <c r="P1156" s="18">
        <f t="shared" si="34"/>
        <v>0</v>
      </c>
      <c r="Q1156" s="22"/>
      <c r="R1156" s="23"/>
    </row>
    <row r="1157" spans="1:18" ht="12.75">
      <c r="A1157" s="22"/>
      <c r="D1157" s="19"/>
      <c r="H1157" s="18"/>
      <c r="J1157" s="18"/>
      <c r="N1157" s="16"/>
      <c r="O1157" s="17"/>
      <c r="P1157" s="18">
        <f t="shared" si="34"/>
        <v>0</v>
      </c>
      <c r="Q1157" s="22"/>
      <c r="R1157" s="23"/>
    </row>
    <row r="1158" spans="1:18" ht="12.75">
      <c r="A1158" s="22"/>
      <c r="D1158" s="19"/>
      <c r="H1158" s="18"/>
      <c r="J1158" s="18"/>
      <c r="N1158" s="16"/>
      <c r="O1158" s="17"/>
      <c r="P1158" s="18">
        <f t="shared" si="34"/>
        <v>0</v>
      </c>
      <c r="Q1158" s="22"/>
      <c r="R1158" s="23"/>
    </row>
    <row r="1159" spans="1:18" ht="12.75">
      <c r="A1159" s="22"/>
      <c r="D1159" s="19"/>
      <c r="H1159" s="18"/>
      <c r="J1159" s="18"/>
      <c r="N1159" s="16"/>
      <c r="O1159" s="17"/>
      <c r="P1159" s="18">
        <f t="shared" si="34"/>
        <v>0</v>
      </c>
      <c r="Q1159" s="22"/>
      <c r="R1159" s="23"/>
    </row>
    <row r="1160" spans="1:18" ht="12.75">
      <c r="A1160" s="22"/>
      <c r="D1160" s="19"/>
      <c r="H1160" s="18"/>
      <c r="J1160" s="18"/>
      <c r="N1160" s="16"/>
      <c r="O1160" s="17"/>
      <c r="P1160" s="18">
        <f t="shared" si="34"/>
        <v>0</v>
      </c>
      <c r="Q1160" s="22"/>
      <c r="R1160" s="23"/>
    </row>
    <row r="1161" spans="1:18" ht="12.75">
      <c r="A1161" s="22"/>
      <c r="D1161" s="19"/>
      <c r="H1161" s="18"/>
      <c r="J1161" s="18"/>
      <c r="N1161" s="16"/>
      <c r="O1161" s="17"/>
      <c r="P1161" s="18">
        <f t="shared" si="34"/>
        <v>0</v>
      </c>
      <c r="Q1161" s="22"/>
      <c r="R1161" s="23"/>
    </row>
    <row r="1162" spans="1:18" ht="12.75">
      <c r="A1162" s="22"/>
      <c r="D1162" s="19"/>
      <c r="H1162" s="18"/>
      <c r="J1162" s="18"/>
      <c r="N1162" s="16"/>
      <c r="O1162" s="17"/>
      <c r="P1162" s="18">
        <f t="shared" si="34"/>
        <v>0</v>
      </c>
      <c r="Q1162" s="22"/>
      <c r="R1162" s="23"/>
    </row>
    <row r="1163" spans="1:18" ht="12.75">
      <c r="A1163" s="22"/>
      <c r="D1163" s="19"/>
      <c r="H1163" s="18"/>
      <c r="J1163" s="18"/>
      <c r="N1163" s="16"/>
      <c r="O1163" s="17"/>
      <c r="P1163" s="18">
        <f t="shared" si="34"/>
        <v>0</v>
      </c>
      <c r="Q1163" s="22"/>
      <c r="R1163" s="23"/>
    </row>
    <row r="1164" spans="1:18" ht="12.75">
      <c r="A1164" s="22"/>
      <c r="D1164" s="19"/>
      <c r="H1164" s="18"/>
      <c r="J1164" s="18"/>
      <c r="N1164" s="16"/>
      <c r="O1164" s="17"/>
      <c r="P1164" s="18">
        <f t="shared" si="34"/>
        <v>0</v>
      </c>
      <c r="Q1164" s="22"/>
      <c r="R1164" s="23"/>
    </row>
    <row r="1165" spans="1:18" ht="12.75">
      <c r="A1165" s="22"/>
      <c r="D1165" s="19"/>
      <c r="H1165" s="18"/>
      <c r="J1165" s="18"/>
      <c r="N1165" s="16"/>
      <c r="O1165" s="17"/>
      <c r="P1165" s="18">
        <f t="shared" si="34"/>
        <v>0</v>
      </c>
      <c r="Q1165" s="22"/>
      <c r="R1165" s="23"/>
    </row>
    <row r="1166" spans="1:18" ht="12.75">
      <c r="A1166" s="22"/>
      <c r="D1166" s="19"/>
      <c r="H1166" s="18"/>
      <c r="J1166" s="18"/>
      <c r="N1166" s="16"/>
      <c r="O1166" s="17"/>
      <c r="P1166" s="18">
        <f t="shared" si="34"/>
        <v>0</v>
      </c>
      <c r="Q1166" s="22"/>
      <c r="R1166" s="23"/>
    </row>
    <row r="1167" spans="1:18" ht="12.75">
      <c r="A1167" s="22"/>
      <c r="D1167" s="19"/>
      <c r="H1167" s="18"/>
      <c r="J1167" s="18"/>
      <c r="N1167" s="16"/>
      <c r="O1167" s="17"/>
      <c r="P1167" s="18">
        <f t="shared" si="34"/>
        <v>0</v>
      </c>
      <c r="Q1167" s="22"/>
      <c r="R1167" s="23"/>
    </row>
    <row r="1168" spans="1:18" ht="12.75">
      <c r="A1168" s="22"/>
      <c r="D1168" s="19"/>
      <c r="H1168" s="18"/>
      <c r="J1168" s="18"/>
      <c r="N1168" s="16"/>
      <c r="O1168" s="17"/>
      <c r="P1168" s="18">
        <f t="shared" si="34"/>
        <v>0</v>
      </c>
      <c r="Q1168" s="22"/>
      <c r="R1168" s="23"/>
    </row>
    <row r="1169" spans="1:18" ht="12.75">
      <c r="A1169" s="22"/>
      <c r="D1169" s="19"/>
      <c r="H1169" s="18"/>
      <c r="J1169" s="18"/>
      <c r="N1169" s="16"/>
      <c r="O1169" s="17"/>
      <c r="P1169" s="18">
        <f t="shared" si="34"/>
        <v>0</v>
      </c>
      <c r="Q1169" s="22"/>
      <c r="R1169" s="23"/>
    </row>
    <row r="1170" spans="1:18" ht="12.75">
      <c r="A1170" s="22"/>
      <c r="D1170" s="19"/>
      <c r="H1170" s="18"/>
      <c r="J1170" s="18"/>
      <c r="N1170" s="16"/>
      <c r="O1170" s="17"/>
      <c r="P1170" s="18">
        <f t="shared" si="34"/>
        <v>0</v>
      </c>
      <c r="Q1170" s="22"/>
      <c r="R1170" s="23"/>
    </row>
    <row r="1171" spans="1:18" ht="12.75">
      <c r="A1171" s="22"/>
      <c r="D1171" s="19"/>
      <c r="H1171" s="18"/>
      <c r="J1171" s="18"/>
      <c r="N1171" s="16"/>
      <c r="O1171" s="17"/>
      <c r="P1171" s="18">
        <f t="shared" si="34"/>
        <v>0</v>
      </c>
      <c r="Q1171" s="22"/>
      <c r="R1171" s="23"/>
    </row>
    <row r="1172" spans="1:18" ht="12.75">
      <c r="A1172" s="22"/>
      <c r="D1172" s="19"/>
      <c r="H1172" s="18"/>
      <c r="J1172" s="18"/>
      <c r="N1172" s="16"/>
      <c r="O1172" s="17"/>
      <c r="P1172" s="18">
        <f t="shared" si="34"/>
        <v>0</v>
      </c>
      <c r="Q1172" s="22"/>
      <c r="R1172" s="23"/>
    </row>
    <row r="1173" spans="1:18" ht="12.75">
      <c r="A1173" s="22"/>
      <c r="D1173" s="19"/>
      <c r="H1173" s="18"/>
      <c r="J1173" s="18"/>
      <c r="N1173" s="16"/>
      <c r="O1173" s="17"/>
      <c r="P1173" s="18">
        <f t="shared" si="34"/>
        <v>0</v>
      </c>
      <c r="Q1173" s="22"/>
      <c r="R1173" s="23"/>
    </row>
    <row r="1174" spans="1:18" ht="12.75">
      <c r="A1174" s="22"/>
      <c r="D1174" s="19"/>
      <c r="H1174" s="18"/>
      <c r="J1174" s="18"/>
      <c r="N1174" s="16"/>
      <c r="O1174" s="17"/>
      <c r="P1174" s="18">
        <f t="shared" si="34"/>
        <v>0</v>
      </c>
      <c r="Q1174" s="22"/>
      <c r="R1174" s="23"/>
    </row>
    <row r="1175" spans="1:18" ht="12.75">
      <c r="A1175" s="22"/>
      <c r="D1175" s="19"/>
      <c r="H1175" s="18"/>
      <c r="J1175" s="18"/>
      <c r="N1175" s="16"/>
      <c r="O1175" s="17"/>
      <c r="P1175" s="18">
        <f t="shared" si="34"/>
        <v>0</v>
      </c>
      <c r="Q1175" s="22"/>
      <c r="R1175" s="23"/>
    </row>
    <row r="1176" spans="1:18" ht="12.75">
      <c r="A1176" s="22"/>
      <c r="D1176" s="19"/>
      <c r="H1176" s="18"/>
      <c r="J1176" s="18"/>
      <c r="N1176" s="16"/>
      <c r="O1176" s="17"/>
      <c r="P1176" s="18">
        <f t="shared" si="34"/>
        <v>0</v>
      </c>
      <c r="Q1176" s="22"/>
      <c r="R1176" s="23"/>
    </row>
    <row r="1177" spans="1:18" ht="12.75">
      <c r="A1177" s="22"/>
      <c r="D1177" s="19"/>
      <c r="H1177" s="18"/>
      <c r="J1177" s="18"/>
      <c r="N1177" s="16"/>
      <c r="O1177" s="17"/>
      <c r="P1177" s="18">
        <f t="shared" si="34"/>
        <v>0</v>
      </c>
      <c r="Q1177" s="22"/>
      <c r="R1177" s="23"/>
    </row>
    <row r="1178" spans="1:18" ht="12.75">
      <c r="A1178" s="22"/>
      <c r="D1178" s="19"/>
      <c r="H1178" s="18"/>
      <c r="J1178" s="18"/>
      <c r="N1178" s="16"/>
      <c r="O1178" s="17"/>
      <c r="P1178" s="18">
        <f t="shared" si="34"/>
        <v>0</v>
      </c>
      <c r="Q1178" s="22"/>
      <c r="R1178" s="23"/>
    </row>
    <row r="1179" spans="1:18" ht="12.75">
      <c r="A1179" s="22"/>
      <c r="D1179" s="19"/>
      <c r="H1179" s="18"/>
      <c r="J1179" s="18"/>
      <c r="N1179" s="16"/>
      <c r="O1179" s="17"/>
      <c r="P1179" s="18">
        <f t="shared" si="34"/>
        <v>0</v>
      </c>
      <c r="Q1179" s="22"/>
      <c r="R1179" s="23"/>
    </row>
    <row r="1180" spans="1:18" ht="12.75">
      <c r="A1180" s="22"/>
      <c r="D1180" s="19"/>
      <c r="H1180" s="18"/>
      <c r="J1180" s="18"/>
      <c r="N1180" s="16"/>
      <c r="O1180" s="17"/>
      <c r="P1180" s="18">
        <f t="shared" si="34"/>
        <v>0</v>
      </c>
      <c r="Q1180" s="22"/>
      <c r="R1180" s="23"/>
    </row>
    <row r="1181" spans="1:18" ht="12.75">
      <c r="A1181" s="22"/>
      <c r="D1181" s="19"/>
      <c r="H1181" s="18"/>
      <c r="J1181" s="18"/>
      <c r="N1181" s="16"/>
      <c r="O1181" s="17"/>
      <c r="P1181" s="18">
        <f t="shared" si="34"/>
        <v>0</v>
      </c>
      <c r="Q1181" s="22"/>
      <c r="R1181" s="23"/>
    </row>
    <row r="1182" spans="1:18" ht="12.75">
      <c r="A1182" s="22"/>
      <c r="D1182" s="19"/>
      <c r="H1182" s="18"/>
      <c r="J1182" s="18"/>
      <c r="N1182" s="16"/>
      <c r="O1182" s="17"/>
      <c r="P1182" s="18">
        <f t="shared" si="34"/>
        <v>0</v>
      </c>
      <c r="Q1182" s="22"/>
      <c r="R1182" s="23"/>
    </row>
    <row r="1183" spans="1:18" ht="12.75">
      <c r="A1183" s="22"/>
      <c r="D1183" s="19"/>
      <c r="H1183" s="18"/>
      <c r="J1183" s="18"/>
      <c r="N1183" s="16"/>
      <c r="O1183" s="17"/>
      <c r="P1183" s="18">
        <f t="shared" si="34"/>
        <v>0</v>
      </c>
      <c r="Q1183" s="22"/>
      <c r="R1183" s="23"/>
    </row>
    <row r="1184" spans="1:18" ht="12.75">
      <c r="A1184" s="22"/>
      <c r="D1184" s="19"/>
      <c r="H1184" s="18"/>
      <c r="J1184" s="18"/>
      <c r="N1184" s="16"/>
      <c r="O1184" s="17"/>
      <c r="P1184" s="18">
        <f t="shared" si="34"/>
        <v>0</v>
      </c>
      <c r="Q1184" s="22"/>
      <c r="R1184" s="23"/>
    </row>
    <row r="1185" spans="1:18" ht="12.75">
      <c r="A1185" s="22"/>
      <c r="D1185" s="19"/>
      <c r="H1185" s="18"/>
      <c r="J1185" s="18"/>
      <c r="N1185" s="16"/>
      <c r="O1185" s="17"/>
      <c r="P1185" s="18">
        <f t="shared" si="34"/>
        <v>0</v>
      </c>
      <c r="Q1185" s="22"/>
      <c r="R1185" s="23"/>
    </row>
    <row r="1186" spans="1:18" ht="12.75">
      <c r="A1186" s="22"/>
      <c r="D1186" s="19"/>
      <c r="H1186" s="18"/>
      <c r="J1186" s="18"/>
      <c r="N1186" s="16"/>
      <c r="O1186" s="17"/>
      <c r="P1186" s="18">
        <f t="shared" si="34"/>
        <v>0</v>
      </c>
      <c r="Q1186" s="22"/>
      <c r="R1186" s="23"/>
    </row>
    <row r="1187" spans="1:18" ht="12.75">
      <c r="A1187" s="22"/>
      <c r="D1187" s="19"/>
      <c r="H1187" s="18"/>
      <c r="J1187" s="18"/>
      <c r="N1187" s="16"/>
      <c r="O1187" s="17"/>
      <c r="P1187" s="18">
        <f t="shared" si="34"/>
        <v>0</v>
      </c>
      <c r="Q1187" s="22"/>
      <c r="R1187" s="23"/>
    </row>
    <row r="1188" spans="1:18" ht="12.75">
      <c r="A1188" s="22"/>
      <c r="D1188" s="19"/>
      <c r="H1188" s="18"/>
      <c r="J1188" s="18"/>
      <c r="N1188" s="16"/>
      <c r="O1188" s="17"/>
      <c r="P1188" s="18">
        <f t="shared" si="34"/>
        <v>0</v>
      </c>
      <c r="Q1188" s="22"/>
      <c r="R1188" s="23"/>
    </row>
    <row r="1189" spans="1:18" ht="12.75">
      <c r="A1189" s="22"/>
      <c r="D1189" s="19"/>
      <c r="H1189" s="18"/>
      <c r="J1189" s="18"/>
      <c r="N1189" s="16"/>
      <c r="O1189" s="17"/>
      <c r="P1189" s="18">
        <f t="shared" si="34"/>
        <v>0</v>
      </c>
      <c r="Q1189" s="22"/>
      <c r="R1189" s="23"/>
    </row>
    <row r="1190" spans="1:18" ht="12.75">
      <c r="A1190" s="22"/>
      <c r="D1190" s="19"/>
      <c r="H1190" s="18"/>
      <c r="J1190" s="18"/>
      <c r="N1190" s="16"/>
      <c r="O1190" s="17"/>
      <c r="P1190" s="18">
        <f t="shared" si="34"/>
        <v>0</v>
      </c>
      <c r="Q1190" s="22"/>
      <c r="R1190" s="23"/>
    </row>
    <row r="1191" spans="1:18" ht="12.75">
      <c r="A1191" s="22"/>
      <c r="D1191" s="19"/>
      <c r="H1191" s="18"/>
      <c r="J1191" s="18"/>
      <c r="N1191" s="16"/>
      <c r="O1191" s="17"/>
      <c r="P1191" s="18">
        <f t="shared" si="34"/>
        <v>0</v>
      </c>
      <c r="Q1191" s="22"/>
      <c r="R1191" s="23"/>
    </row>
    <row r="1192" spans="1:18" ht="12.75">
      <c r="A1192" s="22"/>
      <c r="D1192" s="19"/>
      <c r="H1192" s="18"/>
      <c r="J1192" s="18"/>
      <c r="N1192" s="16"/>
      <c r="O1192" s="17"/>
      <c r="P1192" s="18">
        <f t="shared" si="34"/>
        <v>0</v>
      </c>
      <c r="Q1192" s="22"/>
      <c r="R1192" s="23"/>
    </row>
    <row r="1193" spans="1:18" ht="12.75">
      <c r="A1193" s="22"/>
      <c r="D1193" s="19"/>
      <c r="H1193" s="18"/>
      <c r="J1193" s="18"/>
      <c r="N1193" s="16"/>
      <c r="O1193" s="17"/>
      <c r="P1193" s="18">
        <f t="shared" si="34"/>
        <v>0</v>
      </c>
      <c r="Q1193" s="22"/>
      <c r="R1193" s="23"/>
    </row>
    <row r="1194" spans="1:18" ht="12.75">
      <c r="A1194" s="22"/>
      <c r="D1194" s="19"/>
      <c r="H1194" s="18"/>
      <c r="J1194" s="18"/>
      <c r="N1194" s="16"/>
      <c r="O1194" s="17"/>
      <c r="P1194" s="18">
        <f t="shared" si="34"/>
        <v>0</v>
      </c>
      <c r="Q1194" s="22"/>
      <c r="R1194" s="23"/>
    </row>
    <row r="1195" spans="1:18" ht="12.75">
      <c r="A1195" s="22"/>
      <c r="D1195" s="19"/>
      <c r="H1195" s="18"/>
      <c r="J1195" s="18"/>
      <c r="N1195" s="16"/>
      <c r="O1195" s="17"/>
      <c r="P1195" s="18">
        <f t="shared" si="34"/>
        <v>0</v>
      </c>
      <c r="Q1195" s="22"/>
      <c r="R1195" s="23"/>
    </row>
    <row r="1196" spans="1:18" ht="12.75">
      <c r="A1196" s="22"/>
      <c r="D1196" s="19"/>
      <c r="H1196" s="18"/>
      <c r="J1196" s="18"/>
      <c r="N1196" s="16"/>
      <c r="O1196" s="17"/>
      <c r="P1196" s="18">
        <f t="shared" ref="P1196:P1259" si="35">H1196+J1196+S1196</f>
        <v>0</v>
      </c>
      <c r="Q1196" s="22"/>
      <c r="R1196" s="23"/>
    </row>
    <row r="1197" spans="1:18" ht="12.75">
      <c r="A1197" s="22"/>
      <c r="D1197" s="19"/>
      <c r="H1197" s="18"/>
      <c r="J1197" s="18"/>
      <c r="N1197" s="16"/>
      <c r="O1197" s="17"/>
      <c r="P1197" s="18">
        <f t="shared" si="35"/>
        <v>0</v>
      </c>
      <c r="Q1197" s="22"/>
      <c r="R1197" s="23"/>
    </row>
    <row r="1198" spans="1:18" ht="12.75">
      <c r="A1198" s="22"/>
      <c r="D1198" s="19"/>
      <c r="H1198" s="18"/>
      <c r="J1198" s="18"/>
      <c r="N1198" s="16"/>
      <c r="O1198" s="17"/>
      <c r="P1198" s="18">
        <f t="shared" si="35"/>
        <v>0</v>
      </c>
      <c r="Q1198" s="22"/>
      <c r="R1198" s="23"/>
    </row>
    <row r="1199" spans="1:18" ht="12.75">
      <c r="A1199" s="22"/>
      <c r="D1199" s="19"/>
      <c r="H1199" s="18"/>
      <c r="J1199" s="18"/>
      <c r="N1199" s="16"/>
      <c r="O1199" s="17"/>
      <c r="P1199" s="18">
        <f t="shared" si="35"/>
        <v>0</v>
      </c>
      <c r="Q1199" s="22"/>
      <c r="R1199" s="23"/>
    </row>
    <row r="1200" spans="1:18" ht="12.75">
      <c r="A1200" s="22"/>
      <c r="D1200" s="19"/>
      <c r="H1200" s="18"/>
      <c r="J1200" s="18"/>
      <c r="N1200" s="16"/>
      <c r="O1200" s="17"/>
      <c r="P1200" s="18">
        <f t="shared" si="35"/>
        <v>0</v>
      </c>
      <c r="Q1200" s="22"/>
      <c r="R1200" s="23"/>
    </row>
    <row r="1201" spans="1:18" ht="12.75">
      <c r="A1201" s="22"/>
      <c r="D1201" s="19"/>
      <c r="H1201" s="18"/>
      <c r="J1201" s="18"/>
      <c r="N1201" s="16"/>
      <c r="O1201" s="17"/>
      <c r="P1201" s="18">
        <f t="shared" si="35"/>
        <v>0</v>
      </c>
      <c r="Q1201" s="22"/>
      <c r="R1201" s="23"/>
    </row>
    <row r="1202" spans="1:18" ht="12.75">
      <c r="A1202" s="22"/>
      <c r="D1202" s="19"/>
      <c r="H1202" s="18"/>
      <c r="J1202" s="18"/>
      <c r="N1202" s="16"/>
      <c r="O1202" s="17"/>
      <c r="P1202" s="18">
        <f t="shared" si="35"/>
        <v>0</v>
      </c>
      <c r="Q1202" s="22"/>
      <c r="R1202" s="23"/>
    </row>
    <row r="1203" spans="1:18" ht="12.75">
      <c r="A1203" s="22"/>
      <c r="D1203" s="19"/>
      <c r="H1203" s="18"/>
      <c r="J1203" s="18"/>
      <c r="N1203" s="16"/>
      <c r="O1203" s="17"/>
      <c r="P1203" s="18">
        <f t="shared" si="35"/>
        <v>0</v>
      </c>
      <c r="Q1203" s="22"/>
      <c r="R1203" s="23"/>
    </row>
    <row r="1204" spans="1:18" ht="12.75">
      <c r="A1204" s="22"/>
      <c r="D1204" s="19"/>
      <c r="H1204" s="18"/>
      <c r="J1204" s="18"/>
      <c r="N1204" s="16"/>
      <c r="O1204" s="17"/>
      <c r="P1204" s="18">
        <f t="shared" si="35"/>
        <v>0</v>
      </c>
      <c r="Q1204" s="22"/>
      <c r="R1204" s="23"/>
    </row>
    <row r="1205" spans="1:18" ht="12.75">
      <c r="A1205" s="22"/>
      <c r="D1205" s="19"/>
      <c r="H1205" s="18"/>
      <c r="J1205" s="18"/>
      <c r="N1205" s="16"/>
      <c r="O1205" s="17"/>
      <c r="P1205" s="18">
        <f t="shared" si="35"/>
        <v>0</v>
      </c>
      <c r="Q1205" s="22"/>
      <c r="R1205" s="23"/>
    </row>
    <row r="1206" spans="1:18" ht="12.75">
      <c r="A1206" s="22"/>
      <c r="D1206" s="19"/>
      <c r="H1206" s="18"/>
      <c r="J1206" s="18"/>
      <c r="N1206" s="16"/>
      <c r="O1206" s="17"/>
      <c r="P1206" s="18">
        <f t="shared" si="35"/>
        <v>0</v>
      </c>
      <c r="Q1206" s="22"/>
      <c r="R1206" s="23"/>
    </row>
    <row r="1207" spans="1:18" ht="12.75">
      <c r="A1207" s="22"/>
      <c r="D1207" s="19"/>
      <c r="H1207" s="18"/>
      <c r="J1207" s="18"/>
      <c r="N1207" s="16"/>
      <c r="O1207" s="17"/>
      <c r="P1207" s="18">
        <f t="shared" si="35"/>
        <v>0</v>
      </c>
      <c r="Q1207" s="22"/>
      <c r="R1207" s="23"/>
    </row>
    <row r="1208" spans="1:18" ht="12.75">
      <c r="A1208" s="22"/>
      <c r="D1208" s="19"/>
      <c r="H1208" s="18"/>
      <c r="J1208" s="18"/>
      <c r="N1208" s="16"/>
      <c r="O1208" s="17"/>
      <c r="P1208" s="18">
        <f t="shared" si="35"/>
        <v>0</v>
      </c>
      <c r="Q1208" s="22"/>
      <c r="R1208" s="23"/>
    </row>
    <row r="1209" spans="1:18" ht="12.75">
      <c r="A1209" s="22"/>
      <c r="D1209" s="19"/>
      <c r="H1209" s="18"/>
      <c r="J1209" s="18"/>
      <c r="N1209" s="16"/>
      <c r="O1209" s="17"/>
      <c r="P1209" s="18">
        <f t="shared" si="35"/>
        <v>0</v>
      </c>
      <c r="Q1209" s="22"/>
      <c r="R1209" s="23"/>
    </row>
    <row r="1210" spans="1:18" ht="12.75">
      <c r="A1210" s="22"/>
      <c r="D1210" s="19"/>
      <c r="H1210" s="18"/>
      <c r="J1210" s="18"/>
      <c r="N1210" s="16"/>
      <c r="O1210" s="17"/>
      <c r="P1210" s="18">
        <f t="shared" si="35"/>
        <v>0</v>
      </c>
      <c r="Q1210" s="22"/>
      <c r="R1210" s="23"/>
    </row>
    <row r="1211" spans="1:18" ht="12.75">
      <c r="A1211" s="22"/>
      <c r="D1211" s="19"/>
      <c r="H1211" s="18"/>
      <c r="J1211" s="18"/>
      <c r="N1211" s="16"/>
      <c r="O1211" s="17"/>
      <c r="P1211" s="18">
        <f t="shared" si="35"/>
        <v>0</v>
      </c>
      <c r="Q1211" s="22"/>
      <c r="R1211" s="23"/>
    </row>
    <row r="1212" spans="1:18" ht="12.75">
      <c r="A1212" s="22"/>
      <c r="D1212" s="19"/>
      <c r="H1212" s="18"/>
      <c r="J1212" s="18"/>
      <c r="N1212" s="16"/>
      <c r="O1212" s="17"/>
      <c r="P1212" s="18">
        <f t="shared" si="35"/>
        <v>0</v>
      </c>
      <c r="Q1212" s="22"/>
      <c r="R1212" s="23"/>
    </row>
    <row r="1213" spans="1:18" ht="12.75">
      <c r="A1213" s="22"/>
      <c r="D1213" s="19"/>
      <c r="H1213" s="18"/>
      <c r="J1213" s="18"/>
      <c r="N1213" s="16"/>
      <c r="O1213" s="17"/>
      <c r="P1213" s="18">
        <f t="shared" si="35"/>
        <v>0</v>
      </c>
      <c r="Q1213" s="22"/>
      <c r="R1213" s="23"/>
    </row>
    <row r="1214" spans="1:18" ht="12.75">
      <c r="A1214" s="22"/>
      <c r="D1214" s="19"/>
      <c r="H1214" s="18"/>
      <c r="J1214" s="18"/>
      <c r="N1214" s="16"/>
      <c r="O1214" s="17"/>
      <c r="P1214" s="18">
        <f t="shared" si="35"/>
        <v>0</v>
      </c>
      <c r="Q1214" s="22"/>
      <c r="R1214" s="23"/>
    </row>
    <row r="1215" spans="1:18" ht="12.75">
      <c r="A1215" s="22"/>
      <c r="D1215" s="19"/>
      <c r="H1215" s="18"/>
      <c r="J1215" s="18"/>
      <c r="N1215" s="16"/>
      <c r="O1215" s="17"/>
      <c r="P1215" s="18">
        <f t="shared" si="35"/>
        <v>0</v>
      </c>
      <c r="Q1215" s="22"/>
      <c r="R1215" s="23"/>
    </row>
    <row r="1216" spans="1:18" ht="12.75">
      <c r="A1216" s="22"/>
      <c r="D1216" s="19"/>
      <c r="H1216" s="18"/>
      <c r="J1216" s="18"/>
      <c r="N1216" s="16"/>
      <c r="O1216" s="17"/>
      <c r="P1216" s="18">
        <f t="shared" si="35"/>
        <v>0</v>
      </c>
      <c r="Q1216" s="22"/>
      <c r="R1216" s="23"/>
    </row>
    <row r="1217" spans="1:18" ht="12.75">
      <c r="A1217" s="22"/>
      <c r="D1217" s="19"/>
      <c r="H1217" s="18"/>
      <c r="J1217" s="18"/>
      <c r="N1217" s="16"/>
      <c r="O1217" s="17"/>
      <c r="P1217" s="18">
        <f t="shared" si="35"/>
        <v>0</v>
      </c>
      <c r="Q1217" s="22"/>
      <c r="R1217" s="23"/>
    </row>
    <row r="1218" spans="1:18" ht="12.75">
      <c r="A1218" s="22"/>
      <c r="D1218" s="19"/>
      <c r="H1218" s="18"/>
      <c r="J1218" s="18"/>
      <c r="N1218" s="16"/>
      <c r="O1218" s="17"/>
      <c r="P1218" s="18">
        <f t="shared" si="35"/>
        <v>0</v>
      </c>
      <c r="Q1218" s="22"/>
      <c r="R1218" s="23"/>
    </row>
    <row r="1219" spans="1:18" ht="12.75">
      <c r="A1219" s="22"/>
      <c r="D1219" s="19"/>
      <c r="H1219" s="18"/>
      <c r="J1219" s="18"/>
      <c r="N1219" s="16"/>
      <c r="O1219" s="17"/>
      <c r="P1219" s="18">
        <f t="shared" si="35"/>
        <v>0</v>
      </c>
      <c r="Q1219" s="22"/>
      <c r="R1219" s="23"/>
    </row>
    <row r="1220" spans="1:18" ht="12.75">
      <c r="A1220" s="22"/>
      <c r="D1220" s="19"/>
      <c r="H1220" s="18"/>
      <c r="J1220" s="18"/>
      <c r="N1220" s="16"/>
      <c r="O1220" s="17"/>
      <c r="P1220" s="18">
        <f t="shared" si="35"/>
        <v>0</v>
      </c>
      <c r="Q1220" s="22"/>
      <c r="R1220" s="23"/>
    </row>
    <row r="1221" spans="1:18" ht="12.75">
      <c r="A1221" s="22"/>
      <c r="D1221" s="19"/>
      <c r="H1221" s="18"/>
      <c r="J1221" s="18"/>
      <c r="N1221" s="16"/>
      <c r="O1221" s="17"/>
      <c r="P1221" s="18">
        <f t="shared" si="35"/>
        <v>0</v>
      </c>
      <c r="Q1221" s="22"/>
      <c r="R1221" s="23"/>
    </row>
    <row r="1222" spans="1:18" ht="12.75">
      <c r="A1222" s="22"/>
      <c r="D1222" s="19"/>
      <c r="H1222" s="18"/>
      <c r="J1222" s="18"/>
      <c r="N1222" s="16"/>
      <c r="O1222" s="17"/>
      <c r="P1222" s="18">
        <f t="shared" si="35"/>
        <v>0</v>
      </c>
      <c r="Q1222" s="22"/>
      <c r="R1222" s="23"/>
    </row>
    <row r="1223" spans="1:18" ht="12.75">
      <c r="A1223" s="22"/>
      <c r="D1223" s="19"/>
      <c r="H1223" s="18"/>
      <c r="J1223" s="18"/>
      <c r="N1223" s="16"/>
      <c r="O1223" s="17"/>
      <c r="P1223" s="18">
        <f t="shared" si="35"/>
        <v>0</v>
      </c>
      <c r="Q1223" s="22"/>
      <c r="R1223" s="23"/>
    </row>
    <row r="1224" spans="1:18" ht="12.75">
      <c r="A1224" s="22"/>
      <c r="D1224" s="19"/>
      <c r="H1224" s="18"/>
      <c r="J1224" s="18"/>
      <c r="N1224" s="16"/>
      <c r="O1224" s="17"/>
      <c r="P1224" s="18">
        <f t="shared" si="35"/>
        <v>0</v>
      </c>
      <c r="Q1224" s="22"/>
      <c r="R1224" s="23"/>
    </row>
    <row r="1225" spans="1:18" ht="12.75">
      <c r="A1225" s="22"/>
      <c r="D1225" s="19"/>
      <c r="H1225" s="18"/>
      <c r="J1225" s="18"/>
      <c r="N1225" s="16"/>
      <c r="O1225" s="17"/>
      <c r="P1225" s="18">
        <f t="shared" si="35"/>
        <v>0</v>
      </c>
      <c r="Q1225" s="22"/>
      <c r="R1225" s="23"/>
    </row>
    <row r="1226" spans="1:18" ht="12.75">
      <c r="A1226" s="22"/>
      <c r="D1226" s="19"/>
      <c r="H1226" s="18"/>
      <c r="J1226" s="18"/>
      <c r="N1226" s="16"/>
      <c r="O1226" s="17"/>
      <c r="P1226" s="18">
        <f t="shared" si="35"/>
        <v>0</v>
      </c>
      <c r="Q1226" s="22"/>
      <c r="R1226" s="23"/>
    </row>
    <row r="1227" spans="1:18" ht="12.75">
      <c r="A1227" s="22"/>
      <c r="D1227" s="19"/>
      <c r="H1227" s="18"/>
      <c r="J1227" s="18"/>
      <c r="N1227" s="16"/>
      <c r="O1227" s="17"/>
      <c r="P1227" s="18">
        <f t="shared" si="35"/>
        <v>0</v>
      </c>
      <c r="Q1227" s="22"/>
      <c r="R1227" s="23"/>
    </row>
    <row r="1228" spans="1:18" ht="12.75">
      <c r="A1228" s="22"/>
      <c r="D1228" s="19"/>
      <c r="H1228" s="18"/>
      <c r="J1228" s="18"/>
      <c r="N1228" s="16"/>
      <c r="O1228" s="17"/>
      <c r="P1228" s="18">
        <f t="shared" si="35"/>
        <v>0</v>
      </c>
      <c r="Q1228" s="22"/>
      <c r="R1228" s="23"/>
    </row>
    <row r="1229" spans="1:18" ht="12.75">
      <c r="A1229" s="22"/>
      <c r="D1229" s="19"/>
      <c r="H1229" s="18"/>
      <c r="J1229" s="18"/>
      <c r="N1229" s="16"/>
      <c r="O1229" s="17"/>
      <c r="P1229" s="18">
        <f t="shared" si="35"/>
        <v>0</v>
      </c>
      <c r="Q1229" s="22"/>
      <c r="R1229" s="23"/>
    </row>
    <row r="1230" spans="1:18" ht="12.75">
      <c r="A1230" s="22"/>
      <c r="D1230" s="19"/>
      <c r="H1230" s="18"/>
      <c r="J1230" s="18"/>
      <c r="N1230" s="16"/>
      <c r="O1230" s="17"/>
      <c r="P1230" s="18">
        <f t="shared" si="35"/>
        <v>0</v>
      </c>
      <c r="Q1230" s="22"/>
      <c r="R1230" s="23"/>
    </row>
    <row r="1231" spans="1:18" ht="12.75">
      <c r="A1231" s="22"/>
      <c r="D1231" s="19"/>
      <c r="H1231" s="18"/>
      <c r="J1231" s="18"/>
      <c r="N1231" s="16"/>
      <c r="O1231" s="17"/>
      <c r="P1231" s="18">
        <f t="shared" si="35"/>
        <v>0</v>
      </c>
      <c r="Q1231" s="22"/>
      <c r="R1231" s="23"/>
    </row>
    <row r="1232" spans="1:18" ht="12.75">
      <c r="A1232" s="22"/>
      <c r="D1232" s="19"/>
      <c r="H1232" s="18"/>
      <c r="J1232" s="18"/>
      <c r="N1232" s="16"/>
      <c r="O1232" s="17"/>
      <c r="P1232" s="18">
        <f t="shared" si="35"/>
        <v>0</v>
      </c>
      <c r="Q1232" s="22"/>
      <c r="R1232" s="23"/>
    </row>
    <row r="1233" spans="1:18" ht="12.75">
      <c r="A1233" s="22"/>
      <c r="D1233" s="19"/>
      <c r="H1233" s="18"/>
      <c r="J1233" s="18"/>
      <c r="N1233" s="16"/>
      <c r="O1233" s="17"/>
      <c r="P1233" s="18">
        <f t="shared" si="35"/>
        <v>0</v>
      </c>
      <c r="Q1233" s="22"/>
      <c r="R1233" s="23"/>
    </row>
    <row r="1234" spans="1:18" ht="12.75">
      <c r="A1234" s="22"/>
      <c r="D1234" s="19"/>
      <c r="H1234" s="18"/>
      <c r="J1234" s="18"/>
      <c r="N1234" s="16"/>
      <c r="O1234" s="17"/>
      <c r="P1234" s="18">
        <f t="shared" si="35"/>
        <v>0</v>
      </c>
      <c r="Q1234" s="22"/>
      <c r="R1234" s="23"/>
    </row>
    <row r="1235" spans="1:18" ht="12.75">
      <c r="A1235" s="22"/>
      <c r="D1235" s="19"/>
      <c r="H1235" s="18"/>
      <c r="J1235" s="18"/>
      <c r="N1235" s="16"/>
      <c r="O1235" s="17"/>
      <c r="P1235" s="18">
        <f t="shared" si="35"/>
        <v>0</v>
      </c>
      <c r="Q1235" s="22"/>
      <c r="R1235" s="23"/>
    </row>
    <row r="1236" spans="1:18" ht="12.75">
      <c r="A1236" s="22"/>
      <c r="D1236" s="19"/>
      <c r="H1236" s="18"/>
      <c r="J1236" s="18"/>
      <c r="N1236" s="16"/>
      <c r="O1236" s="17"/>
      <c r="P1236" s="18">
        <f t="shared" si="35"/>
        <v>0</v>
      </c>
      <c r="Q1236" s="22"/>
      <c r="R1236" s="23"/>
    </row>
    <row r="1237" spans="1:18" ht="12.75">
      <c r="A1237" s="22"/>
      <c r="D1237" s="19"/>
      <c r="H1237" s="18"/>
      <c r="J1237" s="18"/>
      <c r="N1237" s="16"/>
      <c r="O1237" s="17"/>
      <c r="P1237" s="18">
        <f t="shared" si="35"/>
        <v>0</v>
      </c>
      <c r="Q1237" s="22"/>
      <c r="R1237" s="23"/>
    </row>
    <row r="1238" spans="1:18" ht="12.75">
      <c r="A1238" s="22"/>
      <c r="D1238" s="19"/>
      <c r="H1238" s="18"/>
      <c r="J1238" s="18"/>
      <c r="N1238" s="16"/>
      <c r="O1238" s="17"/>
      <c r="P1238" s="18">
        <f t="shared" si="35"/>
        <v>0</v>
      </c>
      <c r="Q1238" s="22"/>
      <c r="R1238" s="23"/>
    </row>
    <row r="1239" spans="1:18" ht="12.75">
      <c r="A1239" s="22"/>
      <c r="D1239" s="19"/>
      <c r="H1239" s="18"/>
      <c r="J1239" s="18"/>
      <c r="N1239" s="16"/>
      <c r="O1239" s="17"/>
      <c r="P1239" s="18">
        <f t="shared" si="35"/>
        <v>0</v>
      </c>
      <c r="Q1239" s="22"/>
      <c r="R1239" s="23"/>
    </row>
    <row r="1240" spans="1:18" ht="12.75">
      <c r="A1240" s="22"/>
      <c r="D1240" s="19"/>
      <c r="H1240" s="18"/>
      <c r="J1240" s="18"/>
      <c r="N1240" s="16"/>
      <c r="O1240" s="17"/>
      <c r="P1240" s="18">
        <f t="shared" si="35"/>
        <v>0</v>
      </c>
      <c r="Q1240" s="22"/>
      <c r="R1240" s="23"/>
    </row>
    <row r="1241" spans="1:18" ht="12.75">
      <c r="A1241" s="22"/>
      <c r="D1241" s="19"/>
      <c r="H1241" s="18"/>
      <c r="J1241" s="18"/>
      <c r="N1241" s="16"/>
      <c r="O1241" s="17"/>
      <c r="P1241" s="18">
        <f t="shared" si="35"/>
        <v>0</v>
      </c>
      <c r="Q1241" s="22"/>
      <c r="R1241" s="23"/>
    </row>
    <row r="1242" spans="1:18" ht="12.75">
      <c r="A1242" s="22"/>
      <c r="D1242" s="19"/>
      <c r="H1242" s="18"/>
      <c r="J1242" s="18"/>
      <c r="N1242" s="16"/>
      <c r="O1242" s="17"/>
      <c r="P1242" s="18">
        <f t="shared" si="35"/>
        <v>0</v>
      </c>
      <c r="Q1242" s="22"/>
      <c r="R1242" s="23"/>
    </row>
    <row r="1243" spans="1:18" ht="12.75">
      <c r="A1243" s="22"/>
      <c r="D1243" s="19"/>
      <c r="H1243" s="18"/>
      <c r="J1243" s="18"/>
      <c r="N1243" s="16"/>
      <c r="O1243" s="17"/>
      <c r="P1243" s="18">
        <f t="shared" si="35"/>
        <v>0</v>
      </c>
      <c r="Q1243" s="22"/>
      <c r="R1243" s="23"/>
    </row>
    <row r="1244" spans="1:18" ht="12.75">
      <c r="A1244" s="22"/>
      <c r="D1244" s="19"/>
      <c r="H1244" s="18"/>
      <c r="J1244" s="18"/>
      <c r="N1244" s="16"/>
      <c r="O1244" s="17"/>
      <c r="P1244" s="18">
        <f t="shared" si="35"/>
        <v>0</v>
      </c>
      <c r="Q1244" s="22"/>
      <c r="R1244" s="23"/>
    </row>
    <row r="1245" spans="1:18" ht="12.75">
      <c r="A1245" s="22"/>
      <c r="D1245" s="19"/>
      <c r="H1245" s="18"/>
      <c r="J1245" s="18"/>
      <c r="N1245" s="16"/>
      <c r="O1245" s="17"/>
      <c r="P1245" s="18">
        <f t="shared" si="35"/>
        <v>0</v>
      </c>
      <c r="Q1245" s="22"/>
      <c r="R1245" s="23"/>
    </row>
    <row r="1246" spans="1:18" ht="12.75">
      <c r="A1246" s="22"/>
      <c r="D1246" s="19"/>
      <c r="H1246" s="18"/>
      <c r="J1246" s="18"/>
      <c r="N1246" s="16"/>
      <c r="O1246" s="17"/>
      <c r="P1246" s="18">
        <f t="shared" si="35"/>
        <v>0</v>
      </c>
      <c r="Q1246" s="22"/>
      <c r="R1246" s="23"/>
    </row>
    <row r="1247" spans="1:18" ht="12.75">
      <c r="A1247" s="22"/>
      <c r="D1247" s="19"/>
      <c r="H1247" s="18"/>
      <c r="J1247" s="18"/>
      <c r="N1247" s="16"/>
      <c r="O1247" s="17"/>
      <c r="P1247" s="18">
        <f t="shared" si="35"/>
        <v>0</v>
      </c>
      <c r="Q1247" s="22"/>
      <c r="R1247" s="23"/>
    </row>
    <row r="1248" spans="1:18" ht="12.75">
      <c r="A1248" s="22"/>
      <c r="D1248" s="19"/>
      <c r="H1248" s="18"/>
      <c r="J1248" s="18"/>
      <c r="N1248" s="16"/>
      <c r="O1248" s="17"/>
      <c r="P1248" s="18">
        <f t="shared" si="35"/>
        <v>0</v>
      </c>
      <c r="Q1248" s="22"/>
      <c r="R1248" s="23"/>
    </row>
    <row r="1249" spans="1:18" ht="12.75">
      <c r="A1249" s="22"/>
      <c r="D1249" s="19"/>
      <c r="H1249" s="18"/>
      <c r="J1249" s="18"/>
      <c r="N1249" s="16"/>
      <c r="O1249" s="17"/>
      <c r="P1249" s="18">
        <f t="shared" si="35"/>
        <v>0</v>
      </c>
      <c r="Q1249" s="22"/>
      <c r="R1249" s="23"/>
    </row>
    <row r="1250" spans="1:18" ht="12.75">
      <c r="A1250" s="22"/>
      <c r="D1250" s="19"/>
      <c r="H1250" s="18"/>
      <c r="J1250" s="18"/>
      <c r="N1250" s="16"/>
      <c r="O1250" s="17"/>
      <c r="P1250" s="18">
        <f t="shared" si="35"/>
        <v>0</v>
      </c>
      <c r="Q1250" s="22"/>
      <c r="R1250" s="23"/>
    </row>
    <row r="1251" spans="1:18" ht="12.75">
      <c r="A1251" s="22"/>
      <c r="D1251" s="19"/>
      <c r="H1251" s="18"/>
      <c r="J1251" s="18"/>
      <c r="N1251" s="16"/>
      <c r="O1251" s="17"/>
      <c r="P1251" s="18">
        <f t="shared" si="35"/>
        <v>0</v>
      </c>
      <c r="Q1251" s="22"/>
      <c r="R1251" s="23"/>
    </row>
    <row r="1252" spans="1:18" ht="12.75">
      <c r="A1252" s="22"/>
      <c r="D1252" s="19"/>
      <c r="H1252" s="18"/>
      <c r="J1252" s="18"/>
      <c r="N1252" s="16"/>
      <c r="O1252" s="17"/>
      <c r="P1252" s="18">
        <f t="shared" si="35"/>
        <v>0</v>
      </c>
      <c r="Q1252" s="22"/>
      <c r="R1252" s="23"/>
    </row>
    <row r="1253" spans="1:18" ht="12.75">
      <c r="A1253" s="22"/>
      <c r="D1253" s="19"/>
      <c r="H1253" s="18"/>
      <c r="J1253" s="18"/>
      <c r="N1253" s="16"/>
      <c r="O1253" s="17"/>
      <c r="P1253" s="18">
        <f t="shared" si="35"/>
        <v>0</v>
      </c>
      <c r="Q1253" s="22"/>
      <c r="R1253" s="23"/>
    </row>
    <row r="1254" spans="1:18" ht="12.75">
      <c r="A1254" s="22"/>
      <c r="D1254" s="19"/>
      <c r="H1254" s="18"/>
      <c r="J1254" s="18"/>
      <c r="N1254" s="16"/>
      <c r="O1254" s="17"/>
      <c r="P1254" s="18">
        <f t="shared" si="35"/>
        <v>0</v>
      </c>
      <c r="Q1254" s="22"/>
      <c r="R1254" s="23"/>
    </row>
    <row r="1255" spans="1:18" ht="12.75">
      <c r="A1255" s="22"/>
      <c r="D1255" s="19"/>
      <c r="H1255" s="18"/>
      <c r="J1255" s="18"/>
      <c r="N1255" s="16"/>
      <c r="O1255" s="17"/>
      <c r="P1255" s="18">
        <f t="shared" si="35"/>
        <v>0</v>
      </c>
      <c r="Q1255" s="22"/>
      <c r="R1255" s="23"/>
    </row>
    <row r="1256" spans="1:18" ht="12.75">
      <c r="A1256" s="22"/>
      <c r="D1256" s="19"/>
      <c r="H1256" s="18"/>
      <c r="J1256" s="18"/>
      <c r="N1256" s="16"/>
      <c r="O1256" s="17"/>
      <c r="P1256" s="18">
        <f t="shared" si="35"/>
        <v>0</v>
      </c>
      <c r="Q1256" s="22"/>
      <c r="R1256" s="23"/>
    </row>
    <row r="1257" spans="1:18" ht="12.75">
      <c r="A1257" s="22"/>
      <c r="D1257" s="19"/>
      <c r="H1257" s="18"/>
      <c r="J1257" s="18"/>
      <c r="N1257" s="16"/>
      <c r="O1257" s="17"/>
      <c r="P1257" s="18">
        <f t="shared" si="35"/>
        <v>0</v>
      </c>
      <c r="Q1257" s="22"/>
      <c r="R1257" s="23"/>
    </row>
    <row r="1258" spans="1:18" ht="12.75">
      <c r="A1258" s="22"/>
      <c r="D1258" s="19"/>
      <c r="H1258" s="18"/>
      <c r="J1258" s="18"/>
      <c r="N1258" s="16"/>
      <c r="O1258" s="17"/>
      <c r="P1258" s="18">
        <f t="shared" si="35"/>
        <v>0</v>
      </c>
      <c r="Q1258" s="22"/>
      <c r="R1258" s="23"/>
    </row>
    <row r="1259" spans="1:18" ht="12.75">
      <c r="A1259" s="22"/>
      <c r="D1259" s="19"/>
      <c r="H1259" s="18"/>
      <c r="J1259" s="18"/>
      <c r="N1259" s="16"/>
      <c r="O1259" s="17"/>
      <c r="P1259" s="18">
        <f t="shared" si="35"/>
        <v>0</v>
      </c>
      <c r="Q1259" s="22"/>
      <c r="R1259" s="23"/>
    </row>
    <row r="1260" spans="1:18" ht="12.75">
      <c r="A1260" s="22"/>
      <c r="D1260" s="19"/>
      <c r="H1260" s="18"/>
      <c r="J1260" s="18"/>
      <c r="N1260" s="16"/>
      <c r="O1260" s="17"/>
      <c r="P1260" s="18">
        <f t="shared" ref="P1260:P1323" si="36">H1260+J1260+S1260</f>
        <v>0</v>
      </c>
      <c r="Q1260" s="22"/>
      <c r="R1260" s="23"/>
    </row>
    <row r="1261" spans="1:18" ht="12.75">
      <c r="A1261" s="22"/>
      <c r="D1261" s="19"/>
      <c r="H1261" s="18"/>
      <c r="J1261" s="18"/>
      <c r="N1261" s="16"/>
      <c r="O1261" s="17"/>
      <c r="P1261" s="18">
        <f t="shared" si="36"/>
        <v>0</v>
      </c>
      <c r="Q1261" s="22"/>
      <c r="R1261" s="23"/>
    </row>
    <row r="1262" spans="1:18" ht="12.75">
      <c r="A1262" s="22"/>
      <c r="D1262" s="19"/>
      <c r="H1262" s="18"/>
      <c r="J1262" s="18"/>
      <c r="N1262" s="16"/>
      <c r="O1262" s="17"/>
      <c r="P1262" s="18">
        <f t="shared" si="36"/>
        <v>0</v>
      </c>
      <c r="Q1262" s="22"/>
      <c r="R1262" s="23"/>
    </row>
    <row r="1263" spans="1:18" ht="12.75">
      <c r="A1263" s="22"/>
      <c r="D1263" s="19"/>
      <c r="H1263" s="18"/>
      <c r="J1263" s="18"/>
      <c r="N1263" s="16"/>
      <c r="O1263" s="17"/>
      <c r="P1263" s="18">
        <f t="shared" si="36"/>
        <v>0</v>
      </c>
      <c r="Q1263" s="22"/>
      <c r="R1263" s="23"/>
    </row>
    <row r="1264" spans="1:18" ht="12.75">
      <c r="A1264" s="22"/>
      <c r="D1264" s="19"/>
      <c r="H1264" s="18"/>
      <c r="J1264" s="18"/>
      <c r="N1264" s="16"/>
      <c r="O1264" s="17"/>
      <c r="P1264" s="18">
        <f t="shared" si="36"/>
        <v>0</v>
      </c>
      <c r="Q1264" s="22"/>
      <c r="R1264" s="23"/>
    </row>
    <row r="1265" spans="1:18" ht="12.75">
      <c r="A1265" s="22"/>
      <c r="D1265" s="19"/>
      <c r="H1265" s="18"/>
      <c r="J1265" s="18"/>
      <c r="N1265" s="16"/>
      <c r="O1265" s="17"/>
      <c r="P1265" s="18">
        <f t="shared" si="36"/>
        <v>0</v>
      </c>
      <c r="Q1265" s="22"/>
      <c r="R1265" s="23"/>
    </row>
    <row r="1266" spans="1:18" ht="12.75">
      <c r="A1266" s="22"/>
      <c r="D1266" s="19"/>
      <c r="H1266" s="18"/>
      <c r="J1266" s="18"/>
      <c r="N1266" s="16"/>
      <c r="O1266" s="17"/>
      <c r="P1266" s="18">
        <f t="shared" si="36"/>
        <v>0</v>
      </c>
      <c r="Q1266" s="22"/>
      <c r="R1266" s="23"/>
    </row>
    <row r="1267" spans="1:18" ht="12.75">
      <c r="A1267" s="22"/>
      <c r="D1267" s="19"/>
      <c r="H1267" s="18"/>
      <c r="J1267" s="18"/>
      <c r="N1267" s="16"/>
      <c r="O1267" s="17"/>
      <c r="P1267" s="18">
        <f t="shared" si="36"/>
        <v>0</v>
      </c>
      <c r="Q1267" s="22"/>
      <c r="R1267" s="23"/>
    </row>
    <row r="1268" spans="1:18" ht="12.75">
      <c r="A1268" s="22"/>
      <c r="D1268" s="19"/>
      <c r="H1268" s="18"/>
      <c r="J1268" s="18"/>
      <c r="N1268" s="16"/>
      <c r="O1268" s="17"/>
      <c r="P1268" s="18">
        <f t="shared" si="36"/>
        <v>0</v>
      </c>
      <c r="Q1268" s="22"/>
      <c r="R1268" s="23"/>
    </row>
    <row r="1269" spans="1:18" ht="12.75">
      <c r="A1269" s="22"/>
      <c r="D1269" s="19"/>
      <c r="H1269" s="18"/>
      <c r="J1269" s="18"/>
      <c r="N1269" s="16"/>
      <c r="O1269" s="17"/>
      <c r="P1269" s="18">
        <f t="shared" si="36"/>
        <v>0</v>
      </c>
      <c r="Q1269" s="22"/>
      <c r="R1269" s="23"/>
    </row>
    <row r="1270" spans="1:18" ht="12.75">
      <c r="A1270" s="22"/>
      <c r="D1270" s="19"/>
      <c r="H1270" s="18"/>
      <c r="J1270" s="18"/>
      <c r="N1270" s="16"/>
      <c r="O1270" s="17"/>
      <c r="P1270" s="18">
        <f t="shared" si="36"/>
        <v>0</v>
      </c>
      <c r="Q1270" s="22"/>
      <c r="R1270" s="23"/>
    </row>
    <row r="1271" spans="1:18" ht="12.75">
      <c r="A1271" s="22"/>
      <c r="D1271" s="19"/>
      <c r="H1271" s="18"/>
      <c r="J1271" s="18"/>
      <c r="N1271" s="16"/>
      <c r="O1271" s="17"/>
      <c r="P1271" s="18">
        <f t="shared" si="36"/>
        <v>0</v>
      </c>
      <c r="Q1271" s="22"/>
      <c r="R1271" s="23"/>
    </row>
    <row r="1272" spans="1:18" ht="12.75">
      <c r="A1272" s="22"/>
      <c r="D1272" s="19"/>
      <c r="H1272" s="18"/>
      <c r="J1272" s="18"/>
      <c r="N1272" s="16"/>
      <c r="O1272" s="17"/>
      <c r="P1272" s="18">
        <f t="shared" si="36"/>
        <v>0</v>
      </c>
      <c r="Q1272" s="22"/>
      <c r="R1272" s="23"/>
    </row>
    <row r="1273" spans="1:18" ht="12.75">
      <c r="A1273" s="22"/>
      <c r="D1273" s="19"/>
      <c r="H1273" s="18"/>
      <c r="J1273" s="18"/>
      <c r="N1273" s="16"/>
      <c r="O1273" s="17"/>
      <c r="P1273" s="18">
        <f t="shared" si="36"/>
        <v>0</v>
      </c>
      <c r="Q1273" s="22"/>
      <c r="R1273" s="23"/>
    </row>
    <row r="1274" spans="1:18" ht="12.75">
      <c r="A1274" s="22"/>
      <c r="D1274" s="19"/>
      <c r="H1274" s="18"/>
      <c r="J1274" s="18"/>
      <c r="N1274" s="16"/>
      <c r="O1274" s="17"/>
      <c r="P1274" s="18">
        <f t="shared" si="36"/>
        <v>0</v>
      </c>
      <c r="Q1274" s="22"/>
      <c r="R1274" s="23"/>
    </row>
    <row r="1275" spans="1:18" ht="12.75">
      <c r="A1275" s="22"/>
      <c r="D1275" s="19"/>
      <c r="H1275" s="18"/>
      <c r="J1275" s="18"/>
      <c r="N1275" s="16"/>
      <c r="O1275" s="17"/>
      <c r="P1275" s="18">
        <f t="shared" si="36"/>
        <v>0</v>
      </c>
      <c r="Q1275" s="22"/>
      <c r="R1275" s="23"/>
    </row>
    <row r="1276" spans="1:18" ht="12.75">
      <c r="A1276" s="22"/>
      <c r="D1276" s="19"/>
      <c r="H1276" s="18"/>
      <c r="J1276" s="18"/>
      <c r="N1276" s="16"/>
      <c r="O1276" s="17"/>
      <c r="P1276" s="18">
        <f t="shared" si="36"/>
        <v>0</v>
      </c>
      <c r="Q1276" s="22"/>
      <c r="R1276" s="23"/>
    </row>
    <row r="1277" spans="1:18" ht="12.75">
      <c r="A1277" s="22"/>
      <c r="D1277" s="19"/>
      <c r="H1277" s="18"/>
      <c r="J1277" s="18"/>
      <c r="N1277" s="16"/>
      <c r="O1277" s="17"/>
      <c r="P1277" s="18">
        <f t="shared" si="36"/>
        <v>0</v>
      </c>
      <c r="Q1277" s="22"/>
      <c r="R1277" s="23"/>
    </row>
    <row r="1278" spans="1:18" ht="12.75">
      <c r="A1278" s="22"/>
      <c r="D1278" s="19"/>
      <c r="H1278" s="18"/>
      <c r="J1278" s="18"/>
      <c r="N1278" s="16"/>
      <c r="O1278" s="17"/>
      <c r="P1278" s="18">
        <f t="shared" si="36"/>
        <v>0</v>
      </c>
      <c r="Q1278" s="22"/>
      <c r="R1278" s="23"/>
    </row>
    <row r="1279" spans="1:18" ht="12.75">
      <c r="A1279" s="22"/>
      <c r="D1279" s="19"/>
      <c r="H1279" s="18"/>
      <c r="J1279" s="18"/>
      <c r="N1279" s="16"/>
      <c r="O1279" s="17"/>
      <c r="P1279" s="18">
        <f t="shared" si="36"/>
        <v>0</v>
      </c>
      <c r="Q1279" s="22"/>
      <c r="R1279" s="23"/>
    </row>
    <row r="1280" spans="1:18" ht="12.75">
      <c r="A1280" s="22"/>
      <c r="D1280" s="19"/>
      <c r="H1280" s="18"/>
      <c r="J1280" s="18"/>
      <c r="N1280" s="16"/>
      <c r="O1280" s="17"/>
      <c r="P1280" s="18">
        <f t="shared" si="36"/>
        <v>0</v>
      </c>
      <c r="Q1280" s="22"/>
      <c r="R1280" s="23"/>
    </row>
    <row r="1281" spans="1:18" ht="12.75">
      <c r="A1281" s="22"/>
      <c r="D1281" s="19"/>
      <c r="H1281" s="18"/>
      <c r="J1281" s="18"/>
      <c r="N1281" s="16"/>
      <c r="O1281" s="17"/>
      <c r="P1281" s="18">
        <f t="shared" si="36"/>
        <v>0</v>
      </c>
      <c r="Q1281" s="22"/>
      <c r="R1281" s="23"/>
    </row>
    <row r="1282" spans="1:18" ht="12.75">
      <c r="A1282" s="22"/>
      <c r="D1282" s="19"/>
      <c r="H1282" s="18"/>
      <c r="J1282" s="18"/>
      <c r="N1282" s="16"/>
      <c r="O1282" s="17"/>
      <c r="P1282" s="18">
        <f t="shared" si="36"/>
        <v>0</v>
      </c>
      <c r="Q1282" s="22"/>
      <c r="R1282" s="23"/>
    </row>
    <row r="1283" spans="1:18" ht="12.75">
      <c r="A1283" s="22"/>
      <c r="D1283" s="19"/>
      <c r="H1283" s="18"/>
      <c r="J1283" s="18"/>
      <c r="N1283" s="16"/>
      <c r="O1283" s="17"/>
      <c r="P1283" s="18">
        <f t="shared" si="36"/>
        <v>0</v>
      </c>
      <c r="Q1283" s="22"/>
      <c r="R1283" s="23"/>
    </row>
    <row r="1284" spans="1:18" ht="12.75">
      <c r="A1284" s="22"/>
      <c r="D1284" s="19"/>
      <c r="H1284" s="18"/>
      <c r="J1284" s="18"/>
      <c r="N1284" s="16"/>
      <c r="O1284" s="17"/>
      <c r="P1284" s="18">
        <f t="shared" si="36"/>
        <v>0</v>
      </c>
      <c r="Q1284" s="22"/>
      <c r="R1284" s="23"/>
    </row>
    <row r="1285" spans="1:18" ht="12.75">
      <c r="A1285" s="22"/>
      <c r="D1285" s="19"/>
      <c r="H1285" s="18"/>
      <c r="J1285" s="18"/>
      <c r="N1285" s="16"/>
      <c r="O1285" s="17"/>
      <c r="P1285" s="18">
        <f t="shared" si="36"/>
        <v>0</v>
      </c>
      <c r="Q1285" s="22"/>
      <c r="R1285" s="23"/>
    </row>
    <row r="1286" spans="1:18" ht="12.75">
      <c r="A1286" s="22"/>
      <c r="D1286" s="19"/>
      <c r="H1286" s="18"/>
      <c r="J1286" s="18"/>
      <c r="N1286" s="16"/>
      <c r="O1286" s="17"/>
      <c r="P1286" s="18">
        <f t="shared" si="36"/>
        <v>0</v>
      </c>
      <c r="Q1286" s="22"/>
      <c r="R1286" s="23"/>
    </row>
    <row r="1287" spans="1:18" ht="12.75">
      <c r="A1287" s="22"/>
      <c r="D1287" s="19"/>
      <c r="H1287" s="18"/>
      <c r="J1287" s="18"/>
      <c r="N1287" s="16"/>
      <c r="O1287" s="17"/>
      <c r="P1287" s="18">
        <f t="shared" si="36"/>
        <v>0</v>
      </c>
      <c r="Q1287" s="22"/>
      <c r="R1287" s="23"/>
    </row>
    <row r="1288" spans="1:18" ht="12.75">
      <c r="A1288" s="22"/>
      <c r="D1288" s="19"/>
      <c r="H1288" s="18"/>
      <c r="J1288" s="18"/>
      <c r="N1288" s="16"/>
      <c r="O1288" s="17"/>
      <c r="P1288" s="18">
        <f t="shared" si="36"/>
        <v>0</v>
      </c>
      <c r="Q1288" s="22"/>
      <c r="R1288" s="23"/>
    </row>
    <row r="1289" spans="1:18" ht="12.75">
      <c r="A1289" s="22"/>
      <c r="D1289" s="19"/>
      <c r="H1289" s="18"/>
      <c r="J1289" s="18"/>
      <c r="N1289" s="16"/>
      <c r="O1289" s="17"/>
      <c r="P1289" s="18">
        <f t="shared" si="36"/>
        <v>0</v>
      </c>
      <c r="Q1289" s="22"/>
      <c r="R1289" s="23"/>
    </row>
    <row r="1290" spans="1:18" ht="12.75">
      <c r="A1290" s="22"/>
      <c r="D1290" s="19"/>
      <c r="H1290" s="18"/>
      <c r="J1290" s="18"/>
      <c r="N1290" s="16"/>
      <c r="O1290" s="17"/>
      <c r="P1290" s="18">
        <f t="shared" si="36"/>
        <v>0</v>
      </c>
      <c r="Q1290" s="22"/>
      <c r="R1290" s="23"/>
    </row>
    <row r="1291" spans="1:18" ht="12.75">
      <c r="A1291" s="22"/>
      <c r="D1291" s="19"/>
      <c r="H1291" s="18"/>
      <c r="J1291" s="18"/>
      <c r="N1291" s="16"/>
      <c r="O1291" s="17"/>
      <c r="P1291" s="18">
        <f t="shared" si="36"/>
        <v>0</v>
      </c>
      <c r="Q1291" s="22"/>
      <c r="R1291" s="23"/>
    </row>
    <row r="1292" spans="1:18" ht="12.75">
      <c r="A1292" s="22"/>
      <c r="D1292" s="19"/>
      <c r="H1292" s="18"/>
      <c r="J1292" s="18"/>
      <c r="N1292" s="16"/>
      <c r="O1292" s="17"/>
      <c r="P1292" s="18">
        <f t="shared" si="36"/>
        <v>0</v>
      </c>
      <c r="Q1292" s="22"/>
      <c r="R1292" s="23"/>
    </row>
    <row r="1293" spans="1:18" ht="12.75">
      <c r="A1293" s="22"/>
      <c r="D1293" s="19"/>
      <c r="H1293" s="18"/>
      <c r="J1293" s="18"/>
      <c r="N1293" s="16"/>
      <c r="O1293" s="17"/>
      <c r="P1293" s="18">
        <f t="shared" si="36"/>
        <v>0</v>
      </c>
      <c r="Q1293" s="22"/>
      <c r="R1293" s="23"/>
    </row>
    <row r="1294" spans="1:18" ht="12.75">
      <c r="A1294" s="22"/>
      <c r="D1294" s="19"/>
      <c r="H1294" s="18"/>
      <c r="J1294" s="18"/>
      <c r="N1294" s="16"/>
      <c r="O1294" s="17"/>
      <c r="P1294" s="18">
        <f t="shared" si="36"/>
        <v>0</v>
      </c>
      <c r="Q1294" s="22"/>
      <c r="R1294" s="23"/>
    </row>
    <row r="1295" spans="1:18" ht="12.75">
      <c r="A1295" s="22"/>
      <c r="D1295" s="19"/>
      <c r="H1295" s="18"/>
      <c r="J1295" s="18"/>
      <c r="N1295" s="16"/>
      <c r="O1295" s="17"/>
      <c r="P1295" s="18">
        <f t="shared" si="36"/>
        <v>0</v>
      </c>
      <c r="Q1295" s="22"/>
      <c r="R1295" s="23"/>
    </row>
    <row r="1296" spans="1:18" ht="12.75">
      <c r="A1296" s="22"/>
      <c r="D1296" s="19"/>
      <c r="H1296" s="18"/>
      <c r="J1296" s="18"/>
      <c r="N1296" s="16"/>
      <c r="O1296" s="17"/>
      <c r="P1296" s="18">
        <f t="shared" si="36"/>
        <v>0</v>
      </c>
      <c r="Q1296" s="22"/>
      <c r="R1296" s="23"/>
    </row>
    <row r="1297" spans="1:18" ht="12.75">
      <c r="A1297" s="22"/>
      <c r="D1297" s="19"/>
      <c r="H1297" s="18"/>
      <c r="J1297" s="18"/>
      <c r="N1297" s="16"/>
      <c r="O1297" s="17"/>
      <c r="P1297" s="18">
        <f t="shared" si="36"/>
        <v>0</v>
      </c>
      <c r="Q1297" s="22"/>
      <c r="R1297" s="23"/>
    </row>
    <row r="1298" spans="1:18" ht="12.75">
      <c r="A1298" s="22"/>
      <c r="D1298" s="19"/>
      <c r="H1298" s="18"/>
      <c r="J1298" s="18"/>
      <c r="N1298" s="16"/>
      <c r="O1298" s="17"/>
      <c r="P1298" s="18">
        <f t="shared" si="36"/>
        <v>0</v>
      </c>
      <c r="Q1298" s="22"/>
      <c r="R1298" s="23"/>
    </row>
    <row r="1299" spans="1:18" ht="12.75">
      <c r="A1299" s="22"/>
      <c r="D1299" s="19"/>
      <c r="H1299" s="18"/>
      <c r="J1299" s="18"/>
      <c r="N1299" s="16"/>
      <c r="O1299" s="17"/>
      <c r="P1299" s="18">
        <f t="shared" si="36"/>
        <v>0</v>
      </c>
      <c r="Q1299" s="22"/>
      <c r="R1299" s="23"/>
    </row>
    <row r="1300" spans="1:18" ht="12.75">
      <c r="A1300" s="22"/>
      <c r="D1300" s="19"/>
      <c r="H1300" s="18"/>
      <c r="J1300" s="18"/>
      <c r="N1300" s="16"/>
      <c r="O1300" s="17"/>
      <c r="P1300" s="18">
        <f t="shared" si="36"/>
        <v>0</v>
      </c>
      <c r="Q1300" s="22"/>
      <c r="R1300" s="23"/>
    </row>
    <row r="1301" spans="1:18" ht="12.75">
      <c r="A1301" s="22"/>
      <c r="D1301" s="19"/>
      <c r="H1301" s="18"/>
      <c r="J1301" s="18"/>
      <c r="N1301" s="16"/>
      <c r="O1301" s="17"/>
      <c r="P1301" s="18">
        <f t="shared" si="36"/>
        <v>0</v>
      </c>
      <c r="Q1301" s="22"/>
      <c r="R1301" s="23"/>
    </row>
    <row r="1302" spans="1:18" ht="12.75">
      <c r="A1302" s="22"/>
      <c r="D1302" s="19"/>
      <c r="H1302" s="18"/>
      <c r="J1302" s="18"/>
      <c r="N1302" s="16"/>
      <c r="O1302" s="17"/>
      <c r="P1302" s="18">
        <f t="shared" si="36"/>
        <v>0</v>
      </c>
      <c r="Q1302" s="22"/>
      <c r="R1302" s="23"/>
    </row>
    <row r="1303" spans="1:18" ht="12.75">
      <c r="A1303" s="22"/>
      <c r="D1303" s="19"/>
      <c r="H1303" s="18"/>
      <c r="J1303" s="18"/>
      <c r="N1303" s="16"/>
      <c r="O1303" s="17"/>
      <c r="P1303" s="18">
        <f t="shared" si="36"/>
        <v>0</v>
      </c>
      <c r="Q1303" s="22"/>
      <c r="R1303" s="23"/>
    </row>
    <row r="1304" spans="1:18" ht="12.75">
      <c r="A1304" s="22"/>
      <c r="D1304" s="19"/>
      <c r="H1304" s="18"/>
      <c r="J1304" s="18"/>
      <c r="N1304" s="16"/>
      <c r="O1304" s="17"/>
      <c r="P1304" s="18">
        <f t="shared" si="36"/>
        <v>0</v>
      </c>
      <c r="Q1304" s="22"/>
      <c r="R1304" s="23"/>
    </row>
    <row r="1305" spans="1:18" ht="12.75">
      <c r="A1305" s="22"/>
      <c r="D1305" s="19"/>
      <c r="H1305" s="18"/>
      <c r="J1305" s="18"/>
      <c r="N1305" s="16"/>
      <c r="O1305" s="17"/>
      <c r="P1305" s="18">
        <f t="shared" si="36"/>
        <v>0</v>
      </c>
      <c r="Q1305" s="22"/>
      <c r="R1305" s="23"/>
    </row>
    <row r="1306" spans="1:18" ht="12.75">
      <c r="A1306" s="22"/>
      <c r="D1306" s="19"/>
      <c r="H1306" s="18"/>
      <c r="J1306" s="18"/>
      <c r="N1306" s="16"/>
      <c r="O1306" s="17"/>
      <c r="P1306" s="18">
        <f t="shared" si="36"/>
        <v>0</v>
      </c>
      <c r="Q1306" s="22"/>
      <c r="R1306" s="23"/>
    </row>
    <row r="1307" spans="1:18" ht="12.75">
      <c r="A1307" s="22"/>
      <c r="D1307" s="19"/>
      <c r="H1307" s="18"/>
      <c r="J1307" s="18"/>
      <c r="N1307" s="16"/>
      <c r="O1307" s="17"/>
      <c r="P1307" s="18">
        <f t="shared" si="36"/>
        <v>0</v>
      </c>
      <c r="Q1307" s="22"/>
      <c r="R1307" s="23"/>
    </row>
    <row r="1308" spans="1:18" ht="12.75">
      <c r="A1308" s="22"/>
      <c r="D1308" s="19"/>
      <c r="H1308" s="18"/>
      <c r="J1308" s="18"/>
      <c r="N1308" s="16"/>
      <c r="O1308" s="17"/>
      <c r="P1308" s="18">
        <f t="shared" si="36"/>
        <v>0</v>
      </c>
      <c r="Q1308" s="22"/>
      <c r="R1308" s="23"/>
    </row>
    <row r="1309" spans="1:18" ht="12.75">
      <c r="A1309" s="22"/>
      <c r="D1309" s="19"/>
      <c r="H1309" s="18"/>
      <c r="J1309" s="18"/>
      <c r="N1309" s="16"/>
      <c r="O1309" s="17"/>
      <c r="P1309" s="18">
        <f t="shared" si="36"/>
        <v>0</v>
      </c>
      <c r="Q1309" s="22"/>
      <c r="R1309" s="23"/>
    </row>
    <row r="1310" spans="1:18" ht="12.75">
      <c r="A1310" s="22"/>
      <c r="D1310" s="19"/>
      <c r="H1310" s="18"/>
      <c r="J1310" s="18"/>
      <c r="N1310" s="16"/>
      <c r="O1310" s="17"/>
      <c r="P1310" s="18">
        <f t="shared" si="36"/>
        <v>0</v>
      </c>
      <c r="Q1310" s="22"/>
      <c r="R1310" s="23"/>
    </row>
    <row r="1311" spans="1:18" ht="12.75">
      <c r="A1311" s="22"/>
      <c r="D1311" s="19"/>
      <c r="H1311" s="18"/>
      <c r="J1311" s="18"/>
      <c r="N1311" s="16"/>
      <c r="O1311" s="17"/>
      <c r="P1311" s="18">
        <f t="shared" si="36"/>
        <v>0</v>
      </c>
      <c r="Q1311" s="22"/>
      <c r="R1311" s="23"/>
    </row>
    <row r="1312" spans="1:18" ht="12.75">
      <c r="A1312" s="22"/>
      <c r="D1312" s="19"/>
      <c r="H1312" s="18"/>
      <c r="J1312" s="18"/>
      <c r="N1312" s="16"/>
      <c r="O1312" s="17"/>
      <c r="P1312" s="18">
        <f t="shared" si="36"/>
        <v>0</v>
      </c>
      <c r="Q1312" s="22"/>
      <c r="R1312" s="23"/>
    </row>
    <row r="1313" spans="1:18" ht="12.75">
      <c r="A1313" s="22"/>
      <c r="D1313" s="19"/>
      <c r="H1313" s="18"/>
      <c r="J1313" s="18"/>
      <c r="N1313" s="16"/>
      <c r="O1313" s="17"/>
      <c r="P1313" s="18">
        <f t="shared" si="36"/>
        <v>0</v>
      </c>
      <c r="Q1313" s="22"/>
      <c r="R1313" s="23"/>
    </row>
    <row r="1314" spans="1:18" ht="12.75">
      <c r="A1314" s="22"/>
      <c r="D1314" s="19"/>
      <c r="H1314" s="18"/>
      <c r="J1314" s="18"/>
      <c r="N1314" s="16"/>
      <c r="O1314" s="17"/>
      <c r="P1314" s="18">
        <f t="shared" si="36"/>
        <v>0</v>
      </c>
      <c r="Q1314" s="22"/>
      <c r="R1314" s="23"/>
    </row>
    <row r="1315" spans="1:18" ht="12.75">
      <c r="A1315" s="22"/>
      <c r="D1315" s="19"/>
      <c r="H1315" s="18"/>
      <c r="J1315" s="18"/>
      <c r="N1315" s="16"/>
      <c r="O1315" s="17"/>
      <c r="P1315" s="18">
        <f t="shared" si="36"/>
        <v>0</v>
      </c>
      <c r="Q1315" s="22"/>
      <c r="R1315" s="23"/>
    </row>
    <row r="1316" spans="1:18" ht="12.75">
      <c r="A1316" s="22"/>
      <c r="D1316" s="19"/>
      <c r="H1316" s="18"/>
      <c r="J1316" s="18"/>
      <c r="N1316" s="16"/>
      <c r="O1316" s="17"/>
      <c r="P1316" s="18">
        <f t="shared" si="36"/>
        <v>0</v>
      </c>
      <c r="Q1316" s="22"/>
      <c r="R1316" s="23"/>
    </row>
    <row r="1317" spans="1:18" ht="12.75">
      <c r="A1317" s="22"/>
      <c r="D1317" s="19"/>
      <c r="H1317" s="18"/>
      <c r="J1317" s="18"/>
      <c r="N1317" s="16"/>
      <c r="O1317" s="17"/>
      <c r="P1317" s="18">
        <f t="shared" si="36"/>
        <v>0</v>
      </c>
      <c r="Q1317" s="22"/>
      <c r="R1317" s="23"/>
    </row>
    <row r="1318" spans="1:18" ht="12.75">
      <c r="A1318" s="22"/>
      <c r="D1318" s="19"/>
      <c r="H1318" s="18"/>
      <c r="J1318" s="18"/>
      <c r="N1318" s="16"/>
      <c r="O1318" s="17"/>
      <c r="P1318" s="18">
        <f t="shared" si="36"/>
        <v>0</v>
      </c>
      <c r="Q1318" s="22"/>
      <c r="R1318" s="23"/>
    </row>
    <row r="1319" spans="1:18" ht="12.75">
      <c r="A1319" s="22"/>
      <c r="D1319" s="19"/>
      <c r="H1319" s="18"/>
      <c r="J1319" s="18"/>
      <c r="N1319" s="16"/>
      <c r="O1319" s="17"/>
      <c r="P1319" s="18">
        <f t="shared" si="36"/>
        <v>0</v>
      </c>
      <c r="Q1319" s="22"/>
      <c r="R1319" s="23"/>
    </row>
    <row r="1320" spans="1:18" ht="12.75">
      <c r="A1320" s="22"/>
      <c r="D1320" s="19"/>
      <c r="H1320" s="18"/>
      <c r="J1320" s="18"/>
      <c r="N1320" s="16"/>
      <c r="O1320" s="17"/>
      <c r="P1320" s="18">
        <f t="shared" si="36"/>
        <v>0</v>
      </c>
      <c r="Q1320" s="22"/>
      <c r="R1320" s="23"/>
    </row>
    <row r="1321" spans="1:18" ht="12.75">
      <c r="A1321" s="22"/>
      <c r="D1321" s="19"/>
      <c r="H1321" s="18"/>
      <c r="J1321" s="18"/>
      <c r="N1321" s="16"/>
      <c r="O1321" s="17"/>
      <c r="P1321" s="18">
        <f t="shared" si="36"/>
        <v>0</v>
      </c>
      <c r="Q1321" s="22"/>
      <c r="R1321" s="23"/>
    </row>
    <row r="1322" spans="1:18" ht="12.75">
      <c r="A1322" s="22"/>
      <c r="D1322" s="19"/>
      <c r="H1322" s="18"/>
      <c r="J1322" s="18"/>
      <c r="N1322" s="16"/>
      <c r="O1322" s="17"/>
      <c r="P1322" s="18">
        <f t="shared" si="36"/>
        <v>0</v>
      </c>
      <c r="Q1322" s="22"/>
      <c r="R1322" s="23"/>
    </row>
    <row r="1323" spans="1:18" ht="12.75">
      <c r="A1323" s="22"/>
      <c r="D1323" s="19"/>
      <c r="H1323" s="18"/>
      <c r="J1323" s="18"/>
      <c r="N1323" s="16"/>
      <c r="O1323" s="17"/>
      <c r="P1323" s="18">
        <f t="shared" si="36"/>
        <v>0</v>
      </c>
      <c r="Q1323" s="22"/>
      <c r="R1323" s="23"/>
    </row>
    <row r="1324" spans="1:18" ht="12.75">
      <c r="A1324" s="22"/>
      <c r="D1324" s="19"/>
      <c r="H1324" s="18"/>
      <c r="J1324" s="18"/>
      <c r="N1324" s="16"/>
      <c r="O1324" s="17"/>
      <c r="P1324" s="18">
        <f t="shared" ref="P1324:P1387" si="37">H1324+J1324+S1324</f>
        <v>0</v>
      </c>
      <c r="Q1324" s="22"/>
      <c r="R1324" s="23"/>
    </row>
    <row r="1325" spans="1:18" ht="12.75">
      <c r="A1325" s="22"/>
      <c r="D1325" s="19"/>
      <c r="H1325" s="18"/>
      <c r="J1325" s="18"/>
      <c r="N1325" s="16"/>
      <c r="O1325" s="17"/>
      <c r="P1325" s="18">
        <f t="shared" si="37"/>
        <v>0</v>
      </c>
      <c r="Q1325" s="22"/>
      <c r="R1325" s="23"/>
    </row>
    <row r="1326" spans="1:18" ht="12.75">
      <c r="A1326" s="22"/>
      <c r="D1326" s="19"/>
      <c r="H1326" s="18"/>
      <c r="J1326" s="18"/>
      <c r="N1326" s="16"/>
      <c r="O1326" s="17"/>
      <c r="P1326" s="18">
        <f t="shared" si="37"/>
        <v>0</v>
      </c>
      <c r="Q1326" s="22"/>
      <c r="R1326" s="23"/>
    </row>
    <row r="1327" spans="1:18" ht="12.75">
      <c r="A1327" s="22"/>
      <c r="D1327" s="19"/>
      <c r="H1327" s="18"/>
      <c r="J1327" s="18"/>
      <c r="N1327" s="16"/>
      <c r="O1327" s="17"/>
      <c r="P1327" s="18">
        <f t="shared" si="37"/>
        <v>0</v>
      </c>
      <c r="Q1327" s="22"/>
      <c r="R1327" s="23"/>
    </row>
    <row r="1328" spans="1:18" ht="12.75">
      <c r="A1328" s="22"/>
      <c r="D1328" s="19"/>
      <c r="H1328" s="18"/>
      <c r="J1328" s="18"/>
      <c r="N1328" s="16"/>
      <c r="O1328" s="17"/>
      <c r="P1328" s="18">
        <f t="shared" si="37"/>
        <v>0</v>
      </c>
      <c r="Q1328" s="22"/>
      <c r="R1328" s="23"/>
    </row>
    <row r="1329" spans="1:18" ht="12.75">
      <c r="A1329" s="22"/>
      <c r="D1329" s="19"/>
      <c r="H1329" s="18"/>
      <c r="J1329" s="18"/>
      <c r="N1329" s="16"/>
      <c r="O1329" s="17"/>
      <c r="P1329" s="18">
        <f t="shared" si="37"/>
        <v>0</v>
      </c>
      <c r="Q1329" s="22"/>
      <c r="R1329" s="23"/>
    </row>
    <row r="1330" spans="1:18" ht="12.75">
      <c r="A1330" s="22"/>
      <c r="D1330" s="19"/>
      <c r="H1330" s="18"/>
      <c r="J1330" s="18"/>
      <c r="N1330" s="16"/>
      <c r="O1330" s="17"/>
      <c r="P1330" s="18">
        <f t="shared" si="37"/>
        <v>0</v>
      </c>
      <c r="Q1330" s="22"/>
      <c r="R1330" s="23"/>
    </row>
    <row r="1331" spans="1:18" ht="12.75">
      <c r="A1331" s="22"/>
      <c r="D1331" s="19"/>
      <c r="H1331" s="18"/>
      <c r="J1331" s="18"/>
      <c r="N1331" s="16"/>
      <c r="O1331" s="17"/>
      <c r="P1331" s="18">
        <f t="shared" si="37"/>
        <v>0</v>
      </c>
      <c r="Q1331" s="22"/>
      <c r="R1331" s="23"/>
    </row>
    <row r="1332" spans="1:18" ht="12.75">
      <c r="A1332" s="22"/>
      <c r="D1332" s="19"/>
      <c r="H1332" s="18"/>
      <c r="J1332" s="18"/>
      <c r="N1332" s="16"/>
      <c r="O1332" s="17"/>
      <c r="P1332" s="18">
        <f t="shared" si="37"/>
        <v>0</v>
      </c>
      <c r="Q1332" s="22"/>
      <c r="R1332" s="23"/>
    </row>
    <row r="1333" spans="1:18" ht="12.75">
      <c r="A1333" s="22"/>
      <c r="D1333" s="19"/>
      <c r="H1333" s="18"/>
      <c r="J1333" s="18"/>
      <c r="N1333" s="16"/>
      <c r="O1333" s="17"/>
      <c r="P1333" s="18">
        <f t="shared" si="37"/>
        <v>0</v>
      </c>
      <c r="Q1333" s="22"/>
      <c r="R1333" s="23"/>
    </row>
    <row r="1334" spans="1:18" ht="12.75">
      <c r="A1334" s="22"/>
      <c r="D1334" s="19"/>
      <c r="H1334" s="18"/>
      <c r="J1334" s="18"/>
      <c r="N1334" s="16"/>
      <c r="O1334" s="17"/>
      <c r="P1334" s="18">
        <f t="shared" si="37"/>
        <v>0</v>
      </c>
      <c r="Q1334" s="22"/>
      <c r="R1334" s="23"/>
    </row>
    <row r="1335" spans="1:18" ht="12.75">
      <c r="A1335" s="22"/>
      <c r="D1335" s="19"/>
      <c r="H1335" s="18"/>
      <c r="J1335" s="18"/>
      <c r="N1335" s="16"/>
      <c r="O1335" s="17"/>
      <c r="P1335" s="18">
        <f t="shared" si="37"/>
        <v>0</v>
      </c>
      <c r="Q1335" s="22"/>
      <c r="R1335" s="23"/>
    </row>
    <row r="1336" spans="1:18" ht="12.75">
      <c r="A1336" s="22"/>
      <c r="D1336" s="19"/>
      <c r="H1336" s="18"/>
      <c r="J1336" s="18"/>
      <c r="N1336" s="16"/>
      <c r="O1336" s="17"/>
      <c r="P1336" s="18">
        <f t="shared" si="37"/>
        <v>0</v>
      </c>
      <c r="Q1336" s="22"/>
      <c r="R1336" s="23"/>
    </row>
    <row r="1337" spans="1:18" ht="12.75">
      <c r="A1337" s="22"/>
      <c r="D1337" s="19"/>
      <c r="H1337" s="18"/>
      <c r="J1337" s="18"/>
      <c r="N1337" s="16"/>
      <c r="O1337" s="17"/>
      <c r="P1337" s="18">
        <f t="shared" si="37"/>
        <v>0</v>
      </c>
      <c r="Q1337" s="22"/>
      <c r="R1337" s="23"/>
    </row>
    <row r="1338" spans="1:18" ht="12.75">
      <c r="A1338" s="22"/>
      <c r="D1338" s="19"/>
      <c r="H1338" s="18"/>
      <c r="J1338" s="18"/>
      <c r="N1338" s="16"/>
      <c r="O1338" s="17"/>
      <c r="P1338" s="18">
        <f t="shared" si="37"/>
        <v>0</v>
      </c>
      <c r="Q1338" s="22"/>
      <c r="R1338" s="23"/>
    </row>
    <row r="1339" spans="1:18" ht="12.75">
      <c r="A1339" s="22"/>
      <c r="D1339" s="19"/>
      <c r="H1339" s="18"/>
      <c r="J1339" s="18"/>
      <c r="N1339" s="16"/>
      <c r="O1339" s="17"/>
      <c r="P1339" s="18">
        <f t="shared" si="37"/>
        <v>0</v>
      </c>
      <c r="Q1339" s="22"/>
      <c r="R1339" s="23"/>
    </row>
    <row r="1340" spans="1:18" ht="12.75">
      <c r="A1340" s="22"/>
      <c r="D1340" s="19"/>
      <c r="H1340" s="18"/>
      <c r="J1340" s="18"/>
      <c r="N1340" s="16"/>
      <c r="O1340" s="17"/>
      <c r="P1340" s="18">
        <f t="shared" si="37"/>
        <v>0</v>
      </c>
      <c r="Q1340" s="22"/>
      <c r="R1340" s="23"/>
    </row>
    <row r="1341" spans="1:18" ht="12.75">
      <c r="A1341" s="22"/>
      <c r="D1341" s="19"/>
      <c r="H1341" s="18"/>
      <c r="J1341" s="18"/>
      <c r="N1341" s="16"/>
      <c r="O1341" s="17"/>
      <c r="P1341" s="18">
        <f t="shared" si="37"/>
        <v>0</v>
      </c>
      <c r="Q1341" s="22"/>
      <c r="R1341" s="23"/>
    </row>
    <row r="1342" spans="1:18" ht="12.75">
      <c r="A1342" s="22"/>
      <c r="D1342" s="19"/>
      <c r="H1342" s="18"/>
      <c r="J1342" s="18"/>
      <c r="N1342" s="16"/>
      <c r="O1342" s="17"/>
      <c r="P1342" s="18">
        <f t="shared" si="37"/>
        <v>0</v>
      </c>
      <c r="Q1342" s="22"/>
      <c r="R1342" s="23"/>
    </row>
    <row r="1343" spans="1:18" ht="12.75">
      <c r="A1343" s="22"/>
      <c r="D1343" s="19"/>
      <c r="H1343" s="18"/>
      <c r="J1343" s="18"/>
      <c r="N1343" s="16"/>
      <c r="O1343" s="17"/>
      <c r="P1343" s="18">
        <f t="shared" si="37"/>
        <v>0</v>
      </c>
      <c r="Q1343" s="22"/>
      <c r="R1343" s="23"/>
    </row>
    <row r="1344" spans="1:18" ht="12.75">
      <c r="A1344" s="22"/>
      <c r="D1344" s="19"/>
      <c r="H1344" s="18"/>
      <c r="J1344" s="18"/>
      <c r="N1344" s="16"/>
      <c r="O1344" s="17"/>
      <c r="P1344" s="18">
        <f t="shared" si="37"/>
        <v>0</v>
      </c>
      <c r="Q1344" s="22"/>
      <c r="R1344" s="23"/>
    </row>
    <row r="1345" spans="1:18" ht="12.75">
      <c r="A1345" s="22"/>
      <c r="D1345" s="19"/>
      <c r="H1345" s="18"/>
      <c r="J1345" s="18"/>
      <c r="N1345" s="16"/>
      <c r="O1345" s="17"/>
      <c r="P1345" s="18">
        <f t="shared" si="37"/>
        <v>0</v>
      </c>
      <c r="Q1345" s="22"/>
      <c r="R1345" s="23"/>
    </row>
    <row r="1346" spans="1:18" ht="12.75">
      <c r="A1346" s="22"/>
      <c r="D1346" s="19"/>
      <c r="H1346" s="18"/>
      <c r="J1346" s="18"/>
      <c r="N1346" s="16"/>
      <c r="O1346" s="17"/>
      <c r="P1346" s="18">
        <f t="shared" si="37"/>
        <v>0</v>
      </c>
      <c r="Q1346" s="22"/>
      <c r="R1346" s="23"/>
    </row>
    <row r="1347" spans="1:18" ht="12.75">
      <c r="A1347" s="22"/>
      <c r="D1347" s="19"/>
      <c r="H1347" s="18"/>
      <c r="J1347" s="18"/>
      <c r="N1347" s="16"/>
      <c r="O1347" s="17"/>
      <c r="P1347" s="18">
        <f t="shared" si="37"/>
        <v>0</v>
      </c>
      <c r="Q1347" s="22"/>
      <c r="R1347" s="23"/>
    </row>
    <row r="1348" spans="1:18" ht="12.75">
      <c r="A1348" s="22"/>
      <c r="D1348" s="19"/>
      <c r="H1348" s="18"/>
      <c r="J1348" s="18"/>
      <c r="N1348" s="16"/>
      <c r="O1348" s="17"/>
      <c r="P1348" s="18">
        <f t="shared" si="37"/>
        <v>0</v>
      </c>
      <c r="Q1348" s="22"/>
      <c r="R1348" s="23"/>
    </row>
    <row r="1349" spans="1:18" ht="12.75">
      <c r="A1349" s="22"/>
      <c r="D1349" s="19"/>
      <c r="H1349" s="18"/>
      <c r="J1349" s="18"/>
      <c r="N1349" s="16"/>
      <c r="O1349" s="17"/>
      <c r="P1349" s="18">
        <f t="shared" si="37"/>
        <v>0</v>
      </c>
      <c r="Q1349" s="22"/>
      <c r="R1349" s="23"/>
    </row>
    <row r="1350" spans="1:18" ht="12.75">
      <c r="A1350" s="22"/>
      <c r="D1350" s="19"/>
      <c r="H1350" s="18"/>
      <c r="J1350" s="18"/>
      <c r="N1350" s="16"/>
      <c r="O1350" s="17"/>
      <c r="P1350" s="18">
        <f t="shared" si="37"/>
        <v>0</v>
      </c>
      <c r="Q1350" s="22"/>
      <c r="R1350" s="23"/>
    </row>
    <row r="1351" spans="1:18" ht="12.75">
      <c r="A1351" s="22"/>
      <c r="D1351" s="19"/>
      <c r="H1351" s="18"/>
      <c r="J1351" s="18"/>
      <c r="N1351" s="16"/>
      <c r="O1351" s="17"/>
      <c r="P1351" s="18">
        <f t="shared" si="37"/>
        <v>0</v>
      </c>
      <c r="Q1351" s="22"/>
      <c r="R1351" s="23"/>
    </row>
    <row r="1352" spans="1:18" ht="12.75">
      <c r="A1352" s="22"/>
      <c r="D1352" s="19"/>
      <c r="H1352" s="18"/>
      <c r="J1352" s="18"/>
      <c r="N1352" s="16"/>
      <c r="O1352" s="17"/>
      <c r="P1352" s="18">
        <f t="shared" si="37"/>
        <v>0</v>
      </c>
      <c r="Q1352" s="22"/>
      <c r="R1352" s="23"/>
    </row>
    <row r="1353" spans="1:18" ht="12.75">
      <c r="A1353" s="22"/>
      <c r="D1353" s="19"/>
      <c r="H1353" s="18"/>
      <c r="J1353" s="18"/>
      <c r="N1353" s="16"/>
      <c r="O1353" s="17"/>
      <c r="P1353" s="18">
        <f t="shared" si="37"/>
        <v>0</v>
      </c>
      <c r="Q1353" s="22"/>
      <c r="R1353" s="23"/>
    </row>
    <row r="1354" spans="1:18" ht="12.75">
      <c r="A1354" s="22"/>
      <c r="D1354" s="19"/>
      <c r="H1354" s="18"/>
      <c r="J1354" s="18"/>
      <c r="N1354" s="16"/>
      <c r="O1354" s="17"/>
      <c r="P1354" s="18">
        <f t="shared" si="37"/>
        <v>0</v>
      </c>
      <c r="Q1354" s="22"/>
      <c r="R1354" s="23"/>
    </row>
    <row r="1355" spans="1:18" ht="12.75">
      <c r="A1355" s="22"/>
      <c r="D1355" s="19"/>
      <c r="H1355" s="18"/>
      <c r="J1355" s="18"/>
      <c r="N1355" s="16"/>
      <c r="O1355" s="17"/>
      <c r="P1355" s="18">
        <f t="shared" si="37"/>
        <v>0</v>
      </c>
      <c r="Q1355" s="22"/>
      <c r="R1355" s="23"/>
    </row>
    <row r="1356" spans="1:18" ht="12.75">
      <c r="A1356" s="22"/>
      <c r="D1356" s="19"/>
      <c r="H1356" s="18"/>
      <c r="J1356" s="18"/>
      <c r="N1356" s="16"/>
      <c r="O1356" s="17"/>
      <c r="P1356" s="18">
        <f t="shared" si="37"/>
        <v>0</v>
      </c>
      <c r="Q1356" s="22"/>
      <c r="R1356" s="23"/>
    </row>
    <row r="1357" spans="1:18" ht="12.75">
      <c r="A1357" s="22"/>
      <c r="D1357" s="19"/>
      <c r="H1357" s="18"/>
      <c r="J1357" s="18"/>
      <c r="N1357" s="16"/>
      <c r="O1357" s="17"/>
      <c r="P1357" s="18">
        <f t="shared" si="37"/>
        <v>0</v>
      </c>
      <c r="Q1357" s="22"/>
      <c r="R1357" s="23"/>
    </row>
    <row r="1358" spans="1:18" ht="12.75">
      <c r="A1358" s="22"/>
      <c r="D1358" s="19"/>
      <c r="H1358" s="18"/>
      <c r="J1358" s="18"/>
      <c r="N1358" s="16"/>
      <c r="O1358" s="17"/>
      <c r="P1358" s="18">
        <f t="shared" si="37"/>
        <v>0</v>
      </c>
      <c r="Q1358" s="22"/>
      <c r="R1358" s="23"/>
    </row>
    <row r="1359" spans="1:18" ht="12.75">
      <c r="A1359" s="22"/>
      <c r="D1359" s="19"/>
      <c r="H1359" s="18"/>
      <c r="J1359" s="18"/>
      <c r="N1359" s="16"/>
      <c r="O1359" s="17"/>
      <c r="P1359" s="18">
        <f t="shared" si="37"/>
        <v>0</v>
      </c>
      <c r="Q1359" s="22"/>
      <c r="R1359" s="23"/>
    </row>
    <row r="1360" spans="1:18" ht="12.75">
      <c r="A1360" s="22"/>
      <c r="D1360" s="19"/>
      <c r="H1360" s="18"/>
      <c r="J1360" s="18"/>
      <c r="N1360" s="16"/>
      <c r="O1360" s="17"/>
      <c r="P1360" s="18">
        <f t="shared" si="37"/>
        <v>0</v>
      </c>
      <c r="Q1360" s="22"/>
      <c r="R1360" s="23"/>
    </row>
    <row r="1361" spans="1:18" ht="12.75">
      <c r="A1361" s="22"/>
      <c r="D1361" s="19"/>
      <c r="H1361" s="18"/>
      <c r="J1361" s="18"/>
      <c r="N1361" s="16"/>
      <c r="O1361" s="17"/>
      <c r="P1361" s="18">
        <f t="shared" si="37"/>
        <v>0</v>
      </c>
      <c r="Q1361" s="22"/>
      <c r="R1361" s="23"/>
    </row>
    <row r="1362" spans="1:18" ht="12.75">
      <c r="A1362" s="22"/>
      <c r="D1362" s="19"/>
      <c r="H1362" s="18"/>
      <c r="J1362" s="18"/>
      <c r="N1362" s="16"/>
      <c r="O1362" s="17"/>
      <c r="P1362" s="18">
        <f t="shared" si="37"/>
        <v>0</v>
      </c>
      <c r="Q1362" s="22"/>
      <c r="R1362" s="23"/>
    </row>
    <row r="1363" spans="1:18" ht="12.75">
      <c r="A1363" s="22"/>
      <c r="D1363" s="19"/>
      <c r="H1363" s="18"/>
      <c r="J1363" s="18"/>
      <c r="N1363" s="16"/>
      <c r="O1363" s="17"/>
      <c r="P1363" s="18">
        <f t="shared" si="37"/>
        <v>0</v>
      </c>
      <c r="Q1363" s="22"/>
      <c r="R1363" s="23"/>
    </row>
    <row r="1364" spans="1:18" ht="12.75">
      <c r="A1364" s="22"/>
      <c r="D1364" s="19"/>
      <c r="H1364" s="18"/>
      <c r="J1364" s="18"/>
      <c r="N1364" s="16"/>
      <c r="O1364" s="17"/>
      <c r="P1364" s="18">
        <f t="shared" si="37"/>
        <v>0</v>
      </c>
      <c r="Q1364" s="22"/>
      <c r="R1364" s="23"/>
    </row>
    <row r="1365" spans="1:18" ht="12.75">
      <c r="A1365" s="22"/>
      <c r="D1365" s="19"/>
      <c r="H1365" s="18"/>
      <c r="J1365" s="18"/>
      <c r="N1365" s="16"/>
      <c r="O1365" s="17"/>
      <c r="P1365" s="18">
        <f t="shared" si="37"/>
        <v>0</v>
      </c>
      <c r="Q1365" s="22"/>
      <c r="R1365" s="23"/>
    </row>
    <row r="1366" spans="1:18" ht="12.75">
      <c r="A1366" s="22"/>
      <c r="D1366" s="19"/>
      <c r="H1366" s="18"/>
      <c r="J1366" s="18"/>
      <c r="N1366" s="16"/>
      <c r="O1366" s="17"/>
      <c r="P1366" s="18">
        <f t="shared" si="37"/>
        <v>0</v>
      </c>
      <c r="Q1366" s="22"/>
      <c r="R1366" s="23"/>
    </row>
    <row r="1367" spans="1:18" ht="12.75">
      <c r="A1367" s="22"/>
      <c r="D1367" s="19"/>
      <c r="H1367" s="18"/>
      <c r="J1367" s="18"/>
      <c r="N1367" s="16"/>
      <c r="O1367" s="17"/>
      <c r="P1367" s="18">
        <f t="shared" si="37"/>
        <v>0</v>
      </c>
      <c r="Q1367" s="22"/>
      <c r="R1367" s="23"/>
    </row>
    <row r="1368" spans="1:18" ht="12.75">
      <c r="A1368" s="22"/>
      <c r="D1368" s="19"/>
      <c r="H1368" s="18"/>
      <c r="J1368" s="18"/>
      <c r="N1368" s="16"/>
      <c r="O1368" s="17"/>
      <c r="P1368" s="18">
        <f t="shared" si="37"/>
        <v>0</v>
      </c>
      <c r="Q1368" s="22"/>
      <c r="R1368" s="23"/>
    </row>
    <row r="1369" spans="1:18" ht="12.75">
      <c r="A1369" s="22"/>
      <c r="D1369" s="19"/>
      <c r="H1369" s="18"/>
      <c r="J1369" s="18"/>
      <c r="N1369" s="16"/>
      <c r="O1369" s="17"/>
      <c r="P1369" s="18">
        <f t="shared" si="37"/>
        <v>0</v>
      </c>
      <c r="Q1369" s="22"/>
      <c r="R1369" s="23"/>
    </row>
    <row r="1370" spans="1:18" ht="12.75">
      <c r="A1370" s="22"/>
      <c r="D1370" s="19"/>
      <c r="H1370" s="18"/>
      <c r="J1370" s="18"/>
      <c r="N1370" s="16"/>
      <c r="O1370" s="17"/>
      <c r="P1370" s="18">
        <f t="shared" si="37"/>
        <v>0</v>
      </c>
      <c r="Q1370" s="22"/>
      <c r="R1370" s="23"/>
    </row>
    <row r="1371" spans="1:18" ht="12.75">
      <c r="A1371" s="22"/>
      <c r="D1371" s="19"/>
      <c r="H1371" s="18"/>
      <c r="J1371" s="18"/>
      <c r="N1371" s="16"/>
      <c r="O1371" s="17"/>
      <c r="P1371" s="18">
        <f t="shared" si="37"/>
        <v>0</v>
      </c>
      <c r="Q1371" s="22"/>
      <c r="R1371" s="23"/>
    </row>
    <row r="1372" spans="1:18" ht="12.75">
      <c r="A1372" s="22"/>
      <c r="D1372" s="19"/>
      <c r="H1372" s="18"/>
      <c r="J1372" s="18"/>
      <c r="N1372" s="16"/>
      <c r="O1372" s="17"/>
      <c r="P1372" s="18">
        <f t="shared" si="37"/>
        <v>0</v>
      </c>
      <c r="Q1372" s="22"/>
      <c r="R1372" s="23"/>
    </row>
    <row r="1373" spans="1:18" ht="12.75">
      <c r="A1373" s="22"/>
      <c r="D1373" s="19"/>
      <c r="H1373" s="18"/>
      <c r="J1373" s="18"/>
      <c r="N1373" s="16"/>
      <c r="O1373" s="17"/>
      <c r="P1373" s="18">
        <f t="shared" si="37"/>
        <v>0</v>
      </c>
      <c r="Q1373" s="22"/>
      <c r="R1373" s="23"/>
    </row>
    <row r="1374" spans="1:18" ht="12.75">
      <c r="A1374" s="22"/>
      <c r="D1374" s="19"/>
      <c r="H1374" s="18"/>
      <c r="J1374" s="18"/>
      <c r="N1374" s="16"/>
      <c r="O1374" s="17"/>
      <c r="P1374" s="18">
        <f t="shared" si="37"/>
        <v>0</v>
      </c>
      <c r="Q1374" s="22"/>
      <c r="R1374" s="23"/>
    </row>
    <row r="1375" spans="1:18" ht="12.75">
      <c r="A1375" s="22"/>
      <c r="D1375" s="19"/>
      <c r="H1375" s="18"/>
      <c r="J1375" s="18"/>
      <c r="N1375" s="16"/>
      <c r="O1375" s="17"/>
      <c r="P1375" s="18">
        <f t="shared" si="37"/>
        <v>0</v>
      </c>
      <c r="Q1375" s="22"/>
      <c r="R1375" s="23"/>
    </row>
    <row r="1376" spans="1:18" ht="12.75">
      <c r="A1376" s="22"/>
      <c r="D1376" s="19"/>
      <c r="H1376" s="18"/>
      <c r="J1376" s="18"/>
      <c r="N1376" s="16"/>
      <c r="O1376" s="17"/>
      <c r="P1376" s="18">
        <f t="shared" si="37"/>
        <v>0</v>
      </c>
      <c r="Q1376" s="22"/>
      <c r="R1376" s="23"/>
    </row>
    <row r="1377" spans="1:18" ht="12.75">
      <c r="A1377" s="22"/>
      <c r="D1377" s="19"/>
      <c r="H1377" s="18"/>
      <c r="J1377" s="18"/>
      <c r="N1377" s="16"/>
      <c r="O1377" s="17"/>
      <c r="P1377" s="18">
        <f t="shared" si="37"/>
        <v>0</v>
      </c>
      <c r="Q1377" s="22"/>
      <c r="R1377" s="23"/>
    </row>
    <row r="1378" spans="1:18" ht="12.75">
      <c r="A1378" s="22"/>
      <c r="D1378" s="19"/>
      <c r="H1378" s="18"/>
      <c r="J1378" s="18"/>
      <c r="N1378" s="16"/>
      <c r="O1378" s="17"/>
      <c r="P1378" s="18">
        <f t="shared" si="37"/>
        <v>0</v>
      </c>
      <c r="Q1378" s="22"/>
      <c r="R1378" s="23"/>
    </row>
    <row r="1379" spans="1:18" ht="12.75">
      <c r="A1379" s="22"/>
      <c r="D1379" s="19"/>
      <c r="H1379" s="18"/>
      <c r="J1379" s="18"/>
      <c r="N1379" s="16"/>
      <c r="O1379" s="17"/>
      <c r="P1379" s="18">
        <f t="shared" si="37"/>
        <v>0</v>
      </c>
      <c r="Q1379" s="22"/>
      <c r="R1379" s="23"/>
    </row>
    <row r="1380" spans="1:18" ht="12.75">
      <c r="A1380" s="22"/>
      <c r="D1380" s="19"/>
      <c r="H1380" s="18"/>
      <c r="J1380" s="18"/>
      <c r="N1380" s="16"/>
      <c r="O1380" s="17"/>
      <c r="P1380" s="18">
        <f t="shared" si="37"/>
        <v>0</v>
      </c>
      <c r="Q1380" s="22"/>
      <c r="R1380" s="23"/>
    </row>
    <row r="1381" spans="1:18" ht="12.75">
      <c r="A1381" s="22"/>
      <c r="D1381" s="19"/>
      <c r="H1381" s="18"/>
      <c r="J1381" s="18"/>
      <c r="N1381" s="16"/>
      <c r="O1381" s="17"/>
      <c r="P1381" s="18">
        <f t="shared" si="37"/>
        <v>0</v>
      </c>
      <c r="Q1381" s="22"/>
      <c r="R1381" s="23"/>
    </row>
    <row r="1382" spans="1:18" ht="12.75">
      <c r="A1382" s="22"/>
      <c r="D1382" s="19"/>
      <c r="H1382" s="18"/>
      <c r="J1382" s="18"/>
      <c r="N1382" s="16"/>
      <c r="O1382" s="17"/>
      <c r="P1382" s="18">
        <f t="shared" si="37"/>
        <v>0</v>
      </c>
      <c r="Q1382" s="22"/>
      <c r="R1382" s="23"/>
    </row>
    <row r="1383" spans="1:18" ht="12.75">
      <c r="A1383" s="22"/>
      <c r="D1383" s="19"/>
      <c r="H1383" s="18"/>
      <c r="J1383" s="18"/>
      <c r="N1383" s="16"/>
      <c r="O1383" s="17"/>
      <c r="P1383" s="18">
        <f t="shared" si="37"/>
        <v>0</v>
      </c>
      <c r="Q1383" s="22"/>
      <c r="R1383" s="23"/>
    </row>
    <row r="1384" spans="1:18" ht="12.75">
      <c r="A1384" s="22"/>
      <c r="D1384" s="19"/>
      <c r="H1384" s="18"/>
      <c r="J1384" s="18"/>
      <c r="N1384" s="16"/>
      <c r="O1384" s="17"/>
      <c r="P1384" s="18">
        <f t="shared" si="37"/>
        <v>0</v>
      </c>
      <c r="Q1384" s="22"/>
      <c r="R1384" s="23"/>
    </row>
    <row r="1385" spans="1:18" ht="12.75">
      <c r="A1385" s="22"/>
      <c r="D1385" s="19"/>
      <c r="H1385" s="18"/>
      <c r="J1385" s="18"/>
      <c r="N1385" s="16"/>
      <c r="O1385" s="17"/>
      <c r="P1385" s="18">
        <f t="shared" si="37"/>
        <v>0</v>
      </c>
      <c r="Q1385" s="22"/>
      <c r="R1385" s="23"/>
    </row>
    <row r="1386" spans="1:18" ht="12.75">
      <c r="A1386" s="22"/>
      <c r="D1386" s="19"/>
      <c r="H1386" s="18"/>
      <c r="J1386" s="18"/>
      <c r="N1386" s="16"/>
      <c r="O1386" s="17"/>
      <c r="P1386" s="18">
        <f t="shared" si="37"/>
        <v>0</v>
      </c>
      <c r="Q1386" s="22"/>
      <c r="R1386" s="23"/>
    </row>
    <row r="1387" spans="1:18" ht="12.75">
      <c r="A1387" s="22"/>
      <c r="D1387" s="19"/>
      <c r="H1387" s="18"/>
      <c r="J1387" s="18"/>
      <c r="N1387" s="16"/>
      <c r="O1387" s="17"/>
      <c r="P1387" s="18">
        <f t="shared" si="37"/>
        <v>0</v>
      </c>
      <c r="Q1387" s="22"/>
      <c r="R1387" s="23"/>
    </row>
    <row r="1388" spans="1:18" ht="12.75">
      <c r="A1388" s="22"/>
      <c r="D1388" s="19"/>
      <c r="H1388" s="18"/>
      <c r="J1388" s="18"/>
      <c r="N1388" s="16"/>
      <c r="O1388" s="17"/>
      <c r="P1388" s="18">
        <f t="shared" ref="P1388:P1393" si="38">H1388+J1388+S1388</f>
        <v>0</v>
      </c>
      <c r="Q1388" s="22"/>
      <c r="R1388" s="23"/>
    </row>
    <row r="1389" spans="1:18" ht="12.75">
      <c r="A1389" s="22"/>
      <c r="D1389" s="19"/>
      <c r="H1389" s="18"/>
      <c r="J1389" s="18"/>
      <c r="N1389" s="16"/>
      <c r="O1389" s="17"/>
      <c r="P1389" s="18">
        <f t="shared" si="38"/>
        <v>0</v>
      </c>
      <c r="Q1389" s="22"/>
      <c r="R1389" s="23"/>
    </row>
    <row r="1390" spans="1:18" ht="12.75">
      <c r="A1390" s="22"/>
      <c r="D1390" s="19"/>
      <c r="H1390" s="18"/>
      <c r="J1390" s="18"/>
      <c r="N1390" s="16"/>
      <c r="O1390" s="17"/>
      <c r="P1390" s="18">
        <f t="shared" si="38"/>
        <v>0</v>
      </c>
      <c r="Q1390" s="22"/>
      <c r="R1390" s="23"/>
    </row>
    <row r="1391" spans="1:18" ht="12.75">
      <c r="A1391" s="22"/>
      <c r="D1391" s="19"/>
      <c r="H1391" s="18"/>
      <c r="J1391" s="18"/>
      <c r="N1391" s="16"/>
      <c r="O1391" s="17"/>
      <c r="P1391" s="18">
        <f t="shared" si="38"/>
        <v>0</v>
      </c>
      <c r="Q1391" s="22"/>
      <c r="R1391" s="23"/>
    </row>
    <row r="1392" spans="1:18" ht="12.75">
      <c r="A1392" s="22"/>
      <c r="D1392" s="19"/>
      <c r="H1392" s="18"/>
      <c r="J1392" s="18"/>
      <c r="N1392" s="16"/>
      <c r="O1392" s="17"/>
      <c r="P1392" s="18">
        <f t="shared" si="38"/>
        <v>0</v>
      </c>
      <c r="Q1392" s="22"/>
      <c r="R1392" s="23"/>
    </row>
    <row r="1393" spans="1:18" ht="12.75">
      <c r="A1393" s="22"/>
      <c r="D1393" s="19"/>
      <c r="H1393" s="18"/>
      <c r="J1393" s="18"/>
      <c r="N1393" s="16"/>
      <c r="O1393" s="17"/>
      <c r="P1393" s="18">
        <f t="shared" si="38"/>
        <v>0</v>
      </c>
      <c r="Q1393" s="22"/>
      <c r="R1393" s="23"/>
    </row>
    <row r="1394" spans="1:18" ht="12.75">
      <c r="A1394" s="22"/>
      <c r="D1394" s="19"/>
      <c r="H1394" s="18"/>
      <c r="J1394" s="18"/>
      <c r="N1394" s="16"/>
      <c r="O1394" s="17"/>
      <c r="Q1394" s="22"/>
      <c r="R1394" s="23"/>
    </row>
    <row r="1395" spans="1:18" ht="12.75">
      <c r="A1395" s="22"/>
      <c r="D1395" s="19"/>
      <c r="H1395" s="18"/>
      <c r="J1395" s="18"/>
      <c r="N1395" s="16"/>
      <c r="O1395" s="17"/>
      <c r="Q1395" s="22"/>
      <c r="R1395" s="23"/>
    </row>
    <row r="1396" spans="1:18" ht="12.75">
      <c r="A1396" s="22"/>
      <c r="D1396" s="19"/>
      <c r="H1396" s="18"/>
      <c r="J1396" s="18"/>
      <c r="N1396" s="16"/>
      <c r="O1396" s="17"/>
      <c r="Q1396" s="22"/>
      <c r="R1396" s="23"/>
    </row>
    <row r="1397" spans="1:18" ht="12.75">
      <c r="A1397" s="22"/>
      <c r="D1397" s="19"/>
      <c r="H1397" s="18"/>
      <c r="J1397" s="18"/>
      <c r="N1397" s="16"/>
      <c r="O1397" s="17"/>
      <c r="Q1397" s="22"/>
      <c r="R1397" s="23"/>
    </row>
    <row r="1398" spans="1:18" ht="12.75">
      <c r="A1398" s="22"/>
      <c r="D1398" s="19"/>
      <c r="H1398" s="18"/>
      <c r="J1398" s="18"/>
      <c r="N1398" s="16"/>
      <c r="O1398" s="17"/>
      <c r="Q1398" s="22"/>
      <c r="R1398" s="23"/>
    </row>
    <row r="1399" spans="1:18" ht="12.75">
      <c r="A1399" s="22"/>
      <c r="D1399" s="19"/>
      <c r="H1399" s="18"/>
      <c r="J1399" s="18"/>
      <c r="N1399" s="16"/>
      <c r="O1399" s="17"/>
      <c r="Q1399" s="22"/>
      <c r="R1399" s="23"/>
    </row>
    <row r="1400" spans="1:18" ht="12.75">
      <c r="A1400" s="22"/>
      <c r="D1400" s="19"/>
      <c r="H1400" s="18"/>
      <c r="J1400" s="18"/>
      <c r="N1400" s="16"/>
      <c r="O1400" s="17"/>
      <c r="Q1400" s="22"/>
      <c r="R1400" s="23"/>
    </row>
    <row r="1401" spans="1:18" ht="12.75">
      <c r="A1401" s="22"/>
      <c r="D1401" s="19"/>
      <c r="H1401" s="18"/>
      <c r="J1401" s="18"/>
      <c r="N1401" s="16"/>
      <c r="O1401" s="17"/>
      <c r="Q1401" s="22"/>
      <c r="R1401" s="23"/>
    </row>
    <row r="1402" spans="1:18" ht="12.75">
      <c r="A1402" s="22"/>
      <c r="D1402" s="19"/>
      <c r="H1402" s="18"/>
      <c r="J1402" s="18"/>
      <c r="N1402" s="16"/>
      <c r="O1402" s="17"/>
      <c r="Q1402" s="22"/>
      <c r="R1402" s="23"/>
    </row>
    <row r="1403" spans="1:18" ht="12.75">
      <c r="A1403" s="22"/>
      <c r="D1403" s="19"/>
      <c r="H1403" s="18"/>
      <c r="J1403" s="18"/>
      <c r="N1403" s="16"/>
      <c r="O1403" s="17"/>
      <c r="Q1403" s="22"/>
      <c r="R1403" s="23"/>
    </row>
    <row r="1404" spans="1:18" ht="12.75">
      <c r="A1404" s="22"/>
      <c r="D1404" s="19"/>
      <c r="H1404" s="18"/>
      <c r="J1404" s="18"/>
      <c r="N1404" s="16"/>
      <c r="O1404" s="17"/>
      <c r="Q1404" s="22"/>
      <c r="R1404" s="23"/>
    </row>
    <row r="1405" spans="1:18" ht="12.75">
      <c r="A1405" s="22"/>
      <c r="D1405" s="19"/>
      <c r="H1405" s="18"/>
      <c r="J1405" s="18"/>
      <c r="N1405" s="16"/>
      <c r="O1405" s="17"/>
      <c r="Q1405" s="22"/>
      <c r="R1405" s="23"/>
    </row>
    <row r="1406" spans="1:18" ht="12.75">
      <c r="A1406" s="22"/>
      <c r="D1406" s="19"/>
      <c r="H1406" s="18"/>
      <c r="J1406" s="18"/>
      <c r="N1406" s="16"/>
      <c r="O1406" s="17"/>
      <c r="Q1406" s="22"/>
      <c r="R1406" s="23"/>
    </row>
    <row r="1407" spans="1:18" ht="12.75">
      <c r="A1407" s="22"/>
      <c r="D1407" s="19"/>
      <c r="H1407" s="18"/>
      <c r="J1407" s="18"/>
      <c r="N1407" s="16"/>
      <c r="O1407" s="17"/>
      <c r="Q1407" s="22"/>
      <c r="R1407" s="23"/>
    </row>
    <row r="1408" spans="1:18" ht="12.75">
      <c r="A1408" s="22"/>
      <c r="D1408" s="19"/>
      <c r="H1408" s="18"/>
      <c r="J1408" s="18"/>
      <c r="N1408" s="16"/>
      <c r="O1408" s="17"/>
      <c r="Q1408" s="22"/>
      <c r="R1408" s="23"/>
    </row>
    <row r="1409" spans="1:18" ht="12.75">
      <c r="A1409" s="22"/>
      <c r="D1409" s="19"/>
      <c r="H1409" s="18"/>
      <c r="J1409" s="18"/>
      <c r="N1409" s="16"/>
      <c r="O1409" s="17"/>
      <c r="Q1409" s="22"/>
      <c r="R1409" s="23"/>
    </row>
    <row r="1410" spans="1:18" ht="12.75">
      <c r="A1410" s="22"/>
      <c r="D1410" s="19"/>
      <c r="H1410" s="18"/>
      <c r="J1410" s="18"/>
      <c r="N1410" s="16"/>
      <c r="O1410" s="17"/>
      <c r="Q1410" s="22"/>
      <c r="R1410" s="23"/>
    </row>
    <row r="1411" spans="1:18" ht="12.75">
      <c r="A1411" s="22"/>
      <c r="D1411" s="19"/>
      <c r="H1411" s="18"/>
      <c r="J1411" s="18"/>
      <c r="N1411" s="16"/>
      <c r="O1411" s="17"/>
      <c r="Q1411" s="22"/>
      <c r="R1411" s="23"/>
    </row>
    <row r="1412" spans="1:18" ht="12.75">
      <c r="A1412" s="22"/>
      <c r="D1412" s="19"/>
      <c r="H1412" s="18"/>
      <c r="J1412" s="18"/>
      <c r="N1412" s="16"/>
      <c r="O1412" s="17"/>
      <c r="Q1412" s="22"/>
      <c r="R1412" s="23"/>
    </row>
    <row r="1413" spans="1:18" ht="12.75">
      <c r="A1413" s="22"/>
      <c r="D1413" s="19"/>
      <c r="H1413" s="18"/>
      <c r="J1413" s="18"/>
      <c r="N1413" s="16"/>
      <c r="O1413" s="17"/>
      <c r="Q1413" s="22"/>
      <c r="R1413" s="23"/>
    </row>
    <row r="1414" spans="1:18" ht="12.75">
      <c r="A1414" s="22"/>
      <c r="D1414" s="19"/>
      <c r="H1414" s="18"/>
      <c r="J1414" s="18"/>
      <c r="N1414" s="16"/>
      <c r="O1414" s="17"/>
      <c r="Q1414" s="22"/>
      <c r="R1414" s="23"/>
    </row>
    <row r="1415" spans="1:18" ht="12.75">
      <c r="A1415" s="22"/>
      <c r="D1415" s="19"/>
      <c r="H1415" s="18"/>
      <c r="J1415" s="18"/>
      <c r="N1415" s="16"/>
      <c r="O1415" s="17"/>
      <c r="Q1415" s="22"/>
      <c r="R1415" s="23"/>
    </row>
    <row r="1416" spans="1:18" ht="12.75">
      <c r="A1416" s="22"/>
      <c r="D1416" s="19"/>
      <c r="H1416" s="18"/>
      <c r="J1416" s="18"/>
      <c r="N1416" s="16"/>
      <c r="O1416" s="17"/>
      <c r="Q1416" s="22"/>
      <c r="R1416" s="23"/>
    </row>
    <row r="1417" spans="1:18" ht="12.75">
      <c r="A1417" s="22"/>
      <c r="D1417" s="19"/>
      <c r="H1417" s="18"/>
      <c r="J1417" s="18"/>
      <c r="N1417" s="16"/>
      <c r="O1417" s="17"/>
      <c r="Q1417" s="22"/>
      <c r="R1417" s="23"/>
    </row>
    <row r="1418" spans="1:18" ht="12.75">
      <c r="A1418" s="22"/>
      <c r="D1418" s="19"/>
      <c r="H1418" s="18"/>
      <c r="J1418" s="18"/>
      <c r="N1418" s="16"/>
      <c r="O1418" s="17"/>
      <c r="Q1418" s="22"/>
      <c r="R1418" s="23"/>
    </row>
    <row r="1419" spans="1:18" ht="12.75">
      <c r="A1419" s="22"/>
      <c r="D1419" s="19"/>
      <c r="H1419" s="18"/>
      <c r="J1419" s="18"/>
      <c r="N1419" s="16"/>
      <c r="O1419" s="17"/>
      <c r="Q1419" s="22"/>
      <c r="R1419" s="23"/>
    </row>
    <row r="1420" spans="1:18" ht="12.75">
      <c r="A1420" s="22"/>
      <c r="D1420" s="19"/>
      <c r="H1420" s="18"/>
      <c r="J1420" s="18"/>
      <c r="N1420" s="16"/>
      <c r="O1420" s="17"/>
      <c r="Q1420" s="22"/>
      <c r="R1420" s="23"/>
    </row>
    <row r="1421" spans="1:18" ht="12.75">
      <c r="A1421" s="22"/>
      <c r="D1421" s="19"/>
      <c r="H1421" s="18"/>
      <c r="J1421" s="18"/>
      <c r="N1421" s="16"/>
      <c r="O1421" s="17"/>
      <c r="Q1421" s="22"/>
      <c r="R1421" s="23"/>
    </row>
    <row r="1422" spans="1:18" ht="12.75">
      <c r="A1422" s="22"/>
      <c r="D1422" s="19"/>
      <c r="H1422" s="18"/>
      <c r="J1422" s="18"/>
      <c r="N1422" s="16"/>
      <c r="O1422" s="17"/>
      <c r="Q1422" s="22"/>
      <c r="R1422" s="23"/>
    </row>
    <row r="1423" spans="1:18" ht="12.75">
      <c r="A1423" s="22"/>
      <c r="D1423" s="19"/>
      <c r="H1423" s="18"/>
      <c r="J1423" s="18"/>
      <c r="N1423" s="16"/>
      <c r="O1423" s="17"/>
      <c r="Q1423" s="22"/>
      <c r="R1423" s="23"/>
    </row>
    <row r="1424" spans="1:18" ht="12.75">
      <c r="A1424" s="22"/>
      <c r="D1424" s="19"/>
      <c r="H1424" s="18"/>
      <c r="J1424" s="18"/>
      <c r="N1424" s="16"/>
      <c r="O1424" s="17"/>
      <c r="Q1424" s="22"/>
      <c r="R1424" s="23"/>
    </row>
    <row r="1425" spans="1:18" ht="12.75">
      <c r="A1425" s="22"/>
      <c r="D1425" s="19"/>
      <c r="H1425" s="18"/>
      <c r="J1425" s="18"/>
      <c r="N1425" s="16"/>
      <c r="O1425" s="17"/>
      <c r="Q1425" s="22"/>
      <c r="R1425" s="23"/>
    </row>
    <row r="1426" spans="1:18" ht="12.75">
      <c r="A1426" s="22"/>
      <c r="D1426" s="19"/>
      <c r="H1426" s="18"/>
      <c r="J1426" s="18"/>
      <c r="N1426" s="16"/>
      <c r="O1426" s="17"/>
      <c r="Q1426" s="22"/>
      <c r="R1426" s="23"/>
    </row>
    <row r="1427" spans="1:18" ht="12.75">
      <c r="A1427" s="22"/>
      <c r="D1427" s="19"/>
      <c r="H1427" s="18"/>
      <c r="J1427" s="18"/>
      <c r="N1427" s="16"/>
      <c r="O1427" s="17"/>
      <c r="Q1427" s="22"/>
      <c r="R1427" s="23"/>
    </row>
    <row r="1428" spans="1:18" ht="12.75">
      <c r="A1428" s="22"/>
      <c r="D1428" s="19"/>
      <c r="H1428" s="18"/>
      <c r="J1428" s="18"/>
      <c r="N1428" s="16"/>
      <c r="O1428" s="17"/>
      <c r="Q1428" s="22"/>
      <c r="R1428" s="23"/>
    </row>
    <row r="1429" spans="1:18" ht="12.75">
      <c r="A1429" s="22"/>
      <c r="D1429" s="19"/>
      <c r="H1429" s="18"/>
      <c r="J1429" s="18"/>
      <c r="N1429" s="16"/>
      <c r="O1429" s="17"/>
      <c r="Q1429" s="22"/>
      <c r="R1429" s="23"/>
    </row>
    <row r="1430" spans="1:18" ht="12.75">
      <c r="A1430" s="22"/>
      <c r="D1430" s="19"/>
      <c r="H1430" s="18"/>
      <c r="J1430" s="18"/>
      <c r="N1430" s="16"/>
      <c r="O1430" s="17"/>
      <c r="Q1430" s="22"/>
      <c r="R1430" s="23"/>
    </row>
    <row r="1431" spans="1:18" ht="12.75">
      <c r="A1431" s="22"/>
      <c r="D1431" s="19"/>
      <c r="H1431" s="18"/>
      <c r="J1431" s="18"/>
      <c r="N1431" s="16"/>
      <c r="O1431" s="17"/>
      <c r="Q1431" s="22"/>
      <c r="R1431" s="23"/>
    </row>
    <row r="1432" spans="1:18" ht="12.75">
      <c r="A1432" s="22"/>
      <c r="D1432" s="19"/>
      <c r="H1432" s="18"/>
      <c r="J1432" s="18"/>
      <c r="N1432" s="16"/>
      <c r="O1432" s="17"/>
      <c r="Q1432" s="22"/>
      <c r="R1432" s="23"/>
    </row>
    <row r="1433" spans="1:18" ht="12.75">
      <c r="A1433" s="22"/>
      <c r="D1433" s="19"/>
      <c r="H1433" s="18"/>
      <c r="J1433" s="18"/>
      <c r="N1433" s="16"/>
      <c r="O1433" s="17"/>
      <c r="Q1433" s="22"/>
      <c r="R1433" s="23"/>
    </row>
    <row r="1434" spans="1:18" ht="12.75">
      <c r="A1434" s="22"/>
      <c r="D1434" s="19"/>
      <c r="H1434" s="18"/>
      <c r="J1434" s="18"/>
      <c r="N1434" s="16"/>
      <c r="O1434" s="17"/>
      <c r="Q1434" s="22"/>
      <c r="R1434" s="23"/>
    </row>
    <row r="1435" spans="1:18" ht="12.75">
      <c r="A1435" s="22"/>
      <c r="D1435" s="19"/>
      <c r="H1435" s="18"/>
      <c r="J1435" s="18"/>
      <c r="N1435" s="16"/>
      <c r="O1435" s="17"/>
      <c r="Q1435" s="22"/>
      <c r="R1435" s="23"/>
    </row>
    <row r="1436" spans="1:18" ht="12.75">
      <c r="A1436" s="22"/>
      <c r="D1436" s="19"/>
      <c r="H1436" s="18"/>
      <c r="J1436" s="18"/>
      <c r="N1436" s="16"/>
      <c r="O1436" s="17"/>
      <c r="Q1436" s="22"/>
      <c r="R1436" s="23"/>
    </row>
    <row r="1437" spans="1:18" ht="12.75">
      <c r="A1437" s="22"/>
      <c r="D1437" s="19"/>
      <c r="H1437" s="18"/>
      <c r="J1437" s="18"/>
      <c r="N1437" s="16"/>
      <c r="O1437" s="17"/>
      <c r="Q1437" s="22"/>
      <c r="R1437" s="23"/>
    </row>
    <row r="1438" spans="1:18" ht="12.75">
      <c r="A1438" s="22"/>
      <c r="D1438" s="19"/>
      <c r="H1438" s="18"/>
      <c r="J1438" s="18"/>
      <c r="N1438" s="16"/>
      <c r="O1438" s="17"/>
      <c r="Q1438" s="22"/>
      <c r="R1438" s="23"/>
    </row>
    <row r="1439" spans="1:18" ht="12.75">
      <c r="A1439" s="22"/>
      <c r="D1439" s="19"/>
      <c r="H1439" s="18"/>
      <c r="J1439" s="18"/>
      <c r="N1439" s="16"/>
      <c r="O1439" s="17"/>
      <c r="Q1439" s="22"/>
      <c r="R1439" s="23"/>
    </row>
    <row r="1440" spans="1:18" ht="12.75">
      <c r="A1440" s="22"/>
      <c r="D1440" s="19"/>
      <c r="H1440" s="18"/>
      <c r="J1440" s="18"/>
      <c r="N1440" s="16"/>
      <c r="O1440" s="17"/>
      <c r="Q1440" s="22"/>
      <c r="R1440" s="23"/>
    </row>
    <row r="1441" spans="1:18" ht="12.75">
      <c r="A1441" s="22"/>
      <c r="D1441" s="19"/>
      <c r="H1441" s="18"/>
      <c r="J1441" s="18"/>
      <c r="N1441" s="16"/>
      <c r="O1441" s="17"/>
      <c r="Q1441" s="22"/>
      <c r="R1441" s="23"/>
    </row>
    <row r="1442" spans="1:18" ht="12.75">
      <c r="A1442" s="22"/>
      <c r="D1442" s="19"/>
      <c r="H1442" s="18"/>
      <c r="J1442" s="18"/>
      <c r="N1442" s="16"/>
      <c r="O1442" s="17"/>
      <c r="Q1442" s="22"/>
      <c r="R1442" s="23"/>
    </row>
    <row r="1443" spans="1:18" ht="12.75">
      <c r="A1443" s="22"/>
      <c r="D1443" s="19"/>
      <c r="H1443" s="18"/>
      <c r="J1443" s="18"/>
      <c r="N1443" s="16"/>
      <c r="O1443" s="17"/>
      <c r="Q1443" s="22"/>
      <c r="R1443" s="23"/>
    </row>
    <row r="1444" spans="1:18" ht="12.75">
      <c r="A1444" s="22"/>
      <c r="D1444" s="19"/>
      <c r="H1444" s="18"/>
      <c r="J1444" s="18"/>
      <c r="N1444" s="16"/>
      <c r="O1444" s="17"/>
      <c r="Q1444" s="22"/>
      <c r="R1444" s="23"/>
    </row>
    <row r="1445" spans="1:18" ht="12.75">
      <c r="A1445" s="22"/>
      <c r="D1445" s="19"/>
      <c r="H1445" s="18"/>
      <c r="J1445" s="18"/>
      <c r="N1445" s="16"/>
      <c r="O1445" s="17"/>
      <c r="Q1445" s="22"/>
      <c r="R1445" s="23"/>
    </row>
    <row r="1446" spans="1:18" ht="12.75">
      <c r="A1446" s="22"/>
      <c r="D1446" s="19"/>
      <c r="H1446" s="18"/>
      <c r="J1446" s="18"/>
      <c r="N1446" s="16"/>
      <c r="O1446" s="17"/>
      <c r="Q1446" s="22"/>
      <c r="R1446" s="23"/>
    </row>
    <row r="1447" spans="1:18" ht="12.75">
      <c r="A1447" s="22"/>
      <c r="D1447" s="19"/>
      <c r="H1447" s="18"/>
      <c r="J1447" s="18"/>
      <c r="N1447" s="16"/>
      <c r="O1447" s="17"/>
      <c r="Q1447" s="22"/>
      <c r="R1447" s="23"/>
    </row>
    <row r="1448" spans="1:18" ht="12.75">
      <c r="A1448" s="22"/>
      <c r="D1448" s="19"/>
      <c r="H1448" s="18"/>
      <c r="J1448" s="18"/>
      <c r="N1448" s="16"/>
      <c r="O1448" s="17"/>
      <c r="Q1448" s="22"/>
      <c r="R1448" s="23"/>
    </row>
    <row r="1449" spans="1:18" ht="12.75">
      <c r="A1449" s="22"/>
      <c r="D1449" s="19"/>
      <c r="H1449" s="18"/>
      <c r="J1449" s="18"/>
      <c r="N1449" s="16"/>
      <c r="O1449" s="17"/>
      <c r="Q1449" s="22"/>
      <c r="R1449" s="23"/>
    </row>
    <row r="1450" spans="1:18" ht="12.75">
      <c r="A1450" s="22"/>
      <c r="D1450" s="19"/>
      <c r="H1450" s="18"/>
      <c r="J1450" s="18"/>
      <c r="N1450" s="16"/>
      <c r="O1450" s="17"/>
      <c r="Q1450" s="22"/>
      <c r="R1450" s="23"/>
    </row>
    <row r="1451" spans="1:18" ht="12.75">
      <c r="A1451" s="22"/>
      <c r="D1451" s="19"/>
      <c r="H1451" s="18"/>
      <c r="J1451" s="18"/>
      <c r="N1451" s="16"/>
      <c r="O1451" s="17"/>
      <c r="Q1451" s="22"/>
      <c r="R1451" s="23"/>
    </row>
    <row r="1452" spans="1:18" ht="12.75">
      <c r="A1452" s="22"/>
      <c r="D1452" s="19"/>
      <c r="H1452" s="18"/>
      <c r="J1452" s="18"/>
      <c r="N1452" s="16"/>
      <c r="O1452" s="17"/>
      <c r="Q1452" s="22"/>
      <c r="R1452" s="23"/>
    </row>
    <row r="1453" spans="1:18" ht="12.75">
      <c r="A1453" s="22"/>
      <c r="D1453" s="19"/>
      <c r="H1453" s="18"/>
      <c r="J1453" s="18"/>
      <c r="N1453" s="16"/>
      <c r="O1453" s="17"/>
      <c r="Q1453" s="22"/>
      <c r="R1453" s="23"/>
    </row>
    <row r="1454" spans="1:18" ht="12.75">
      <c r="A1454" s="22"/>
      <c r="D1454" s="19"/>
      <c r="H1454" s="18"/>
      <c r="J1454" s="18"/>
      <c r="N1454" s="16"/>
      <c r="O1454" s="17"/>
      <c r="Q1454" s="22"/>
      <c r="R1454" s="23"/>
    </row>
    <row r="1455" spans="1:18" ht="12.75">
      <c r="A1455" s="22"/>
      <c r="D1455" s="19"/>
      <c r="H1455" s="18"/>
      <c r="J1455" s="18"/>
      <c r="N1455" s="16"/>
      <c r="O1455" s="17"/>
      <c r="Q1455" s="22"/>
      <c r="R1455" s="23"/>
    </row>
    <row r="1456" spans="1:18" ht="12.75">
      <c r="A1456" s="22"/>
      <c r="D1456" s="19"/>
      <c r="H1456" s="18"/>
      <c r="J1456" s="18"/>
      <c r="N1456" s="16"/>
      <c r="O1456" s="17"/>
      <c r="Q1456" s="22"/>
      <c r="R1456" s="23"/>
    </row>
    <row r="1457" spans="1:18" ht="12.75">
      <c r="A1457" s="22"/>
      <c r="D1457" s="19"/>
      <c r="H1457" s="18"/>
      <c r="J1457" s="18"/>
      <c r="N1457" s="16"/>
      <c r="O1457" s="17"/>
      <c r="Q1457" s="22"/>
      <c r="R1457" s="23"/>
    </row>
    <row r="1458" spans="1:18" ht="12.75">
      <c r="A1458" s="22"/>
      <c r="D1458" s="19"/>
      <c r="H1458" s="18"/>
      <c r="J1458" s="18"/>
      <c r="N1458" s="16"/>
      <c r="O1458" s="17"/>
      <c r="Q1458" s="22"/>
      <c r="R1458" s="23"/>
    </row>
    <row r="1459" spans="1:18" ht="12.75">
      <c r="A1459" s="22"/>
      <c r="D1459" s="19"/>
      <c r="H1459" s="18"/>
      <c r="J1459" s="18"/>
      <c r="N1459" s="16"/>
      <c r="O1459" s="17"/>
      <c r="Q1459" s="22"/>
      <c r="R1459" s="23"/>
    </row>
    <row r="1460" spans="1:18" ht="12.75">
      <c r="A1460" s="22"/>
      <c r="D1460" s="19"/>
      <c r="H1460" s="18"/>
      <c r="J1460" s="18"/>
      <c r="N1460" s="16"/>
      <c r="O1460" s="17"/>
      <c r="Q1460" s="22"/>
      <c r="R1460" s="23"/>
    </row>
    <row r="1461" spans="1:18" ht="12.75">
      <c r="A1461" s="22"/>
      <c r="D1461" s="19"/>
      <c r="H1461" s="18"/>
      <c r="J1461" s="18"/>
      <c r="N1461" s="16"/>
      <c r="O1461" s="17"/>
      <c r="Q1461" s="22"/>
      <c r="R1461" s="23"/>
    </row>
    <row r="1462" spans="1:18" ht="12.75">
      <c r="A1462" s="22"/>
      <c r="D1462" s="19"/>
      <c r="H1462" s="18"/>
      <c r="J1462" s="18"/>
      <c r="N1462" s="16"/>
      <c r="O1462" s="17"/>
      <c r="Q1462" s="22"/>
      <c r="R1462" s="23"/>
    </row>
    <row r="1463" spans="1:18" ht="12.75">
      <c r="A1463" s="22"/>
      <c r="D1463" s="19"/>
      <c r="H1463" s="18"/>
      <c r="J1463" s="18"/>
      <c r="N1463" s="16"/>
      <c r="O1463" s="17"/>
      <c r="Q1463" s="22"/>
      <c r="R1463" s="23"/>
    </row>
    <row r="1464" spans="1:18" ht="12.75">
      <c r="A1464" s="22"/>
      <c r="D1464" s="19"/>
      <c r="H1464" s="18"/>
      <c r="J1464" s="18"/>
      <c r="N1464" s="16"/>
      <c r="O1464" s="17"/>
      <c r="Q1464" s="22"/>
      <c r="R1464" s="23"/>
    </row>
    <row r="1465" spans="1:18" ht="12.75">
      <c r="A1465" s="22"/>
      <c r="D1465" s="19"/>
      <c r="H1465" s="18"/>
      <c r="J1465" s="18"/>
      <c r="N1465" s="16"/>
      <c r="O1465" s="17"/>
      <c r="Q1465" s="22"/>
      <c r="R1465" s="23"/>
    </row>
    <row r="1466" spans="1:18" ht="12.75">
      <c r="A1466" s="22"/>
      <c r="D1466" s="19"/>
      <c r="H1466" s="18"/>
      <c r="J1466" s="18"/>
      <c r="N1466" s="16"/>
      <c r="O1466" s="17"/>
      <c r="Q1466" s="22"/>
      <c r="R1466" s="23"/>
    </row>
    <row r="1467" spans="1:18" ht="12.75">
      <c r="A1467" s="22"/>
      <c r="D1467" s="19"/>
      <c r="H1467" s="18"/>
      <c r="J1467" s="18"/>
      <c r="N1467" s="16"/>
      <c r="O1467" s="17"/>
      <c r="Q1467" s="22"/>
      <c r="R1467" s="23"/>
    </row>
    <row r="1468" spans="1:18" ht="12.75">
      <c r="A1468" s="22"/>
      <c r="D1468" s="19"/>
      <c r="H1468" s="18"/>
      <c r="J1468" s="18"/>
      <c r="N1468" s="16"/>
      <c r="O1468" s="17"/>
      <c r="Q1468" s="22"/>
      <c r="R1468" s="23"/>
    </row>
    <row r="1469" spans="1:18" ht="12.75">
      <c r="A1469" s="22"/>
      <c r="D1469" s="19"/>
      <c r="H1469" s="18"/>
      <c r="J1469" s="18"/>
      <c r="N1469" s="16"/>
      <c r="O1469" s="17"/>
      <c r="Q1469" s="22"/>
      <c r="R1469" s="23"/>
    </row>
    <row r="1470" spans="1:18" ht="12.75">
      <c r="A1470" s="22"/>
      <c r="D1470" s="19"/>
      <c r="H1470" s="18"/>
      <c r="J1470" s="18"/>
      <c r="N1470" s="16"/>
      <c r="O1470" s="17"/>
      <c r="Q1470" s="22"/>
      <c r="R1470" s="23"/>
    </row>
    <row r="1471" spans="1:18" ht="12.75">
      <c r="A1471" s="22"/>
      <c r="D1471" s="19"/>
      <c r="H1471" s="18"/>
      <c r="J1471" s="18"/>
      <c r="N1471" s="16"/>
      <c r="O1471" s="17"/>
      <c r="Q1471" s="22"/>
      <c r="R1471" s="23"/>
    </row>
    <row r="1472" spans="1:18" ht="12.75">
      <c r="A1472" s="22"/>
      <c r="D1472" s="19"/>
      <c r="H1472" s="18"/>
      <c r="J1472" s="18"/>
      <c r="N1472" s="16"/>
      <c r="O1472" s="17"/>
      <c r="Q1472" s="22"/>
      <c r="R1472" s="23"/>
    </row>
    <row r="1473" spans="1:18" ht="12.75">
      <c r="A1473" s="22"/>
      <c r="D1473" s="19"/>
      <c r="H1473" s="18"/>
      <c r="J1473" s="18"/>
      <c r="N1473" s="16"/>
      <c r="O1473" s="17"/>
      <c r="Q1473" s="22"/>
      <c r="R1473" s="23"/>
    </row>
    <row r="1474" spans="1:18" ht="12.75">
      <c r="A1474" s="22"/>
      <c r="D1474" s="19"/>
      <c r="H1474" s="18"/>
      <c r="J1474" s="18"/>
      <c r="N1474" s="16"/>
      <c r="O1474" s="17"/>
      <c r="Q1474" s="22"/>
      <c r="R1474" s="23"/>
    </row>
    <row r="1475" spans="1:18" ht="12.75">
      <c r="A1475" s="22"/>
      <c r="D1475" s="19"/>
      <c r="H1475" s="18"/>
      <c r="J1475" s="18"/>
      <c r="N1475" s="16"/>
      <c r="O1475" s="17"/>
      <c r="Q1475" s="22"/>
      <c r="R1475" s="23"/>
    </row>
    <row r="1476" spans="1:18" ht="12.75">
      <c r="A1476" s="22"/>
      <c r="D1476" s="19"/>
      <c r="H1476" s="18"/>
      <c r="J1476" s="18"/>
      <c r="N1476" s="16"/>
      <c r="O1476" s="17"/>
      <c r="Q1476" s="22"/>
      <c r="R1476" s="23"/>
    </row>
    <row r="1477" spans="1:18" ht="12.75">
      <c r="A1477" s="22"/>
      <c r="D1477" s="19"/>
      <c r="H1477" s="18"/>
      <c r="J1477" s="18"/>
      <c r="N1477" s="16"/>
      <c r="O1477" s="17"/>
      <c r="Q1477" s="22"/>
      <c r="R1477" s="23"/>
    </row>
    <row r="1478" spans="1:18" ht="12.75">
      <c r="A1478" s="22"/>
      <c r="D1478" s="19"/>
      <c r="H1478" s="18"/>
      <c r="J1478" s="18"/>
      <c r="N1478" s="16"/>
      <c r="O1478" s="17"/>
      <c r="Q1478" s="22"/>
      <c r="R1478" s="23"/>
    </row>
    <row r="1479" spans="1:18" ht="12.75">
      <c r="A1479" s="22"/>
      <c r="D1479" s="19"/>
      <c r="H1479" s="18"/>
      <c r="J1479" s="18"/>
      <c r="N1479" s="16"/>
      <c r="O1479" s="17"/>
      <c r="Q1479" s="22"/>
      <c r="R1479" s="23"/>
    </row>
    <row r="1480" spans="1:18" ht="12.75">
      <c r="A1480" s="22"/>
      <c r="D1480" s="19"/>
      <c r="H1480" s="18"/>
      <c r="J1480" s="18"/>
      <c r="N1480" s="16"/>
      <c r="O1480" s="17"/>
      <c r="Q1480" s="22"/>
      <c r="R1480" s="23"/>
    </row>
    <row r="1481" spans="1:18" ht="12.75">
      <c r="A1481" s="22"/>
      <c r="D1481" s="19"/>
      <c r="H1481" s="18"/>
      <c r="J1481" s="18"/>
      <c r="N1481" s="16"/>
      <c r="O1481" s="17"/>
      <c r="Q1481" s="22"/>
      <c r="R1481" s="23"/>
    </row>
    <row r="1482" spans="1:18" ht="12.75">
      <c r="A1482" s="22"/>
      <c r="D1482" s="19"/>
      <c r="H1482" s="18"/>
      <c r="J1482" s="18"/>
      <c r="N1482" s="16"/>
      <c r="O1482" s="17"/>
      <c r="Q1482" s="22"/>
      <c r="R1482" s="23"/>
    </row>
    <row r="1483" spans="1:18" ht="12.75">
      <c r="A1483" s="22"/>
      <c r="D1483" s="19"/>
      <c r="H1483" s="18"/>
      <c r="J1483" s="18"/>
      <c r="N1483" s="16"/>
      <c r="O1483" s="17"/>
      <c r="Q1483" s="22"/>
      <c r="R1483" s="23"/>
    </row>
    <row r="1484" spans="1:18" ht="12.75">
      <c r="A1484" s="22"/>
      <c r="D1484" s="19"/>
      <c r="H1484" s="18"/>
      <c r="J1484" s="18"/>
      <c r="N1484" s="16"/>
      <c r="O1484" s="17"/>
      <c r="Q1484" s="22"/>
      <c r="R1484" s="23"/>
    </row>
    <row r="1485" spans="1:18" ht="12.75">
      <c r="A1485" s="22"/>
      <c r="D1485" s="19"/>
      <c r="H1485" s="18"/>
      <c r="J1485" s="18"/>
      <c r="N1485" s="16"/>
      <c r="O1485" s="17"/>
      <c r="Q1485" s="22"/>
      <c r="R1485" s="23"/>
    </row>
    <row r="1486" spans="1:18" ht="12.75">
      <c r="A1486" s="22"/>
      <c r="D1486" s="19"/>
      <c r="H1486" s="18"/>
      <c r="J1486" s="18"/>
      <c r="N1486" s="16"/>
      <c r="O1486" s="17"/>
      <c r="Q1486" s="22"/>
      <c r="R1486" s="23"/>
    </row>
    <row r="1487" spans="1:18" ht="12.75">
      <c r="A1487" s="22"/>
      <c r="D1487" s="19"/>
      <c r="H1487" s="18"/>
      <c r="J1487" s="18"/>
      <c r="N1487" s="16"/>
      <c r="O1487" s="17"/>
      <c r="Q1487" s="22"/>
      <c r="R1487" s="23"/>
    </row>
    <row r="1488" spans="1:18" ht="12.75">
      <c r="A1488" s="22"/>
      <c r="D1488" s="19"/>
      <c r="H1488" s="18"/>
      <c r="J1488" s="18"/>
      <c r="N1488" s="16"/>
      <c r="O1488" s="17"/>
      <c r="Q1488" s="22"/>
      <c r="R1488" s="23"/>
    </row>
    <row r="1489" spans="1:18" ht="12.75">
      <c r="A1489" s="22"/>
      <c r="D1489" s="19"/>
      <c r="H1489" s="18"/>
      <c r="J1489" s="18"/>
      <c r="N1489" s="16"/>
      <c r="O1489" s="17"/>
      <c r="Q1489" s="22"/>
      <c r="R1489" s="23"/>
    </row>
    <row r="1490" spans="1:18" ht="12.75">
      <c r="A1490" s="22"/>
      <c r="D1490" s="19"/>
      <c r="H1490" s="18"/>
      <c r="J1490" s="18"/>
      <c r="N1490" s="16"/>
      <c r="O1490" s="17"/>
      <c r="Q1490" s="22"/>
      <c r="R1490" s="23"/>
    </row>
    <row r="1491" spans="1:18" ht="12.75">
      <c r="A1491" s="22"/>
      <c r="D1491" s="19"/>
      <c r="H1491" s="18"/>
      <c r="J1491" s="18"/>
      <c r="N1491" s="16"/>
      <c r="O1491" s="17"/>
      <c r="Q1491" s="22"/>
      <c r="R1491" s="23"/>
    </row>
    <row r="1492" spans="1:18" ht="12.75">
      <c r="A1492" s="22"/>
      <c r="D1492" s="19"/>
      <c r="H1492" s="18"/>
      <c r="J1492" s="18"/>
      <c r="N1492" s="16"/>
      <c r="O1492" s="17"/>
      <c r="Q1492" s="22"/>
      <c r="R1492" s="23"/>
    </row>
    <row r="1493" spans="1:18" ht="12.75">
      <c r="A1493" s="22"/>
      <c r="D1493" s="19"/>
      <c r="H1493" s="18"/>
      <c r="J1493" s="18"/>
      <c r="N1493" s="16"/>
      <c r="O1493" s="17"/>
      <c r="Q1493" s="22"/>
      <c r="R1493" s="23"/>
    </row>
    <row r="1494" spans="1:18" ht="12.75">
      <c r="A1494" s="22"/>
      <c r="D1494" s="19"/>
      <c r="H1494" s="18"/>
      <c r="J1494" s="18"/>
      <c r="N1494" s="16"/>
      <c r="O1494" s="17"/>
      <c r="Q1494" s="22"/>
      <c r="R1494" s="23"/>
    </row>
    <row r="1495" spans="1:18" ht="12.75">
      <c r="A1495" s="22"/>
      <c r="D1495" s="19"/>
      <c r="H1495" s="18"/>
      <c r="J1495" s="18"/>
      <c r="N1495" s="16"/>
      <c r="O1495" s="17"/>
      <c r="Q1495" s="22"/>
      <c r="R1495" s="23"/>
    </row>
    <row r="1496" spans="1:18" ht="12.75">
      <c r="A1496" s="22"/>
      <c r="D1496" s="19"/>
      <c r="H1496" s="18"/>
      <c r="J1496" s="18"/>
      <c r="N1496" s="16"/>
      <c r="O1496" s="17"/>
      <c r="Q1496" s="22"/>
      <c r="R1496" s="23"/>
    </row>
    <row r="1497" spans="1:18" ht="12.75">
      <c r="A1497" s="22"/>
      <c r="D1497" s="19"/>
      <c r="H1497" s="18"/>
      <c r="J1497" s="18"/>
      <c r="N1497" s="16"/>
      <c r="O1497" s="17"/>
      <c r="Q1497" s="22"/>
      <c r="R1497" s="23"/>
    </row>
    <row r="1498" spans="1:18" ht="12.75">
      <c r="A1498" s="22"/>
      <c r="D1498" s="19"/>
      <c r="H1498" s="18"/>
      <c r="J1498" s="18"/>
      <c r="N1498" s="16"/>
      <c r="O1498" s="17"/>
      <c r="Q1498" s="22"/>
      <c r="R1498" s="23"/>
    </row>
    <row r="1499" spans="1:18" ht="12.75">
      <c r="A1499" s="22"/>
      <c r="D1499" s="19"/>
      <c r="H1499" s="18"/>
      <c r="J1499" s="18"/>
      <c r="N1499" s="16"/>
      <c r="O1499" s="17"/>
      <c r="Q1499" s="22"/>
      <c r="R1499" s="23"/>
    </row>
    <row r="1500" spans="1:18" ht="12.75">
      <c r="A1500" s="22"/>
      <c r="D1500" s="19"/>
      <c r="H1500" s="18"/>
      <c r="J1500" s="18"/>
      <c r="N1500" s="16"/>
      <c r="O1500" s="17"/>
      <c r="Q1500" s="22"/>
      <c r="R1500" s="23"/>
    </row>
    <row r="1501" spans="1:18" ht="12.75">
      <c r="A1501" s="22"/>
      <c r="D1501" s="19"/>
      <c r="H1501" s="18"/>
      <c r="J1501" s="18"/>
      <c r="N1501" s="16"/>
      <c r="O1501" s="17"/>
      <c r="Q1501" s="22"/>
      <c r="R1501" s="23"/>
    </row>
    <row r="1502" spans="1:18" ht="12.75">
      <c r="A1502" s="22"/>
      <c r="D1502" s="19"/>
      <c r="H1502" s="18"/>
      <c r="J1502" s="18"/>
      <c r="N1502" s="16"/>
      <c r="O1502" s="17"/>
      <c r="Q1502" s="22"/>
      <c r="R1502" s="23"/>
    </row>
    <row r="1503" spans="1:18" ht="12.75">
      <c r="A1503" s="22"/>
      <c r="D1503" s="19"/>
      <c r="H1503" s="18"/>
      <c r="J1503" s="18"/>
      <c r="N1503" s="16"/>
      <c r="O1503" s="17"/>
      <c r="Q1503" s="22"/>
      <c r="R1503" s="23"/>
    </row>
    <row r="1504" spans="1:18" ht="12.75">
      <c r="A1504" s="22"/>
      <c r="D1504" s="19"/>
      <c r="H1504" s="18"/>
      <c r="J1504" s="18"/>
      <c r="N1504" s="16"/>
      <c r="O1504" s="17"/>
      <c r="Q1504" s="22"/>
      <c r="R1504" s="23"/>
    </row>
    <row r="1505" spans="1:18" ht="12.75">
      <c r="A1505" s="22"/>
      <c r="D1505" s="19"/>
      <c r="H1505" s="18"/>
      <c r="J1505" s="18"/>
      <c r="N1505" s="16"/>
      <c r="O1505" s="17"/>
      <c r="Q1505" s="22"/>
      <c r="R1505" s="23"/>
    </row>
    <row r="1506" spans="1:18" ht="12.75">
      <c r="A1506" s="22"/>
      <c r="D1506" s="19"/>
      <c r="H1506" s="18"/>
      <c r="J1506" s="18"/>
      <c r="N1506" s="16"/>
      <c r="O1506" s="17"/>
      <c r="Q1506" s="22"/>
      <c r="R1506" s="23"/>
    </row>
    <row r="1507" spans="1:18" ht="12.75">
      <c r="A1507" s="22"/>
      <c r="D1507" s="19"/>
      <c r="H1507" s="18"/>
      <c r="J1507" s="18"/>
      <c r="N1507" s="16"/>
      <c r="O1507" s="17"/>
      <c r="Q1507" s="22"/>
      <c r="R1507" s="23"/>
    </row>
    <row r="1508" spans="1:18" ht="12.75">
      <c r="A1508" s="22"/>
      <c r="D1508" s="19"/>
      <c r="H1508" s="18"/>
      <c r="J1508" s="18"/>
      <c r="N1508" s="16"/>
      <c r="O1508" s="17"/>
      <c r="Q1508" s="22"/>
      <c r="R1508" s="23"/>
    </row>
    <row r="1509" spans="1:18" ht="12.75">
      <c r="A1509" s="22"/>
      <c r="D1509" s="19"/>
      <c r="H1509" s="18"/>
      <c r="J1509" s="18"/>
      <c r="N1509" s="16"/>
      <c r="O1509" s="17"/>
      <c r="Q1509" s="22"/>
      <c r="R1509" s="23"/>
    </row>
    <row r="1510" spans="1:18" ht="12.75">
      <c r="A1510" s="22"/>
      <c r="D1510" s="19"/>
      <c r="H1510" s="18"/>
      <c r="J1510" s="18"/>
      <c r="N1510" s="16"/>
      <c r="O1510" s="17"/>
      <c r="Q1510" s="22"/>
      <c r="R1510" s="23"/>
    </row>
    <row r="1511" spans="1:18" ht="12.75">
      <c r="A1511" s="22"/>
      <c r="D1511" s="19"/>
      <c r="H1511" s="18"/>
      <c r="J1511" s="18"/>
      <c r="N1511" s="16"/>
      <c r="O1511" s="17"/>
      <c r="Q1511" s="22"/>
      <c r="R1511" s="23"/>
    </row>
    <row r="1512" spans="1:18" ht="12.75">
      <c r="A1512" s="22"/>
      <c r="D1512" s="19"/>
      <c r="H1512" s="18"/>
      <c r="J1512" s="18"/>
      <c r="N1512" s="16"/>
      <c r="O1512" s="17"/>
      <c r="Q1512" s="22"/>
      <c r="R1512" s="23"/>
    </row>
    <row r="1513" spans="1:18" ht="12.75">
      <c r="A1513" s="22"/>
      <c r="D1513" s="19"/>
      <c r="H1513" s="18"/>
      <c r="J1513" s="18"/>
      <c r="N1513" s="16"/>
      <c r="O1513" s="17"/>
      <c r="Q1513" s="22"/>
      <c r="R1513" s="23"/>
    </row>
    <row r="1514" spans="1:18" ht="12.75">
      <c r="A1514" s="22"/>
      <c r="D1514" s="19"/>
      <c r="H1514" s="18"/>
      <c r="J1514" s="18"/>
      <c r="N1514" s="16"/>
      <c r="O1514" s="17"/>
      <c r="Q1514" s="22"/>
      <c r="R1514" s="23"/>
    </row>
    <row r="1515" spans="1:18" ht="12.75">
      <c r="A1515" s="22"/>
      <c r="D1515" s="19"/>
      <c r="H1515" s="18"/>
      <c r="J1515" s="18"/>
      <c r="N1515" s="16"/>
      <c r="O1515" s="17"/>
      <c r="Q1515" s="22"/>
      <c r="R1515" s="23"/>
    </row>
    <row r="1516" spans="1:18" ht="12.75">
      <c r="A1516" s="22"/>
      <c r="D1516" s="19"/>
      <c r="H1516" s="18"/>
      <c r="J1516" s="18"/>
      <c r="N1516" s="16"/>
      <c r="O1516" s="17"/>
      <c r="Q1516" s="22"/>
      <c r="R1516" s="23"/>
    </row>
    <row r="1517" spans="1:18" ht="12.75">
      <c r="A1517" s="22"/>
      <c r="D1517" s="19"/>
      <c r="H1517" s="18"/>
      <c r="J1517" s="18"/>
      <c r="N1517" s="16"/>
      <c r="O1517" s="17"/>
      <c r="Q1517" s="22"/>
      <c r="R1517" s="23"/>
    </row>
    <row r="1518" spans="1:18" ht="12.75">
      <c r="A1518" s="22"/>
      <c r="D1518" s="19"/>
      <c r="H1518" s="18"/>
      <c r="J1518" s="18"/>
      <c r="N1518" s="16"/>
      <c r="O1518" s="17"/>
      <c r="Q1518" s="22"/>
      <c r="R1518" s="23"/>
    </row>
    <row r="1519" spans="1:18" ht="12.75">
      <c r="A1519" s="22"/>
      <c r="D1519" s="19"/>
      <c r="H1519" s="18"/>
      <c r="J1519" s="18"/>
      <c r="N1519" s="16"/>
      <c r="O1519" s="17"/>
      <c r="Q1519" s="22"/>
      <c r="R1519" s="23"/>
    </row>
    <row r="1520" spans="1:18" ht="12.75">
      <c r="A1520" s="22"/>
      <c r="D1520" s="19"/>
      <c r="H1520" s="18"/>
      <c r="J1520" s="18"/>
      <c r="N1520" s="16"/>
      <c r="O1520" s="17"/>
      <c r="Q1520" s="22"/>
      <c r="R1520" s="23"/>
    </row>
    <row r="1521" spans="1:18" ht="12.75">
      <c r="A1521" s="22"/>
      <c r="D1521" s="19"/>
      <c r="H1521" s="18"/>
      <c r="J1521" s="18"/>
      <c r="N1521" s="16"/>
      <c r="O1521" s="17"/>
      <c r="Q1521" s="22"/>
      <c r="R1521" s="23"/>
    </row>
    <row r="1522" spans="1:18" ht="12.75">
      <c r="A1522" s="22"/>
      <c r="D1522" s="19"/>
      <c r="H1522" s="18"/>
      <c r="J1522" s="18"/>
      <c r="N1522" s="16"/>
      <c r="O1522" s="17"/>
      <c r="Q1522" s="22"/>
      <c r="R1522" s="23"/>
    </row>
    <row r="1523" spans="1:18" ht="12.75">
      <c r="A1523" s="22"/>
      <c r="D1523" s="19"/>
      <c r="H1523" s="18"/>
      <c r="J1523" s="18"/>
      <c r="N1523" s="16"/>
      <c r="O1523" s="17"/>
      <c r="Q1523" s="22"/>
      <c r="R1523" s="23"/>
    </row>
    <row r="1524" spans="1:18" ht="12.75">
      <c r="A1524" s="22"/>
      <c r="D1524" s="19"/>
      <c r="H1524" s="18"/>
      <c r="J1524" s="18"/>
      <c r="N1524" s="16"/>
      <c r="O1524" s="17"/>
      <c r="Q1524" s="22"/>
      <c r="R1524" s="23"/>
    </row>
    <row r="1525" spans="1:18" ht="12.75">
      <c r="A1525" s="22"/>
      <c r="D1525" s="19"/>
      <c r="H1525" s="18"/>
      <c r="J1525" s="18"/>
      <c r="N1525" s="16"/>
      <c r="O1525" s="17"/>
      <c r="Q1525" s="22"/>
      <c r="R1525" s="23"/>
    </row>
    <row r="1526" spans="1:18" ht="12.75">
      <c r="A1526" s="22"/>
      <c r="D1526" s="19"/>
      <c r="H1526" s="18"/>
      <c r="J1526" s="18"/>
      <c r="N1526" s="16"/>
      <c r="O1526" s="17"/>
      <c r="Q1526" s="22"/>
      <c r="R1526" s="23"/>
    </row>
    <row r="1527" spans="1:18" ht="12.75">
      <c r="A1527" s="22"/>
      <c r="D1527" s="19"/>
      <c r="H1527" s="18"/>
      <c r="J1527" s="18"/>
      <c r="N1527" s="16"/>
      <c r="O1527" s="17"/>
      <c r="Q1527" s="22"/>
      <c r="R1527" s="23"/>
    </row>
    <row r="1528" spans="1:18" ht="12.75">
      <c r="A1528" s="22"/>
      <c r="D1528" s="19"/>
      <c r="H1528" s="18"/>
      <c r="J1528" s="18"/>
      <c r="N1528" s="16"/>
      <c r="O1528" s="17"/>
      <c r="Q1528" s="22"/>
      <c r="R1528" s="23"/>
    </row>
    <row r="1529" spans="1:18" ht="12.75">
      <c r="A1529" s="22"/>
      <c r="D1529" s="19"/>
      <c r="H1529" s="18"/>
      <c r="J1529" s="18"/>
      <c r="N1529" s="16"/>
      <c r="O1529" s="17"/>
      <c r="Q1529" s="22"/>
      <c r="R1529" s="23"/>
    </row>
    <row r="1530" spans="1:18" ht="12.75">
      <c r="A1530" s="22"/>
      <c r="D1530" s="19"/>
      <c r="H1530" s="18"/>
      <c r="J1530" s="18"/>
      <c r="N1530" s="16"/>
      <c r="O1530" s="17"/>
      <c r="Q1530" s="22"/>
      <c r="R1530" s="23"/>
    </row>
    <row r="1531" spans="1:18" ht="12.75">
      <c r="A1531" s="22"/>
      <c r="D1531" s="19"/>
      <c r="H1531" s="18"/>
      <c r="J1531" s="18"/>
      <c r="N1531" s="16"/>
      <c r="O1531" s="17"/>
      <c r="Q1531" s="22"/>
      <c r="R1531" s="23"/>
    </row>
    <row r="1532" spans="1:18" ht="12.75">
      <c r="A1532" s="22"/>
      <c r="D1532" s="19"/>
      <c r="H1532" s="18"/>
      <c r="J1532" s="18"/>
      <c r="N1532" s="16"/>
      <c r="O1532" s="17"/>
      <c r="Q1532" s="22"/>
      <c r="R1532" s="23"/>
    </row>
    <row r="1533" spans="1:18" ht="12.75">
      <c r="A1533" s="22"/>
      <c r="D1533" s="19"/>
      <c r="H1533" s="18"/>
      <c r="J1533" s="18"/>
      <c r="N1533" s="16"/>
      <c r="O1533" s="17"/>
      <c r="Q1533" s="22"/>
      <c r="R1533" s="23"/>
    </row>
    <row r="1534" spans="1:18" ht="12.75">
      <c r="A1534" s="22"/>
      <c r="D1534" s="19"/>
      <c r="H1534" s="18"/>
      <c r="J1534" s="18"/>
      <c r="N1534" s="16"/>
      <c r="O1534" s="17"/>
      <c r="Q1534" s="22"/>
      <c r="R1534" s="23"/>
    </row>
    <row r="1535" spans="1:18" ht="12.75">
      <c r="A1535" s="22"/>
      <c r="D1535" s="19"/>
      <c r="H1535" s="18"/>
      <c r="J1535" s="18"/>
      <c r="N1535" s="16"/>
      <c r="O1535" s="17"/>
      <c r="Q1535" s="22"/>
      <c r="R1535" s="23"/>
    </row>
    <row r="1536" spans="1:18" ht="12.75">
      <c r="A1536" s="22"/>
      <c r="D1536" s="19"/>
      <c r="H1536" s="18"/>
      <c r="J1536" s="18"/>
      <c r="N1536" s="16"/>
      <c r="O1536" s="17"/>
      <c r="Q1536" s="22"/>
      <c r="R1536" s="23"/>
    </row>
    <row r="1537" spans="1:18" ht="12.75">
      <c r="A1537" s="22"/>
      <c r="D1537" s="19"/>
      <c r="H1537" s="18"/>
      <c r="J1537" s="18"/>
      <c r="N1537" s="16"/>
      <c r="O1537" s="17"/>
      <c r="Q1537" s="22"/>
      <c r="R1537" s="23"/>
    </row>
    <row r="1538" spans="1:18" ht="12.75">
      <c r="A1538" s="22"/>
      <c r="D1538" s="19"/>
      <c r="H1538" s="18"/>
      <c r="J1538" s="18"/>
      <c r="N1538" s="16"/>
      <c r="O1538" s="17"/>
      <c r="Q1538" s="22"/>
      <c r="R1538" s="23"/>
    </row>
    <row r="1539" spans="1:18" ht="12.75">
      <c r="A1539" s="22"/>
      <c r="D1539" s="19"/>
      <c r="H1539" s="18"/>
      <c r="J1539" s="18"/>
      <c r="N1539" s="16"/>
      <c r="O1539" s="17"/>
      <c r="Q1539" s="22"/>
      <c r="R1539" s="23"/>
    </row>
    <row r="1540" spans="1:18" ht="12.75">
      <c r="A1540" s="22"/>
      <c r="D1540" s="19"/>
      <c r="H1540" s="18"/>
      <c r="J1540" s="18"/>
      <c r="N1540" s="16"/>
      <c r="O1540" s="17"/>
      <c r="Q1540" s="22"/>
      <c r="R1540" s="23"/>
    </row>
    <row r="1541" spans="1:18" ht="12.75">
      <c r="A1541" s="22"/>
      <c r="D1541" s="19"/>
      <c r="H1541" s="18"/>
      <c r="J1541" s="18"/>
      <c r="N1541" s="16"/>
      <c r="O1541" s="17"/>
      <c r="Q1541" s="22"/>
      <c r="R1541" s="23"/>
    </row>
    <row r="1542" spans="1:18" ht="12.75">
      <c r="A1542" s="22"/>
      <c r="D1542" s="19"/>
      <c r="H1542" s="18"/>
      <c r="J1542" s="18"/>
      <c r="N1542" s="16"/>
      <c r="O1542" s="17"/>
      <c r="Q1542" s="22"/>
      <c r="R1542" s="23"/>
    </row>
    <row r="1543" spans="1:18" ht="12.75">
      <c r="A1543" s="22"/>
      <c r="D1543" s="19"/>
      <c r="H1543" s="18"/>
      <c r="J1543" s="18"/>
      <c r="N1543" s="16"/>
      <c r="O1543" s="17"/>
      <c r="Q1543" s="22"/>
      <c r="R1543" s="23"/>
    </row>
    <row r="1544" spans="1:18" ht="12.75">
      <c r="A1544" s="22"/>
      <c r="D1544" s="19"/>
      <c r="H1544" s="18"/>
      <c r="J1544" s="18"/>
      <c r="N1544" s="16"/>
      <c r="O1544" s="17"/>
      <c r="Q1544" s="22"/>
      <c r="R1544" s="23"/>
    </row>
    <row r="1545" spans="1:18" ht="12.75">
      <c r="A1545" s="22"/>
      <c r="D1545" s="19"/>
      <c r="H1545" s="18"/>
      <c r="J1545" s="18"/>
      <c r="N1545" s="16"/>
      <c r="O1545" s="17"/>
      <c r="Q1545" s="22"/>
      <c r="R1545" s="23"/>
    </row>
    <row r="1546" spans="1:18" ht="12.75">
      <c r="A1546" s="22"/>
      <c r="D1546" s="19"/>
      <c r="H1546" s="18"/>
      <c r="J1546" s="18"/>
      <c r="N1546" s="16"/>
      <c r="O1546" s="17"/>
      <c r="Q1546" s="22"/>
      <c r="R1546" s="23"/>
    </row>
    <row r="1547" spans="1:18" ht="12.75">
      <c r="A1547" s="22"/>
      <c r="D1547" s="19"/>
      <c r="H1547" s="18"/>
      <c r="J1547" s="18"/>
      <c r="N1547" s="16"/>
      <c r="O1547" s="17"/>
      <c r="Q1547" s="22"/>
      <c r="R1547" s="23"/>
    </row>
    <row r="1548" spans="1:18" ht="12.75">
      <c r="A1548" s="22"/>
      <c r="D1548" s="19"/>
      <c r="H1548" s="18"/>
      <c r="J1548" s="18"/>
      <c r="N1548" s="16"/>
      <c r="O1548" s="17"/>
      <c r="Q1548" s="22"/>
      <c r="R1548" s="23"/>
    </row>
    <row r="1549" spans="1:18" ht="12.75">
      <c r="A1549" s="22"/>
      <c r="D1549" s="19"/>
      <c r="H1549" s="18"/>
      <c r="J1549" s="18"/>
      <c r="N1549" s="16"/>
      <c r="O1549" s="17"/>
      <c r="Q1549" s="22"/>
      <c r="R1549" s="23"/>
    </row>
    <row r="1550" spans="1:18" ht="12.75">
      <c r="A1550" s="22"/>
      <c r="D1550" s="19"/>
      <c r="H1550" s="18"/>
      <c r="J1550" s="18"/>
      <c r="N1550" s="16"/>
      <c r="O1550" s="17"/>
      <c r="Q1550" s="22"/>
      <c r="R1550" s="23"/>
    </row>
    <row r="1551" spans="1:18" ht="12.75">
      <c r="A1551" s="22"/>
      <c r="D1551" s="19"/>
      <c r="H1551" s="18"/>
      <c r="J1551" s="18"/>
      <c r="N1551" s="16"/>
      <c r="O1551" s="17"/>
      <c r="Q1551" s="22"/>
      <c r="R1551" s="23"/>
    </row>
    <row r="1552" spans="1:18" ht="12.75">
      <c r="A1552" s="22"/>
      <c r="D1552" s="19"/>
      <c r="H1552" s="18"/>
      <c r="J1552" s="18"/>
      <c r="N1552" s="16"/>
      <c r="O1552" s="17"/>
      <c r="Q1552" s="22"/>
      <c r="R1552" s="23"/>
    </row>
    <row r="1553" spans="1:18" ht="12.75">
      <c r="A1553" s="22"/>
      <c r="D1553" s="19"/>
      <c r="H1553" s="18"/>
      <c r="J1553" s="18"/>
      <c r="N1553" s="16"/>
      <c r="O1553" s="17"/>
      <c r="Q1553" s="22"/>
      <c r="R1553" s="23"/>
    </row>
    <row r="1554" spans="1:18" ht="12.75">
      <c r="A1554" s="22"/>
      <c r="D1554" s="19"/>
      <c r="H1554" s="18"/>
      <c r="J1554" s="18"/>
      <c r="N1554" s="16"/>
      <c r="O1554" s="17"/>
      <c r="Q1554" s="22"/>
      <c r="R1554" s="23"/>
    </row>
    <row r="1555" spans="1:18" ht="12.75">
      <c r="A1555" s="22"/>
      <c r="D1555" s="19"/>
      <c r="H1555" s="18"/>
      <c r="J1555" s="18"/>
      <c r="N1555" s="16"/>
      <c r="O1555" s="17"/>
      <c r="Q1555" s="22"/>
      <c r="R1555" s="23"/>
    </row>
    <row r="1556" spans="1:18" ht="12.75">
      <c r="A1556" s="22"/>
      <c r="D1556" s="19"/>
      <c r="H1556" s="18"/>
      <c r="J1556" s="18"/>
      <c r="N1556" s="16"/>
      <c r="O1556" s="17"/>
      <c r="Q1556" s="22"/>
      <c r="R1556" s="23"/>
    </row>
    <row r="1557" spans="1:18" ht="12.75">
      <c r="A1557" s="22"/>
      <c r="D1557" s="19"/>
      <c r="H1557" s="18"/>
      <c r="J1557" s="18"/>
      <c r="N1557" s="16"/>
      <c r="O1557" s="17"/>
      <c r="Q1557" s="22"/>
      <c r="R1557" s="23"/>
    </row>
    <row r="1558" spans="1:18" ht="12.75">
      <c r="A1558" s="22"/>
      <c r="D1558" s="19"/>
      <c r="H1558" s="18"/>
      <c r="J1558" s="18"/>
      <c r="N1558" s="16"/>
      <c r="O1558" s="17"/>
      <c r="Q1558" s="22"/>
      <c r="R1558" s="23"/>
    </row>
    <row r="1559" spans="1:18" ht="12.75">
      <c r="A1559" s="22"/>
      <c r="D1559" s="19"/>
      <c r="H1559" s="18"/>
      <c r="J1559" s="18"/>
      <c r="N1559" s="16"/>
      <c r="O1559" s="17"/>
      <c r="Q1559" s="22"/>
      <c r="R1559" s="23"/>
    </row>
    <row r="1560" spans="1:18" ht="12.75">
      <c r="A1560" s="22"/>
      <c r="D1560" s="19"/>
      <c r="H1560" s="18"/>
      <c r="J1560" s="18"/>
      <c r="N1560" s="16"/>
      <c r="O1560" s="17"/>
      <c r="Q1560" s="22"/>
      <c r="R1560" s="23"/>
    </row>
    <row r="1561" spans="1:18" ht="12.75">
      <c r="A1561" s="22"/>
      <c r="D1561" s="19"/>
      <c r="H1561" s="18"/>
      <c r="J1561" s="18"/>
      <c r="N1561" s="16"/>
      <c r="O1561" s="17"/>
      <c r="Q1561" s="22"/>
      <c r="R1561" s="23"/>
    </row>
    <row r="1562" spans="1:18" ht="12.75">
      <c r="A1562" s="22"/>
      <c r="D1562" s="19"/>
      <c r="H1562" s="18"/>
      <c r="J1562" s="18"/>
      <c r="N1562" s="16"/>
      <c r="O1562" s="17"/>
      <c r="Q1562" s="22"/>
      <c r="R1562" s="23"/>
    </row>
    <row r="1563" spans="1:18" ht="12.75">
      <c r="A1563" s="22"/>
      <c r="D1563" s="19"/>
      <c r="H1563" s="18"/>
      <c r="J1563" s="18"/>
      <c r="N1563" s="16"/>
      <c r="O1563" s="17"/>
      <c r="Q1563" s="22"/>
      <c r="R1563" s="23"/>
    </row>
    <row r="1564" spans="1:18" ht="12.75">
      <c r="A1564" s="22"/>
      <c r="D1564" s="19"/>
      <c r="H1564" s="18"/>
      <c r="J1564" s="18"/>
      <c r="N1564" s="16"/>
      <c r="O1564" s="17"/>
      <c r="Q1564" s="22"/>
      <c r="R1564" s="23"/>
    </row>
    <row r="1565" spans="1:18" ht="12.75">
      <c r="A1565" s="22"/>
      <c r="D1565" s="19"/>
      <c r="H1565" s="18"/>
      <c r="J1565" s="18"/>
      <c r="N1565" s="16"/>
      <c r="O1565" s="17"/>
      <c r="Q1565" s="22"/>
      <c r="R1565" s="23"/>
    </row>
    <row r="1566" spans="1:18" ht="12.75">
      <c r="A1566" s="22"/>
      <c r="D1566" s="19"/>
      <c r="H1566" s="18"/>
      <c r="J1566" s="18"/>
      <c r="N1566" s="16"/>
      <c r="O1566" s="17"/>
      <c r="Q1566" s="22"/>
      <c r="R1566" s="23"/>
    </row>
    <row r="1567" spans="1:18" ht="12.75">
      <c r="A1567" s="22"/>
      <c r="D1567" s="19"/>
      <c r="H1567" s="18"/>
      <c r="J1567" s="18"/>
      <c r="N1567" s="16"/>
      <c r="O1567" s="17"/>
      <c r="Q1567" s="22"/>
      <c r="R1567" s="23"/>
    </row>
    <row r="1568" spans="1:18" ht="12.75">
      <c r="A1568" s="22"/>
      <c r="D1568" s="19"/>
      <c r="H1568" s="18"/>
      <c r="J1568" s="18"/>
      <c r="N1568" s="16"/>
      <c r="O1568" s="17"/>
      <c r="Q1568" s="22"/>
      <c r="R1568" s="23"/>
    </row>
    <row r="1569" spans="1:18" ht="12.75">
      <c r="A1569" s="22"/>
      <c r="D1569" s="19"/>
      <c r="H1569" s="18"/>
      <c r="J1569" s="18"/>
      <c r="N1569" s="16"/>
      <c r="O1569" s="17"/>
      <c r="Q1569" s="22"/>
      <c r="R1569" s="23"/>
    </row>
    <row r="1570" spans="1:18" ht="12.75">
      <c r="A1570" s="22"/>
      <c r="D1570" s="19"/>
      <c r="H1570" s="18"/>
      <c r="J1570" s="18"/>
      <c r="N1570" s="16"/>
      <c r="O1570" s="17"/>
      <c r="Q1570" s="22"/>
      <c r="R1570" s="23"/>
    </row>
    <row r="1571" spans="1:18" ht="12.75">
      <c r="A1571" s="22"/>
      <c r="D1571" s="19"/>
      <c r="H1571" s="18"/>
      <c r="J1571" s="18"/>
      <c r="N1571" s="16"/>
      <c r="O1571" s="17"/>
      <c r="Q1571" s="22"/>
      <c r="R1571" s="23"/>
    </row>
    <row r="1572" spans="1:18" ht="12.75">
      <c r="A1572" s="22"/>
      <c r="D1572" s="19"/>
      <c r="H1572" s="18"/>
      <c r="J1572" s="18"/>
      <c r="N1572" s="16"/>
      <c r="O1572" s="17"/>
      <c r="Q1572" s="22"/>
      <c r="R1572" s="23"/>
    </row>
    <row r="1573" spans="1:18" ht="12.75">
      <c r="A1573" s="22"/>
      <c r="D1573" s="19"/>
      <c r="H1573" s="18"/>
      <c r="J1573" s="18"/>
      <c r="N1573" s="16"/>
      <c r="O1573" s="17"/>
      <c r="Q1573" s="22"/>
      <c r="R1573" s="23"/>
    </row>
    <row r="1574" spans="1:18" ht="12.75">
      <c r="A1574" s="22"/>
      <c r="D1574" s="19"/>
      <c r="H1574" s="18"/>
      <c r="J1574" s="18"/>
      <c r="N1574" s="16"/>
      <c r="O1574" s="17"/>
      <c r="Q1574" s="22"/>
      <c r="R1574" s="23"/>
    </row>
    <row r="1575" spans="1:18" ht="12.75">
      <c r="A1575" s="22"/>
      <c r="D1575" s="19"/>
      <c r="H1575" s="18"/>
      <c r="J1575" s="18"/>
      <c r="N1575" s="16"/>
      <c r="O1575" s="17"/>
      <c r="Q1575" s="22"/>
      <c r="R1575" s="23"/>
    </row>
    <row r="1576" spans="1:18" ht="12.75">
      <c r="A1576" s="22"/>
      <c r="D1576" s="19"/>
      <c r="H1576" s="18"/>
      <c r="J1576" s="18"/>
      <c r="N1576" s="16"/>
      <c r="O1576" s="17"/>
      <c r="Q1576" s="22"/>
      <c r="R1576" s="23"/>
    </row>
    <row r="1577" spans="1:18" ht="12.75">
      <c r="A1577" s="22"/>
      <c r="D1577" s="19"/>
      <c r="H1577" s="18"/>
      <c r="J1577" s="18"/>
      <c r="N1577" s="16"/>
      <c r="O1577" s="17"/>
      <c r="Q1577" s="22"/>
      <c r="R1577" s="23"/>
    </row>
    <row r="1578" spans="1:18" ht="12.75">
      <c r="A1578" s="22"/>
      <c r="D1578" s="19"/>
      <c r="H1578" s="18"/>
      <c r="J1578" s="18"/>
      <c r="N1578" s="16"/>
      <c r="O1578" s="17"/>
      <c r="Q1578" s="22"/>
      <c r="R1578" s="23"/>
    </row>
    <row r="1579" spans="1:18" ht="12.75">
      <c r="A1579" s="22"/>
      <c r="D1579" s="19"/>
      <c r="H1579" s="18"/>
      <c r="J1579" s="18"/>
      <c r="N1579" s="16"/>
      <c r="O1579" s="17"/>
      <c r="Q1579" s="22"/>
      <c r="R1579" s="23"/>
    </row>
    <row r="1580" spans="1:18" ht="12.75">
      <c r="A1580" s="22"/>
      <c r="D1580" s="19"/>
      <c r="H1580" s="18"/>
      <c r="J1580" s="18"/>
      <c r="N1580" s="16"/>
      <c r="O1580" s="17"/>
      <c r="Q1580" s="22"/>
      <c r="R1580" s="23"/>
    </row>
    <row r="1581" spans="1:18" ht="12.75">
      <c r="A1581" s="22"/>
      <c r="D1581" s="19"/>
      <c r="H1581" s="18"/>
      <c r="J1581" s="18"/>
      <c r="N1581" s="16"/>
      <c r="O1581" s="17"/>
      <c r="Q1581" s="22"/>
      <c r="R1581" s="23"/>
    </row>
    <row r="1582" spans="1:18" ht="12.75">
      <c r="A1582" s="22"/>
      <c r="D1582" s="19"/>
      <c r="H1582" s="18"/>
      <c r="J1582" s="18"/>
      <c r="N1582" s="16"/>
      <c r="O1582" s="17"/>
      <c r="Q1582" s="22"/>
      <c r="R1582" s="23"/>
    </row>
    <row r="1583" spans="1:18" ht="12.75">
      <c r="A1583" s="22"/>
      <c r="D1583" s="19"/>
      <c r="H1583" s="18"/>
      <c r="J1583" s="18"/>
      <c r="N1583" s="16"/>
      <c r="O1583" s="17"/>
      <c r="Q1583" s="22"/>
      <c r="R1583" s="23"/>
    </row>
    <row r="1584" spans="1:18" ht="12.75">
      <c r="A1584" s="22"/>
      <c r="D1584" s="19"/>
      <c r="H1584" s="18"/>
      <c r="J1584" s="18"/>
      <c r="N1584" s="16"/>
      <c r="O1584" s="17"/>
      <c r="Q1584" s="22"/>
      <c r="R1584" s="23"/>
    </row>
    <row r="1585" spans="1:18" ht="12.75">
      <c r="A1585" s="22"/>
      <c r="D1585" s="19"/>
      <c r="H1585" s="18"/>
      <c r="J1585" s="18"/>
      <c r="N1585" s="16"/>
      <c r="O1585" s="17"/>
      <c r="Q1585" s="22"/>
      <c r="R1585" s="23"/>
    </row>
    <row r="1586" spans="1:18" ht="12.75">
      <c r="A1586" s="22"/>
      <c r="D1586" s="19"/>
      <c r="H1586" s="18"/>
      <c r="J1586" s="18"/>
      <c r="N1586" s="16"/>
      <c r="O1586" s="17"/>
      <c r="Q1586" s="22"/>
      <c r="R1586" s="23"/>
    </row>
    <row r="1587" spans="1:18" ht="12.75">
      <c r="A1587" s="22"/>
      <c r="D1587" s="19"/>
      <c r="H1587" s="18"/>
      <c r="J1587" s="18"/>
      <c r="N1587" s="16"/>
      <c r="O1587" s="17"/>
      <c r="Q1587" s="22"/>
      <c r="R1587" s="23"/>
    </row>
    <row r="1588" spans="1:18" ht="12.75">
      <c r="A1588" s="22"/>
      <c r="D1588" s="19"/>
      <c r="H1588" s="18"/>
      <c r="J1588" s="18"/>
      <c r="N1588" s="16"/>
      <c r="O1588" s="17"/>
      <c r="Q1588" s="22"/>
      <c r="R1588" s="23"/>
    </row>
    <row r="1589" spans="1:18" ht="12.75">
      <c r="A1589" s="22"/>
      <c r="D1589" s="19"/>
      <c r="H1589" s="18"/>
      <c r="J1589" s="18"/>
      <c r="N1589" s="16"/>
      <c r="O1589" s="17"/>
      <c r="Q1589" s="22"/>
      <c r="R1589" s="23"/>
    </row>
    <row r="1590" spans="1:18" ht="12.75">
      <c r="A1590" s="22"/>
      <c r="D1590" s="19"/>
      <c r="H1590" s="18"/>
      <c r="J1590" s="18"/>
      <c r="N1590" s="16"/>
      <c r="O1590" s="17"/>
      <c r="Q1590" s="22"/>
      <c r="R1590" s="23"/>
    </row>
    <row r="1591" spans="1:18" ht="12.75">
      <c r="A1591" s="22"/>
      <c r="D1591" s="19"/>
      <c r="H1591" s="18"/>
      <c r="J1591" s="18"/>
      <c r="N1591" s="16"/>
      <c r="O1591" s="17"/>
      <c r="Q1591" s="22"/>
      <c r="R1591" s="23"/>
    </row>
    <row r="1592" spans="1:18" ht="12.75">
      <c r="A1592" s="22"/>
      <c r="D1592" s="19"/>
      <c r="H1592" s="18"/>
      <c r="J1592" s="18"/>
      <c r="N1592" s="16"/>
      <c r="O1592" s="17"/>
      <c r="Q1592" s="22"/>
      <c r="R1592" s="23"/>
    </row>
    <row r="1593" spans="1:18" ht="12.75">
      <c r="A1593" s="22"/>
      <c r="D1593" s="19"/>
      <c r="H1593" s="18"/>
      <c r="J1593" s="18"/>
      <c r="N1593" s="16"/>
      <c r="O1593" s="17"/>
      <c r="Q1593" s="22"/>
      <c r="R1593" s="23"/>
    </row>
    <row r="1594" spans="1:18" ht="12.75">
      <c r="A1594" s="22"/>
      <c r="D1594" s="19"/>
      <c r="H1594" s="18"/>
      <c r="J1594" s="18"/>
      <c r="N1594" s="16"/>
      <c r="O1594" s="17"/>
      <c r="Q1594" s="22"/>
      <c r="R1594" s="23"/>
    </row>
    <row r="1595" spans="1:18" ht="12.75">
      <c r="A1595" s="22"/>
      <c r="D1595" s="19"/>
      <c r="H1595" s="18"/>
      <c r="J1595" s="18"/>
      <c r="N1595" s="16"/>
      <c r="O1595" s="17"/>
      <c r="Q1595" s="22"/>
      <c r="R1595" s="23"/>
    </row>
    <row r="1596" spans="1:18" ht="12.75">
      <c r="A1596" s="22"/>
      <c r="D1596" s="19"/>
      <c r="H1596" s="18"/>
      <c r="J1596" s="18"/>
      <c r="N1596" s="16"/>
      <c r="O1596" s="17"/>
      <c r="Q1596" s="22"/>
      <c r="R1596" s="23"/>
    </row>
    <row r="1597" spans="1:18" ht="12.75">
      <c r="A1597" s="22"/>
      <c r="D1597" s="19"/>
      <c r="H1597" s="18"/>
      <c r="J1597" s="18"/>
      <c r="N1597" s="16"/>
      <c r="O1597" s="17"/>
      <c r="Q1597" s="22"/>
      <c r="R1597" s="23"/>
    </row>
    <row r="1598" spans="1:18" ht="12.75">
      <c r="A1598" s="22"/>
      <c r="D1598" s="19"/>
      <c r="H1598" s="18"/>
      <c r="J1598" s="18"/>
      <c r="N1598" s="16"/>
      <c r="O1598" s="17"/>
      <c r="Q1598" s="22"/>
      <c r="R1598" s="23"/>
    </row>
    <row r="1599" spans="1:18" ht="12.75">
      <c r="A1599" s="22"/>
      <c r="D1599" s="19"/>
      <c r="H1599" s="18"/>
      <c r="J1599" s="18"/>
      <c r="N1599" s="16"/>
      <c r="O1599" s="17"/>
      <c r="Q1599" s="22"/>
      <c r="R1599" s="23"/>
    </row>
    <row r="1600" spans="1:18" ht="12.75">
      <c r="A1600" s="22"/>
      <c r="D1600" s="19"/>
      <c r="H1600" s="18"/>
      <c r="J1600" s="18"/>
      <c r="N1600" s="16"/>
      <c r="O1600" s="17"/>
      <c r="Q1600" s="22"/>
      <c r="R1600" s="23"/>
    </row>
    <row r="1601" spans="1:18" ht="12.75">
      <c r="A1601" s="22"/>
      <c r="D1601" s="19"/>
      <c r="H1601" s="18"/>
      <c r="J1601" s="18"/>
      <c r="N1601" s="16"/>
      <c r="O1601" s="17"/>
      <c r="Q1601" s="22"/>
      <c r="R1601" s="23"/>
    </row>
    <row r="1602" spans="1:18" ht="12.75">
      <c r="A1602" s="22"/>
      <c r="D1602" s="19"/>
      <c r="H1602" s="18"/>
      <c r="J1602" s="18"/>
      <c r="N1602" s="16"/>
      <c r="O1602" s="17"/>
      <c r="Q1602" s="22"/>
      <c r="R1602" s="23"/>
    </row>
    <row r="1603" spans="1:18" ht="12.75">
      <c r="A1603" s="22"/>
      <c r="D1603" s="19"/>
      <c r="H1603" s="18"/>
      <c r="J1603" s="18"/>
      <c r="N1603" s="16"/>
      <c r="O1603" s="17"/>
      <c r="Q1603" s="22"/>
      <c r="R1603" s="23"/>
    </row>
    <row r="1604" spans="1:18" ht="12.75">
      <c r="A1604" s="22"/>
      <c r="D1604" s="19"/>
      <c r="H1604" s="18"/>
      <c r="J1604" s="18"/>
      <c r="N1604" s="16"/>
      <c r="O1604" s="17"/>
      <c r="Q1604" s="22"/>
      <c r="R1604" s="23"/>
    </row>
    <row r="1605" spans="1:18" ht="12.75">
      <c r="A1605" s="22"/>
      <c r="D1605" s="19"/>
      <c r="H1605" s="18"/>
      <c r="J1605" s="18"/>
      <c r="N1605" s="16"/>
      <c r="O1605" s="17"/>
      <c r="Q1605" s="22"/>
      <c r="R1605" s="23"/>
    </row>
    <row r="1606" spans="1:18" ht="12.75">
      <c r="A1606" s="22"/>
      <c r="D1606" s="19"/>
      <c r="H1606" s="18"/>
      <c r="J1606" s="18"/>
      <c r="N1606" s="16"/>
      <c r="O1606" s="17"/>
      <c r="Q1606" s="22"/>
      <c r="R1606" s="23"/>
    </row>
    <row r="1607" spans="1:18" ht="12.75">
      <c r="A1607" s="22"/>
      <c r="D1607" s="19"/>
      <c r="H1607" s="18"/>
      <c r="J1607" s="18"/>
      <c r="N1607" s="16"/>
      <c r="O1607" s="17"/>
      <c r="Q1607" s="22"/>
      <c r="R1607" s="23"/>
    </row>
    <row r="1608" spans="1:18" ht="12.75">
      <c r="A1608" s="22"/>
      <c r="D1608" s="19"/>
      <c r="H1608" s="18"/>
      <c r="J1608" s="18"/>
      <c r="N1608" s="16"/>
      <c r="O1608" s="17"/>
      <c r="Q1608" s="22"/>
      <c r="R1608" s="23"/>
    </row>
    <row r="1609" spans="1:18" ht="12.75">
      <c r="A1609" s="22"/>
      <c r="D1609" s="19"/>
      <c r="H1609" s="18"/>
      <c r="J1609" s="18"/>
      <c r="N1609" s="16"/>
      <c r="O1609" s="17"/>
      <c r="Q1609" s="22"/>
      <c r="R1609" s="23"/>
    </row>
    <row r="1610" spans="1:18" ht="12.75">
      <c r="A1610" s="22"/>
      <c r="D1610" s="19"/>
      <c r="H1610" s="18"/>
      <c r="J1610" s="18"/>
      <c r="N1610" s="16"/>
      <c r="O1610" s="17"/>
      <c r="Q1610" s="22"/>
      <c r="R1610" s="23"/>
    </row>
    <row r="1611" spans="1:18" ht="12.75">
      <c r="A1611" s="22"/>
      <c r="D1611" s="19"/>
      <c r="H1611" s="18"/>
      <c r="J1611" s="18"/>
      <c r="N1611" s="16"/>
      <c r="O1611" s="17"/>
      <c r="Q1611" s="22"/>
      <c r="R1611" s="23"/>
    </row>
    <row r="1612" spans="1:18" ht="12.75">
      <c r="A1612" s="22"/>
      <c r="D1612" s="19"/>
      <c r="H1612" s="18"/>
      <c r="J1612" s="18"/>
      <c r="N1612" s="16"/>
      <c r="O1612" s="17"/>
      <c r="Q1612" s="22"/>
      <c r="R1612" s="23"/>
    </row>
    <row r="1613" spans="1:18" ht="12.75">
      <c r="A1613" s="22"/>
      <c r="D1613" s="19"/>
      <c r="H1613" s="18"/>
      <c r="J1613" s="18"/>
      <c r="N1613" s="16"/>
      <c r="O1613" s="17"/>
      <c r="Q1613" s="22"/>
      <c r="R1613" s="23"/>
    </row>
    <row r="1614" spans="1:18" ht="12.75">
      <c r="A1614" s="22"/>
      <c r="D1614" s="19"/>
      <c r="H1614" s="18"/>
      <c r="J1614" s="18"/>
      <c r="N1614" s="16"/>
      <c r="O1614" s="17"/>
      <c r="Q1614" s="22"/>
      <c r="R1614" s="23"/>
    </row>
    <row r="1615" spans="1:18" ht="12.75">
      <c r="A1615" s="22"/>
      <c r="D1615" s="19"/>
      <c r="H1615" s="18"/>
      <c r="J1615" s="18"/>
      <c r="N1615" s="16"/>
      <c r="O1615" s="17"/>
      <c r="Q1615" s="22"/>
      <c r="R1615" s="23"/>
    </row>
    <row r="1616" spans="1:18" ht="12.75">
      <c r="A1616" s="22"/>
      <c r="D1616" s="19"/>
      <c r="H1616" s="18"/>
      <c r="J1616" s="18"/>
      <c r="N1616" s="16"/>
      <c r="O1616" s="17"/>
      <c r="Q1616" s="22"/>
      <c r="R1616" s="23"/>
    </row>
    <row r="1617" spans="1:18" ht="12.75">
      <c r="A1617" s="22"/>
      <c r="D1617" s="19"/>
      <c r="H1617" s="18"/>
      <c r="J1617" s="18"/>
      <c r="N1617" s="16"/>
      <c r="O1617" s="17"/>
      <c r="Q1617" s="22"/>
      <c r="R1617" s="23"/>
    </row>
    <row r="1618" spans="1:18" ht="12.75">
      <c r="A1618" s="22"/>
      <c r="D1618" s="19"/>
      <c r="H1618" s="18"/>
      <c r="J1618" s="18"/>
      <c r="N1618" s="16"/>
      <c r="O1618" s="17"/>
      <c r="Q1618" s="22"/>
      <c r="R1618" s="23"/>
    </row>
    <row r="1619" spans="1:18" ht="12.75">
      <c r="A1619" s="22"/>
      <c r="D1619" s="19"/>
      <c r="H1619" s="18"/>
      <c r="J1619" s="18"/>
      <c r="N1619" s="16"/>
      <c r="O1619" s="17"/>
      <c r="Q1619" s="22"/>
      <c r="R1619" s="23"/>
    </row>
    <row r="1620" spans="1:18" ht="12.75">
      <c r="A1620" s="22"/>
      <c r="D1620" s="19"/>
      <c r="H1620" s="18"/>
      <c r="J1620" s="18"/>
      <c r="N1620" s="16"/>
      <c r="O1620" s="17"/>
      <c r="Q1620" s="22"/>
      <c r="R1620" s="23"/>
    </row>
    <row r="1621" spans="1:18" ht="12.75">
      <c r="A1621" s="22"/>
      <c r="D1621" s="19"/>
      <c r="H1621" s="18"/>
      <c r="J1621" s="18"/>
      <c r="N1621" s="16"/>
      <c r="O1621" s="17"/>
      <c r="Q1621" s="22"/>
      <c r="R1621" s="23"/>
    </row>
    <row r="1622" spans="1:18" ht="12.75">
      <c r="A1622" s="22"/>
      <c r="D1622" s="19"/>
      <c r="H1622" s="18"/>
      <c r="J1622" s="18"/>
      <c r="N1622" s="16"/>
      <c r="O1622" s="17"/>
      <c r="Q1622" s="22"/>
      <c r="R1622" s="23"/>
    </row>
    <row r="1623" spans="1:18" ht="12.75">
      <c r="A1623" s="22"/>
      <c r="D1623" s="19"/>
      <c r="H1623" s="18"/>
      <c r="J1623" s="18"/>
      <c r="N1623" s="16"/>
      <c r="O1623" s="17"/>
      <c r="Q1623" s="22"/>
      <c r="R1623" s="23"/>
    </row>
    <row r="1624" spans="1:18" ht="12.75">
      <c r="A1624" s="22"/>
      <c r="D1624" s="19"/>
      <c r="H1624" s="18"/>
      <c r="J1624" s="18"/>
      <c r="N1624" s="16"/>
      <c r="O1624" s="17"/>
      <c r="Q1624" s="22"/>
      <c r="R1624" s="23"/>
    </row>
    <row r="1625" spans="1:18" ht="12.75">
      <c r="A1625" s="22"/>
      <c r="D1625" s="19"/>
      <c r="H1625" s="18"/>
      <c r="J1625" s="18"/>
      <c r="N1625" s="16"/>
      <c r="O1625" s="17"/>
      <c r="Q1625" s="22"/>
      <c r="R1625" s="23"/>
    </row>
    <row r="1626" spans="1:18" ht="12.75">
      <c r="A1626" s="22"/>
      <c r="D1626" s="19"/>
      <c r="H1626" s="18"/>
      <c r="J1626" s="18"/>
      <c r="N1626" s="16"/>
      <c r="O1626" s="17"/>
      <c r="Q1626" s="22"/>
      <c r="R1626" s="23"/>
    </row>
    <row r="1627" spans="1:18" ht="12.75">
      <c r="A1627" s="22"/>
      <c r="D1627" s="19"/>
      <c r="H1627" s="18"/>
      <c r="J1627" s="18"/>
      <c r="N1627" s="16"/>
      <c r="O1627" s="17"/>
      <c r="Q1627" s="22"/>
      <c r="R1627" s="23"/>
    </row>
    <row r="1628" spans="1:18" ht="12.75">
      <c r="A1628" s="22"/>
      <c r="D1628" s="19"/>
      <c r="H1628" s="18"/>
      <c r="J1628" s="18"/>
      <c r="N1628" s="16"/>
      <c r="O1628" s="17"/>
      <c r="Q1628" s="22"/>
      <c r="R1628" s="23"/>
    </row>
    <row r="1629" spans="1:18" ht="12.75">
      <c r="A1629" s="22"/>
      <c r="D1629" s="19"/>
      <c r="H1629" s="18"/>
      <c r="J1629" s="18"/>
      <c r="N1629" s="16"/>
      <c r="O1629" s="17"/>
      <c r="Q1629" s="22"/>
      <c r="R1629" s="23"/>
    </row>
    <row r="1630" spans="1:18" ht="12.75">
      <c r="A1630" s="22"/>
      <c r="D1630" s="19"/>
      <c r="H1630" s="18"/>
      <c r="J1630" s="18"/>
      <c r="N1630" s="16"/>
      <c r="O1630" s="17"/>
      <c r="Q1630" s="22"/>
      <c r="R1630" s="23"/>
    </row>
    <row r="1631" spans="1:18" ht="12.75">
      <c r="A1631" s="22"/>
      <c r="D1631" s="19"/>
      <c r="H1631" s="18"/>
      <c r="J1631" s="18"/>
      <c r="N1631" s="16"/>
      <c r="O1631" s="17"/>
      <c r="Q1631" s="22"/>
      <c r="R1631" s="23"/>
    </row>
    <row r="1632" spans="1:18" ht="12.75">
      <c r="A1632" s="22"/>
      <c r="D1632" s="19"/>
      <c r="H1632" s="18"/>
      <c r="J1632" s="18"/>
      <c r="N1632" s="16"/>
      <c r="O1632" s="17"/>
      <c r="Q1632" s="22"/>
      <c r="R1632" s="23"/>
    </row>
    <row r="1633" spans="1:18" ht="12.75">
      <c r="A1633" s="22"/>
      <c r="D1633" s="19"/>
      <c r="H1633" s="18"/>
      <c r="J1633" s="18"/>
      <c r="N1633" s="16"/>
      <c r="O1633" s="17"/>
      <c r="Q1633" s="22"/>
      <c r="R1633" s="23"/>
    </row>
    <row r="1634" spans="1:18" ht="12.75">
      <c r="A1634" s="22"/>
      <c r="D1634" s="19"/>
      <c r="H1634" s="18"/>
      <c r="J1634" s="18"/>
      <c r="N1634" s="16"/>
      <c r="O1634" s="17"/>
      <c r="Q1634" s="22"/>
      <c r="R1634" s="23"/>
    </row>
    <row r="1635" spans="1:18" ht="12.75">
      <c r="A1635" s="22"/>
      <c r="D1635" s="19"/>
      <c r="H1635" s="18"/>
      <c r="J1635" s="18"/>
      <c r="N1635" s="16"/>
      <c r="O1635" s="17"/>
      <c r="Q1635" s="22"/>
      <c r="R1635" s="23"/>
    </row>
    <row r="1636" spans="1:18" ht="12.75">
      <c r="A1636" s="22"/>
      <c r="D1636" s="19"/>
      <c r="H1636" s="18"/>
      <c r="J1636" s="18"/>
      <c r="N1636" s="16"/>
      <c r="O1636" s="17"/>
      <c r="Q1636" s="22"/>
      <c r="R1636" s="23"/>
    </row>
    <row r="1637" spans="1:18" ht="12.75">
      <c r="A1637" s="22"/>
      <c r="D1637" s="19"/>
      <c r="H1637" s="18"/>
      <c r="J1637" s="18"/>
      <c r="N1637" s="16"/>
      <c r="O1637" s="17"/>
      <c r="Q1637" s="22"/>
      <c r="R1637" s="23"/>
    </row>
    <row r="1638" spans="1:18" ht="12.75">
      <c r="A1638" s="22"/>
      <c r="D1638" s="19"/>
      <c r="H1638" s="18"/>
      <c r="J1638" s="18"/>
      <c r="N1638" s="16"/>
      <c r="O1638" s="17"/>
      <c r="Q1638" s="22"/>
      <c r="R1638" s="23"/>
    </row>
    <row r="1639" spans="1:18" ht="12.75">
      <c r="A1639" s="22"/>
      <c r="D1639" s="19"/>
      <c r="H1639" s="18"/>
      <c r="J1639" s="18"/>
      <c r="N1639" s="16"/>
      <c r="O1639" s="17"/>
      <c r="Q1639" s="22"/>
      <c r="R1639" s="23"/>
    </row>
    <row r="1640" spans="1:18" ht="12.75">
      <c r="A1640" s="22"/>
      <c r="D1640" s="19"/>
      <c r="H1640" s="18"/>
      <c r="J1640" s="18"/>
      <c r="N1640" s="16"/>
      <c r="O1640" s="17"/>
      <c r="Q1640" s="22"/>
      <c r="R1640" s="23"/>
    </row>
    <row r="1641" spans="1:18" ht="12.75">
      <c r="A1641" s="22"/>
      <c r="D1641" s="19"/>
      <c r="H1641" s="18"/>
      <c r="J1641" s="18"/>
      <c r="N1641" s="16"/>
      <c r="O1641" s="17"/>
      <c r="Q1641" s="22"/>
      <c r="R1641" s="23"/>
    </row>
    <row r="1642" spans="1:18" ht="12.75">
      <c r="A1642" s="22"/>
      <c r="D1642" s="19"/>
      <c r="H1642" s="18"/>
      <c r="J1642" s="18"/>
      <c r="N1642" s="16"/>
      <c r="O1642" s="17"/>
      <c r="Q1642" s="22"/>
      <c r="R1642" s="23"/>
    </row>
    <row r="1643" spans="1:18" ht="12.75">
      <c r="A1643" s="22"/>
      <c r="D1643" s="19"/>
      <c r="H1643" s="18"/>
      <c r="J1643" s="18"/>
      <c r="N1643" s="16"/>
      <c r="O1643" s="17"/>
      <c r="Q1643" s="22"/>
      <c r="R1643" s="23"/>
    </row>
    <row r="1644" spans="1:18" ht="12.75">
      <c r="A1644" s="22"/>
      <c r="D1644" s="19"/>
      <c r="H1644" s="18"/>
      <c r="J1644" s="18"/>
      <c r="N1644" s="16"/>
      <c r="O1644" s="17"/>
      <c r="Q1644" s="22"/>
      <c r="R1644" s="23"/>
    </row>
    <row r="1645" spans="1:18" ht="12.75">
      <c r="A1645" s="22"/>
      <c r="D1645" s="19"/>
      <c r="H1645" s="18"/>
      <c r="J1645" s="18"/>
      <c r="N1645" s="16"/>
      <c r="O1645" s="17"/>
      <c r="Q1645" s="22"/>
      <c r="R1645" s="23"/>
    </row>
    <row r="1646" spans="1:18" ht="12.75">
      <c r="A1646" s="22"/>
      <c r="D1646" s="19"/>
      <c r="H1646" s="18"/>
      <c r="J1646" s="18"/>
      <c r="N1646" s="16"/>
      <c r="O1646" s="17"/>
      <c r="Q1646" s="22"/>
      <c r="R1646" s="23"/>
    </row>
    <row r="1647" spans="1:18" ht="12.75">
      <c r="A1647" s="22"/>
      <c r="D1647" s="19"/>
      <c r="H1647" s="18"/>
      <c r="J1647" s="18"/>
      <c r="N1647" s="16"/>
      <c r="O1647" s="17"/>
      <c r="Q1647" s="22"/>
      <c r="R1647" s="23"/>
    </row>
    <row r="1648" spans="1:18" ht="12.75">
      <c r="A1648" s="22"/>
      <c r="D1648" s="19"/>
      <c r="H1648" s="18"/>
      <c r="J1648" s="18"/>
      <c r="N1648" s="16"/>
      <c r="O1648" s="17"/>
      <c r="Q1648" s="22"/>
      <c r="R1648" s="23"/>
    </row>
    <row r="1649" spans="1:18" ht="12.75">
      <c r="A1649" s="22"/>
      <c r="D1649" s="19"/>
      <c r="H1649" s="18"/>
      <c r="J1649" s="18"/>
      <c r="N1649" s="16"/>
      <c r="O1649" s="17"/>
      <c r="Q1649" s="22"/>
      <c r="R1649" s="23"/>
    </row>
    <row r="1650" spans="1:18" ht="12.75">
      <c r="A1650" s="22"/>
      <c r="D1650" s="19"/>
      <c r="H1650" s="18"/>
      <c r="J1650" s="18"/>
      <c r="N1650" s="16"/>
      <c r="O1650" s="17"/>
      <c r="Q1650" s="22"/>
      <c r="R1650" s="23"/>
    </row>
    <row r="1651" spans="1:18" ht="12.75">
      <c r="A1651" s="22"/>
      <c r="D1651" s="19"/>
      <c r="H1651" s="18"/>
      <c r="J1651" s="18"/>
      <c r="N1651" s="16"/>
      <c r="O1651" s="17"/>
      <c r="Q1651" s="22"/>
      <c r="R1651" s="23"/>
    </row>
    <row r="1652" spans="1:18" ht="12.75">
      <c r="A1652" s="22"/>
      <c r="D1652" s="19"/>
      <c r="H1652" s="18"/>
      <c r="J1652" s="18"/>
      <c r="N1652" s="16"/>
      <c r="O1652" s="17"/>
      <c r="Q1652" s="22"/>
      <c r="R1652" s="23"/>
    </row>
    <row r="1653" spans="1:18" ht="12.75">
      <c r="A1653" s="22"/>
      <c r="D1653" s="19"/>
      <c r="H1653" s="18"/>
      <c r="J1653" s="18"/>
      <c r="N1653" s="16"/>
      <c r="O1653" s="17"/>
      <c r="Q1653" s="22"/>
      <c r="R1653" s="23"/>
    </row>
    <row r="1654" spans="1:18" ht="12.75">
      <c r="A1654" s="22"/>
      <c r="D1654" s="19"/>
      <c r="H1654" s="18"/>
      <c r="J1654" s="18"/>
      <c r="N1654" s="16"/>
      <c r="O1654" s="17"/>
      <c r="Q1654" s="22"/>
      <c r="R1654" s="23"/>
    </row>
    <row r="1655" spans="1:18" ht="12.75">
      <c r="A1655" s="22"/>
      <c r="D1655" s="19"/>
      <c r="H1655" s="18"/>
      <c r="J1655" s="18"/>
      <c r="N1655" s="16"/>
      <c r="O1655" s="17"/>
      <c r="Q1655" s="22"/>
      <c r="R1655" s="23"/>
    </row>
    <row r="1656" spans="1:18" ht="12.75">
      <c r="A1656" s="22"/>
      <c r="D1656" s="19"/>
      <c r="H1656" s="18"/>
      <c r="J1656" s="18"/>
      <c r="N1656" s="16"/>
      <c r="O1656" s="17"/>
      <c r="Q1656" s="22"/>
      <c r="R1656" s="23"/>
    </row>
    <row r="1657" spans="1:18" ht="12.75">
      <c r="A1657" s="22"/>
      <c r="D1657" s="19"/>
      <c r="H1657" s="18"/>
      <c r="J1657" s="18"/>
      <c r="N1657" s="16"/>
      <c r="O1657" s="17"/>
      <c r="Q1657" s="22"/>
      <c r="R1657" s="23"/>
    </row>
    <row r="1658" spans="1:18" ht="12.75">
      <c r="A1658" s="22"/>
      <c r="D1658" s="19"/>
      <c r="H1658" s="18"/>
      <c r="J1658" s="18"/>
      <c r="N1658" s="16"/>
      <c r="O1658" s="17"/>
      <c r="Q1658" s="22"/>
      <c r="R1658" s="23"/>
    </row>
    <row r="1659" spans="1:18" ht="12.75">
      <c r="A1659" s="22"/>
      <c r="D1659" s="19"/>
      <c r="H1659" s="18"/>
      <c r="J1659" s="18"/>
      <c r="N1659" s="16"/>
      <c r="O1659" s="17"/>
      <c r="Q1659" s="22"/>
      <c r="R1659" s="23"/>
    </row>
    <row r="1660" spans="1:18" ht="12.75">
      <c r="A1660" s="22"/>
      <c r="D1660" s="19"/>
      <c r="H1660" s="18"/>
      <c r="J1660" s="18"/>
      <c r="N1660" s="16"/>
      <c r="O1660" s="17"/>
      <c r="Q1660" s="22"/>
      <c r="R1660" s="23"/>
    </row>
    <row r="1661" spans="1:18" ht="12.75">
      <c r="A1661" s="22"/>
      <c r="D1661" s="19"/>
      <c r="H1661" s="18"/>
      <c r="J1661" s="18"/>
      <c r="N1661" s="16"/>
      <c r="O1661" s="17"/>
      <c r="Q1661" s="22"/>
      <c r="R1661" s="23"/>
    </row>
    <row r="1662" spans="1:18" ht="12.75">
      <c r="A1662" s="22"/>
      <c r="D1662" s="19"/>
      <c r="H1662" s="18"/>
      <c r="J1662" s="18"/>
      <c r="N1662" s="16"/>
      <c r="O1662" s="17"/>
      <c r="Q1662" s="22"/>
      <c r="R1662" s="23"/>
    </row>
    <row r="1663" spans="1:18" ht="12.75">
      <c r="A1663" s="22"/>
      <c r="D1663" s="19"/>
      <c r="H1663" s="18"/>
      <c r="J1663" s="18"/>
      <c r="N1663" s="16"/>
      <c r="O1663" s="17"/>
      <c r="Q1663" s="22"/>
      <c r="R1663" s="23"/>
    </row>
    <row r="1664" spans="1:18" ht="12.75">
      <c r="A1664" s="22"/>
      <c r="D1664" s="19"/>
      <c r="H1664" s="18"/>
      <c r="J1664" s="18"/>
      <c r="N1664" s="16"/>
      <c r="O1664" s="17"/>
      <c r="Q1664" s="22"/>
      <c r="R1664" s="23"/>
    </row>
    <row r="1665" spans="1:18" ht="12.75">
      <c r="A1665" s="22"/>
      <c r="D1665" s="19"/>
      <c r="H1665" s="18"/>
      <c r="J1665" s="18"/>
      <c r="N1665" s="16"/>
      <c r="O1665" s="17"/>
      <c r="Q1665" s="22"/>
      <c r="R1665" s="23"/>
    </row>
    <row r="1666" spans="1:18" ht="12.75">
      <c r="A1666" s="22"/>
      <c r="D1666" s="19"/>
      <c r="H1666" s="18"/>
      <c r="J1666" s="18"/>
      <c r="N1666" s="16"/>
      <c r="O1666" s="17"/>
      <c r="Q1666" s="22"/>
      <c r="R1666" s="23"/>
    </row>
    <row r="1667" spans="1:18" ht="12.75">
      <c r="A1667" s="22"/>
      <c r="D1667" s="19"/>
      <c r="H1667" s="18"/>
      <c r="J1667" s="18"/>
      <c r="N1667" s="16"/>
      <c r="O1667" s="17"/>
      <c r="Q1667" s="22"/>
      <c r="R1667" s="23"/>
    </row>
    <row r="1668" spans="1:18" ht="12.75">
      <c r="A1668" s="22"/>
      <c r="D1668" s="19"/>
      <c r="H1668" s="18"/>
      <c r="J1668" s="18"/>
      <c r="N1668" s="16"/>
      <c r="O1668" s="17"/>
      <c r="Q1668" s="22"/>
      <c r="R1668" s="23"/>
    </row>
    <row r="1669" spans="1:18" ht="12.75">
      <c r="A1669" s="22"/>
      <c r="D1669" s="19"/>
      <c r="H1669" s="18"/>
      <c r="J1669" s="18"/>
      <c r="N1669" s="16"/>
      <c r="O1669" s="17"/>
      <c r="Q1669" s="22"/>
      <c r="R1669" s="23"/>
    </row>
    <row r="1670" spans="1:18" ht="12.75">
      <c r="A1670" s="22"/>
      <c r="D1670" s="19"/>
      <c r="H1670" s="18"/>
      <c r="J1670" s="18"/>
      <c r="N1670" s="16"/>
      <c r="O1670" s="17"/>
      <c r="Q1670" s="22"/>
      <c r="R1670" s="23"/>
    </row>
    <row r="1671" spans="1:18" ht="12.75">
      <c r="A1671" s="22"/>
      <c r="D1671" s="19"/>
      <c r="H1671" s="18"/>
      <c r="J1671" s="18"/>
      <c r="N1671" s="16"/>
      <c r="O1671" s="17"/>
      <c r="Q1671" s="22"/>
      <c r="R1671" s="23"/>
    </row>
    <row r="1672" spans="1:18" ht="12.75">
      <c r="A1672" s="22"/>
      <c r="D1672" s="19"/>
      <c r="H1672" s="18"/>
      <c r="J1672" s="18"/>
      <c r="N1672" s="16"/>
      <c r="O1672" s="17"/>
      <c r="Q1672" s="22"/>
      <c r="R1672" s="23"/>
    </row>
    <row r="1673" spans="1:18" ht="12.75">
      <c r="A1673" s="22"/>
      <c r="D1673" s="19"/>
      <c r="H1673" s="18"/>
      <c r="J1673" s="18"/>
      <c r="N1673" s="16"/>
      <c r="O1673" s="17"/>
      <c r="Q1673" s="22"/>
      <c r="R1673" s="23"/>
    </row>
    <row r="1674" spans="1:18" ht="12.75">
      <c r="A1674" s="22"/>
      <c r="D1674" s="19"/>
      <c r="H1674" s="18"/>
      <c r="J1674" s="18"/>
      <c r="N1674" s="16"/>
      <c r="O1674" s="17"/>
      <c r="Q1674" s="22"/>
      <c r="R1674" s="23"/>
    </row>
    <row r="1675" spans="1:18" ht="12.75">
      <c r="A1675" s="22"/>
      <c r="D1675" s="19"/>
      <c r="H1675" s="18"/>
      <c r="J1675" s="18"/>
      <c r="N1675" s="16"/>
      <c r="O1675" s="17"/>
      <c r="Q1675" s="22"/>
      <c r="R1675" s="23"/>
    </row>
    <row r="1676" spans="1:18" ht="12.75">
      <c r="A1676" s="22"/>
      <c r="D1676" s="19"/>
      <c r="H1676" s="18"/>
      <c r="J1676" s="18"/>
      <c r="N1676" s="16"/>
      <c r="O1676" s="17"/>
      <c r="Q1676" s="22"/>
      <c r="R1676" s="23"/>
    </row>
    <row r="1677" spans="1:18" ht="12.75">
      <c r="A1677" s="22"/>
      <c r="D1677" s="19"/>
      <c r="H1677" s="18"/>
      <c r="J1677" s="18"/>
      <c r="N1677" s="16"/>
      <c r="O1677" s="17"/>
      <c r="Q1677" s="22"/>
      <c r="R1677" s="23"/>
    </row>
    <row r="1678" spans="1:18" ht="12.75">
      <c r="A1678" s="22"/>
      <c r="D1678" s="19"/>
      <c r="H1678" s="18"/>
      <c r="J1678" s="18"/>
      <c r="N1678" s="16"/>
      <c r="O1678" s="17"/>
      <c r="Q1678" s="22"/>
      <c r="R1678" s="23"/>
    </row>
    <row r="1679" spans="1:18" ht="12.75">
      <c r="A1679" s="22"/>
      <c r="D1679" s="19"/>
      <c r="H1679" s="18"/>
      <c r="J1679" s="18"/>
      <c r="N1679" s="16"/>
      <c r="O1679" s="17"/>
      <c r="Q1679" s="22"/>
      <c r="R1679" s="23"/>
    </row>
    <row r="1680" spans="1:18" ht="12.75">
      <c r="A1680" s="22"/>
      <c r="D1680" s="19"/>
      <c r="H1680" s="18"/>
      <c r="J1680" s="18"/>
      <c r="N1680" s="16"/>
      <c r="O1680" s="17"/>
      <c r="Q1680" s="22"/>
      <c r="R1680" s="23"/>
    </row>
    <row r="1681" spans="1:18" ht="12.75">
      <c r="A1681" s="22"/>
      <c r="D1681" s="19"/>
      <c r="H1681" s="18"/>
      <c r="J1681" s="18"/>
      <c r="N1681" s="16"/>
      <c r="O1681" s="17"/>
      <c r="Q1681" s="22"/>
      <c r="R1681" s="23"/>
    </row>
    <row r="1682" spans="1:18" ht="12.75">
      <c r="A1682" s="22"/>
      <c r="D1682" s="19"/>
      <c r="H1682" s="18"/>
      <c r="J1682" s="18"/>
      <c r="N1682" s="16"/>
      <c r="O1682" s="17"/>
      <c r="Q1682" s="22"/>
      <c r="R1682" s="23"/>
    </row>
    <row r="1683" spans="1:18" ht="12.75">
      <c r="A1683" s="22"/>
      <c r="D1683" s="19"/>
      <c r="H1683" s="18"/>
      <c r="J1683" s="18"/>
      <c r="N1683" s="16"/>
      <c r="O1683" s="17"/>
      <c r="Q1683" s="22"/>
      <c r="R1683" s="23"/>
    </row>
    <row r="1684" spans="1:18" ht="12.75">
      <c r="A1684" s="22"/>
      <c r="D1684" s="19"/>
      <c r="H1684" s="18"/>
      <c r="J1684" s="18"/>
      <c r="N1684" s="16"/>
      <c r="O1684" s="17"/>
      <c r="Q1684" s="22"/>
      <c r="R1684" s="23"/>
    </row>
    <row r="1685" spans="1:18" ht="12.75">
      <c r="A1685" s="22"/>
      <c r="D1685" s="19"/>
      <c r="H1685" s="18"/>
      <c r="J1685" s="18"/>
      <c r="N1685" s="16"/>
      <c r="O1685" s="17"/>
      <c r="Q1685" s="22"/>
      <c r="R1685" s="23"/>
    </row>
    <row r="1686" spans="1:18" ht="12.75">
      <c r="A1686" s="22"/>
      <c r="D1686" s="19"/>
      <c r="H1686" s="18"/>
      <c r="J1686" s="18"/>
      <c r="N1686" s="16"/>
      <c r="O1686" s="17"/>
      <c r="Q1686" s="22"/>
      <c r="R1686" s="23"/>
    </row>
    <row r="1687" spans="1:18" ht="12.75">
      <c r="A1687" s="22"/>
      <c r="D1687" s="19"/>
      <c r="H1687" s="18"/>
      <c r="J1687" s="18"/>
      <c r="N1687" s="16"/>
      <c r="O1687" s="17"/>
      <c r="Q1687" s="22"/>
      <c r="R1687" s="23"/>
    </row>
    <row r="1688" spans="1:18" ht="12.75">
      <c r="A1688" s="22"/>
      <c r="D1688" s="19"/>
      <c r="H1688" s="18"/>
      <c r="J1688" s="18"/>
      <c r="N1688" s="16"/>
      <c r="O1688" s="17"/>
      <c r="Q1688" s="22"/>
      <c r="R1688" s="23"/>
    </row>
    <row r="1689" spans="1:18" ht="12.75">
      <c r="A1689" s="22"/>
      <c r="D1689" s="19"/>
      <c r="H1689" s="18"/>
      <c r="J1689" s="18"/>
      <c r="N1689" s="16"/>
      <c r="O1689" s="17"/>
      <c r="Q1689" s="22"/>
      <c r="R1689" s="23"/>
    </row>
    <row r="1690" spans="1:18" ht="12.75">
      <c r="A1690" s="22"/>
      <c r="D1690" s="19"/>
      <c r="H1690" s="18"/>
      <c r="J1690" s="18"/>
      <c r="N1690" s="16"/>
      <c r="O1690" s="17"/>
      <c r="Q1690" s="22"/>
      <c r="R1690" s="23"/>
    </row>
    <row r="1691" spans="1:18" ht="12.75">
      <c r="A1691" s="22"/>
      <c r="D1691" s="19"/>
      <c r="H1691" s="18"/>
      <c r="J1691" s="18"/>
      <c r="N1691" s="16"/>
      <c r="O1691" s="17"/>
      <c r="Q1691" s="22"/>
      <c r="R1691" s="23"/>
    </row>
    <row r="1692" spans="1:18" ht="12.75">
      <c r="A1692" s="22"/>
      <c r="D1692" s="19"/>
      <c r="H1692" s="18"/>
      <c r="J1692" s="18"/>
      <c r="N1692" s="16"/>
      <c r="O1692" s="17"/>
      <c r="Q1692" s="22"/>
      <c r="R1692" s="23"/>
    </row>
    <row r="1693" spans="1:18" ht="12.75">
      <c r="A1693" s="22"/>
      <c r="D1693" s="19"/>
      <c r="H1693" s="18"/>
      <c r="J1693" s="18"/>
      <c r="N1693" s="16"/>
      <c r="O1693" s="17"/>
      <c r="Q1693" s="22"/>
      <c r="R1693" s="23"/>
    </row>
    <row r="1694" spans="1:18" ht="12.75">
      <c r="A1694" s="22"/>
      <c r="D1694" s="19"/>
      <c r="H1694" s="18"/>
      <c r="J1694" s="18"/>
      <c r="N1694" s="16"/>
      <c r="O1694" s="17"/>
      <c r="Q1694" s="22"/>
      <c r="R1694" s="23"/>
    </row>
    <row r="1695" spans="1:18" ht="12.75">
      <c r="A1695" s="22"/>
      <c r="D1695" s="19"/>
      <c r="H1695" s="18"/>
      <c r="J1695" s="18"/>
      <c r="N1695" s="16"/>
      <c r="O1695" s="17"/>
      <c r="Q1695" s="22"/>
      <c r="R1695" s="23"/>
    </row>
    <row r="1696" spans="1:18" ht="12.75">
      <c r="A1696" s="22"/>
      <c r="D1696" s="19"/>
      <c r="H1696" s="18"/>
      <c r="J1696" s="18"/>
      <c r="N1696" s="16"/>
      <c r="O1696" s="17"/>
      <c r="Q1696" s="22"/>
      <c r="R1696" s="23"/>
    </row>
    <row r="1697" spans="1:18" ht="12.75">
      <c r="A1697" s="22"/>
      <c r="D1697" s="19"/>
      <c r="H1697" s="18"/>
      <c r="J1697" s="18"/>
      <c r="N1697" s="16"/>
      <c r="O1697" s="17"/>
      <c r="Q1697" s="22"/>
      <c r="R1697" s="23"/>
    </row>
    <row r="1698" spans="1:18" ht="12.75">
      <c r="A1698" s="22"/>
      <c r="D1698" s="19"/>
      <c r="H1698" s="18"/>
      <c r="J1698" s="18"/>
      <c r="N1698" s="16"/>
      <c r="O1698" s="17"/>
      <c r="Q1698" s="22"/>
      <c r="R1698" s="23"/>
    </row>
    <row r="1699" spans="1:18" ht="12.75">
      <c r="A1699" s="22"/>
      <c r="D1699" s="19"/>
      <c r="H1699" s="18"/>
      <c r="J1699" s="18"/>
      <c r="N1699" s="16"/>
      <c r="O1699" s="17"/>
      <c r="Q1699" s="22"/>
      <c r="R1699" s="23"/>
    </row>
    <row r="1700" spans="1:18" ht="12.75">
      <c r="A1700" s="22"/>
      <c r="D1700" s="19"/>
      <c r="H1700" s="18"/>
      <c r="J1700" s="18"/>
      <c r="N1700" s="16"/>
      <c r="O1700" s="17"/>
      <c r="Q1700" s="22"/>
      <c r="R1700" s="23"/>
    </row>
    <row r="1701" spans="1:18" ht="12.75">
      <c r="A1701" s="22"/>
      <c r="D1701" s="19"/>
      <c r="H1701" s="18"/>
      <c r="J1701" s="18"/>
      <c r="N1701" s="16"/>
      <c r="O1701" s="17"/>
      <c r="Q1701" s="22"/>
      <c r="R1701" s="23"/>
    </row>
    <row r="1702" spans="1:18" ht="12.75">
      <c r="A1702" s="22"/>
      <c r="D1702" s="19"/>
      <c r="H1702" s="18"/>
      <c r="J1702" s="18"/>
      <c r="N1702" s="16"/>
      <c r="O1702" s="17"/>
      <c r="Q1702" s="22"/>
      <c r="R1702" s="23"/>
    </row>
    <row r="1703" spans="1:18" ht="12.75">
      <c r="A1703" s="22"/>
      <c r="D1703" s="19"/>
      <c r="H1703" s="18"/>
      <c r="J1703" s="18"/>
      <c r="N1703" s="16"/>
      <c r="O1703" s="17"/>
      <c r="Q1703" s="22"/>
      <c r="R1703" s="23"/>
    </row>
    <row r="1704" spans="1:18" ht="12.75">
      <c r="A1704" s="22"/>
      <c r="D1704" s="19"/>
      <c r="H1704" s="18"/>
      <c r="J1704" s="18"/>
      <c r="N1704" s="16"/>
      <c r="O1704" s="17"/>
      <c r="Q1704" s="22"/>
      <c r="R1704" s="23"/>
    </row>
    <row r="1705" spans="1:18" ht="12.75">
      <c r="A1705" s="22"/>
      <c r="D1705" s="19"/>
      <c r="H1705" s="18"/>
      <c r="J1705" s="18"/>
      <c r="N1705" s="16"/>
      <c r="O1705" s="17"/>
      <c r="Q1705" s="22"/>
      <c r="R1705" s="23"/>
    </row>
    <row r="1706" spans="1:18" ht="12.75">
      <c r="A1706" s="22"/>
      <c r="D1706" s="19"/>
      <c r="H1706" s="18"/>
      <c r="J1706" s="18"/>
      <c r="N1706" s="16"/>
      <c r="O1706" s="17"/>
      <c r="Q1706" s="22"/>
      <c r="R1706" s="23"/>
    </row>
    <row r="1707" spans="1:18" ht="12.75">
      <c r="A1707" s="22"/>
      <c r="D1707" s="19"/>
      <c r="H1707" s="18"/>
      <c r="J1707" s="18"/>
      <c r="N1707" s="16"/>
      <c r="O1707" s="17"/>
      <c r="Q1707" s="22"/>
      <c r="R1707" s="23"/>
    </row>
    <row r="1708" spans="1:18" ht="12.75">
      <c r="A1708" s="22"/>
      <c r="D1708" s="19"/>
      <c r="H1708" s="18"/>
      <c r="J1708" s="18"/>
      <c r="N1708" s="16"/>
      <c r="O1708" s="17"/>
      <c r="Q1708" s="22"/>
      <c r="R1708" s="23"/>
    </row>
    <row r="1709" spans="1:18" ht="12.75">
      <c r="A1709" s="22"/>
      <c r="D1709" s="19"/>
      <c r="H1709" s="18"/>
      <c r="J1709" s="18"/>
      <c r="N1709" s="16"/>
      <c r="O1709" s="17"/>
      <c r="Q1709" s="22"/>
      <c r="R1709" s="23"/>
    </row>
    <row r="1710" spans="1:18" ht="12.75">
      <c r="A1710" s="22"/>
      <c r="D1710" s="19"/>
      <c r="H1710" s="18"/>
      <c r="J1710" s="18"/>
      <c r="N1710" s="16"/>
      <c r="O1710" s="17"/>
      <c r="Q1710" s="22"/>
      <c r="R1710" s="23"/>
    </row>
    <row r="1711" spans="1:18" ht="12.75">
      <c r="A1711" s="22"/>
      <c r="D1711" s="19"/>
      <c r="H1711" s="18"/>
      <c r="J1711" s="18"/>
      <c r="N1711" s="16"/>
      <c r="O1711" s="17"/>
      <c r="Q1711" s="22"/>
      <c r="R1711" s="23"/>
    </row>
    <row r="1712" spans="1:18" ht="12.75">
      <c r="A1712" s="22"/>
      <c r="D1712" s="19"/>
      <c r="H1712" s="18"/>
      <c r="J1712" s="18"/>
      <c r="N1712" s="16"/>
      <c r="O1712" s="17"/>
      <c r="Q1712" s="22"/>
      <c r="R1712" s="23"/>
    </row>
    <row r="1713" spans="1:18" ht="12.75">
      <c r="A1713" s="22"/>
      <c r="D1713" s="19"/>
      <c r="H1713" s="18"/>
      <c r="J1713" s="18"/>
      <c r="N1713" s="16"/>
      <c r="O1713" s="17"/>
      <c r="Q1713" s="22"/>
      <c r="R1713" s="23"/>
    </row>
    <row r="1714" spans="1:18" ht="12.75">
      <c r="A1714" s="22"/>
      <c r="D1714" s="19"/>
      <c r="H1714" s="18"/>
      <c r="J1714" s="18"/>
      <c r="N1714" s="16"/>
      <c r="O1714" s="17"/>
      <c r="Q1714" s="22"/>
      <c r="R1714" s="23"/>
    </row>
    <row r="1715" spans="1:18" ht="12.75">
      <c r="A1715" s="22"/>
      <c r="D1715" s="19"/>
      <c r="H1715" s="18"/>
      <c r="J1715" s="18"/>
      <c r="N1715" s="16"/>
      <c r="O1715" s="17"/>
      <c r="Q1715" s="22"/>
      <c r="R1715" s="23"/>
    </row>
    <row r="1716" spans="1:18" ht="12.75">
      <c r="A1716" s="22"/>
      <c r="D1716" s="19"/>
      <c r="H1716" s="18"/>
      <c r="J1716" s="18"/>
      <c r="N1716" s="16"/>
      <c r="O1716" s="17"/>
      <c r="Q1716" s="22"/>
      <c r="R1716" s="23"/>
    </row>
    <row r="1717" spans="1:18" ht="12.75">
      <c r="A1717" s="22"/>
      <c r="D1717" s="19"/>
      <c r="H1717" s="18"/>
      <c r="J1717" s="18"/>
      <c r="N1717" s="16"/>
      <c r="O1717" s="17"/>
      <c r="Q1717" s="22"/>
      <c r="R1717" s="23"/>
    </row>
    <row r="1718" spans="1:18" ht="12.75">
      <c r="A1718" s="22"/>
      <c r="D1718" s="19"/>
      <c r="H1718" s="18"/>
      <c r="J1718" s="18"/>
      <c r="N1718" s="16"/>
      <c r="O1718" s="17"/>
      <c r="Q1718" s="22"/>
      <c r="R1718" s="23"/>
    </row>
    <row r="1719" spans="1:18" ht="12.75">
      <c r="A1719" s="22"/>
      <c r="D1719" s="19"/>
      <c r="H1719" s="18"/>
      <c r="J1719" s="18"/>
      <c r="N1719" s="16"/>
      <c r="O1719" s="17"/>
      <c r="Q1719" s="22"/>
      <c r="R1719" s="23"/>
    </row>
    <row r="1720" spans="1:18" ht="12.75">
      <c r="A1720" s="22"/>
      <c r="D1720" s="19"/>
      <c r="H1720" s="18"/>
      <c r="J1720" s="18"/>
      <c r="N1720" s="16"/>
      <c r="O1720" s="17"/>
      <c r="Q1720" s="22"/>
      <c r="R1720" s="23"/>
    </row>
    <row r="1721" spans="1:18" ht="12.75">
      <c r="A1721" s="22"/>
      <c r="D1721" s="19"/>
      <c r="H1721" s="18"/>
      <c r="J1721" s="18"/>
      <c r="N1721" s="16"/>
      <c r="O1721" s="17"/>
      <c r="Q1721" s="22"/>
      <c r="R1721" s="23"/>
    </row>
    <row r="1722" spans="1:18" ht="12.75">
      <c r="A1722" s="22"/>
      <c r="D1722" s="19"/>
      <c r="H1722" s="18"/>
      <c r="J1722" s="18"/>
      <c r="N1722" s="16"/>
      <c r="O1722" s="17"/>
      <c r="Q1722" s="22"/>
      <c r="R1722" s="23"/>
    </row>
    <row r="1723" spans="1:18" ht="12.75">
      <c r="A1723" s="22"/>
      <c r="D1723" s="19"/>
      <c r="H1723" s="18"/>
      <c r="J1723" s="18"/>
      <c r="N1723" s="16"/>
      <c r="O1723" s="17"/>
      <c r="Q1723" s="22"/>
      <c r="R1723" s="23"/>
    </row>
    <row r="1724" spans="1:18" ht="12.75">
      <c r="A1724" s="22"/>
      <c r="D1724" s="19"/>
      <c r="H1724" s="18"/>
      <c r="J1724" s="18"/>
      <c r="N1724" s="16"/>
      <c r="O1724" s="17"/>
      <c r="Q1724" s="22"/>
      <c r="R1724" s="23"/>
    </row>
    <row r="1725" spans="1:18" ht="12.75">
      <c r="A1725" s="22"/>
      <c r="D1725" s="19"/>
      <c r="H1725" s="18"/>
      <c r="J1725" s="18"/>
      <c r="N1725" s="16"/>
      <c r="O1725" s="17"/>
      <c r="Q1725" s="22"/>
      <c r="R1725" s="23"/>
    </row>
    <row r="1726" spans="1:18" ht="12.75">
      <c r="A1726" s="22"/>
      <c r="D1726" s="19"/>
      <c r="H1726" s="18"/>
      <c r="J1726" s="18"/>
      <c r="N1726" s="16"/>
      <c r="O1726" s="17"/>
      <c r="Q1726" s="22"/>
      <c r="R1726" s="23"/>
    </row>
    <row r="1727" spans="1:18" ht="12.75">
      <c r="A1727" s="22"/>
      <c r="D1727" s="19"/>
      <c r="H1727" s="18"/>
      <c r="J1727" s="18"/>
      <c r="N1727" s="16"/>
      <c r="O1727" s="17"/>
      <c r="Q1727" s="22"/>
      <c r="R1727" s="23"/>
    </row>
    <row r="1728" spans="1:18" ht="12.75">
      <c r="A1728" s="22"/>
      <c r="D1728" s="19"/>
      <c r="H1728" s="18"/>
      <c r="J1728" s="18"/>
      <c r="N1728" s="16"/>
      <c r="O1728" s="17"/>
      <c r="Q1728" s="22"/>
      <c r="R1728" s="23"/>
    </row>
    <row r="1729" spans="1:18" ht="12.75">
      <c r="A1729" s="22"/>
      <c r="D1729" s="19"/>
      <c r="H1729" s="18"/>
      <c r="J1729" s="18"/>
      <c r="N1729" s="16"/>
      <c r="O1729" s="17"/>
      <c r="Q1729" s="22"/>
      <c r="R1729" s="23"/>
    </row>
    <row r="1730" spans="1:18" ht="12.75">
      <c r="A1730" s="22"/>
      <c r="D1730" s="19"/>
      <c r="H1730" s="18"/>
      <c r="J1730" s="18"/>
      <c r="N1730" s="16"/>
      <c r="O1730" s="17"/>
      <c r="Q1730" s="22"/>
      <c r="R1730" s="23"/>
    </row>
    <row r="1731" spans="1:18" ht="12.75">
      <c r="A1731" s="22"/>
      <c r="D1731" s="19"/>
      <c r="H1731" s="18"/>
      <c r="J1731" s="18"/>
      <c r="N1731" s="16"/>
      <c r="O1731" s="17"/>
      <c r="Q1731" s="22"/>
      <c r="R1731" s="23"/>
    </row>
    <row r="1732" spans="1:18" ht="12.75">
      <c r="A1732" s="22"/>
      <c r="D1732" s="19"/>
      <c r="H1732" s="18"/>
      <c r="J1732" s="18"/>
      <c r="N1732" s="16"/>
      <c r="O1732" s="17"/>
      <c r="Q1732" s="22"/>
      <c r="R1732" s="23"/>
    </row>
    <row r="1733" spans="1:18" ht="12.75">
      <c r="A1733" s="22"/>
      <c r="D1733" s="19"/>
      <c r="H1733" s="18"/>
      <c r="J1733" s="18"/>
      <c r="N1733" s="16"/>
      <c r="O1733" s="17"/>
      <c r="Q1733" s="22"/>
      <c r="R1733" s="23"/>
    </row>
    <row r="1734" spans="1:18" ht="12.75">
      <c r="A1734" s="22"/>
      <c r="D1734" s="19"/>
      <c r="H1734" s="18"/>
      <c r="J1734" s="18"/>
      <c r="N1734" s="16"/>
      <c r="O1734" s="17"/>
      <c r="Q1734" s="22"/>
      <c r="R1734" s="23"/>
    </row>
    <row r="1735" spans="1:18" ht="12.75">
      <c r="A1735" s="22"/>
      <c r="D1735" s="19"/>
      <c r="H1735" s="18"/>
      <c r="J1735" s="18"/>
      <c r="N1735" s="16"/>
      <c r="O1735" s="17"/>
      <c r="Q1735" s="22"/>
      <c r="R1735" s="23"/>
    </row>
    <row r="1736" spans="1:18" ht="12.75">
      <c r="A1736" s="22"/>
      <c r="D1736" s="19"/>
      <c r="H1736" s="18"/>
      <c r="J1736" s="18"/>
      <c r="N1736" s="16"/>
      <c r="O1736" s="17"/>
      <c r="Q1736" s="22"/>
      <c r="R1736" s="23"/>
    </row>
    <row r="1737" spans="1:18" ht="12.75">
      <c r="A1737" s="22"/>
      <c r="D1737" s="19"/>
      <c r="H1737" s="18"/>
      <c r="J1737" s="18"/>
      <c r="N1737" s="16"/>
      <c r="O1737" s="17"/>
      <c r="Q1737" s="22"/>
      <c r="R1737" s="23"/>
    </row>
    <row r="1738" spans="1:18" ht="12.75">
      <c r="A1738" s="22"/>
      <c r="D1738" s="19"/>
      <c r="H1738" s="18"/>
      <c r="J1738" s="18"/>
      <c r="N1738" s="16"/>
      <c r="O1738" s="17"/>
      <c r="Q1738" s="22"/>
      <c r="R1738" s="23"/>
    </row>
    <row r="1739" spans="1:18" ht="12.75">
      <c r="A1739" s="22"/>
      <c r="D1739" s="19"/>
      <c r="H1739" s="18"/>
      <c r="J1739" s="18"/>
      <c r="N1739" s="16"/>
      <c r="O1739" s="17"/>
      <c r="Q1739" s="22"/>
      <c r="R1739" s="23"/>
    </row>
    <row r="1740" spans="1:18" ht="12.75">
      <c r="A1740" s="22"/>
      <c r="D1740" s="19"/>
      <c r="H1740" s="18"/>
      <c r="J1740" s="18"/>
      <c r="N1740" s="16"/>
      <c r="O1740" s="17"/>
      <c r="Q1740" s="22"/>
      <c r="R1740" s="23"/>
    </row>
    <row r="1741" spans="1:18" ht="12.75">
      <c r="A1741" s="22"/>
      <c r="D1741" s="19"/>
      <c r="H1741" s="18"/>
      <c r="J1741" s="18"/>
      <c r="N1741" s="16"/>
      <c r="O1741" s="17"/>
      <c r="Q1741" s="22"/>
      <c r="R1741" s="23"/>
    </row>
    <row r="1742" spans="1:18" ht="12.75">
      <c r="A1742" s="22"/>
      <c r="D1742" s="19"/>
      <c r="H1742" s="18"/>
      <c r="J1742" s="18"/>
      <c r="N1742" s="16"/>
      <c r="O1742" s="17"/>
      <c r="Q1742" s="22"/>
      <c r="R1742" s="23"/>
    </row>
    <row r="1743" spans="1:18" ht="12.75">
      <c r="A1743" s="22"/>
      <c r="D1743" s="19"/>
      <c r="H1743" s="18"/>
      <c r="J1743" s="18"/>
      <c r="N1743" s="16"/>
      <c r="O1743" s="17"/>
      <c r="Q1743" s="22"/>
      <c r="R1743" s="23"/>
    </row>
    <row r="1744" spans="1:18" ht="12.75">
      <c r="A1744" s="22"/>
      <c r="D1744" s="19"/>
      <c r="H1744" s="18"/>
      <c r="J1744" s="18"/>
      <c r="N1744" s="16"/>
      <c r="O1744" s="17"/>
      <c r="Q1744" s="22"/>
      <c r="R1744" s="23"/>
    </row>
    <row r="1745" spans="1:18" ht="12.75">
      <c r="A1745" s="22"/>
      <c r="D1745" s="19"/>
      <c r="H1745" s="18"/>
      <c r="J1745" s="18"/>
      <c r="N1745" s="16"/>
      <c r="O1745" s="17"/>
      <c r="Q1745" s="22"/>
      <c r="R1745" s="23"/>
    </row>
    <row r="1746" spans="1:18" ht="12.75">
      <c r="A1746" s="22"/>
      <c r="D1746" s="19"/>
      <c r="H1746" s="18"/>
      <c r="J1746" s="18"/>
      <c r="N1746" s="16"/>
      <c r="O1746" s="17"/>
      <c r="Q1746" s="22"/>
      <c r="R1746" s="23"/>
    </row>
    <row r="1747" spans="1:18" ht="12.75">
      <c r="A1747" s="22"/>
      <c r="D1747" s="19"/>
      <c r="H1747" s="18"/>
      <c r="J1747" s="18"/>
      <c r="N1747" s="16"/>
      <c r="O1747" s="17"/>
      <c r="Q1747" s="22"/>
      <c r="R1747" s="23"/>
    </row>
    <row r="1748" spans="1:18" ht="12.75">
      <c r="A1748" s="22"/>
      <c r="D1748" s="19"/>
      <c r="H1748" s="18"/>
      <c r="J1748" s="18"/>
      <c r="N1748" s="16"/>
      <c r="O1748" s="17"/>
      <c r="Q1748" s="22"/>
      <c r="R1748" s="23"/>
    </row>
    <row r="1749" spans="1:18" ht="12.75">
      <c r="A1749" s="22"/>
      <c r="D1749" s="19"/>
      <c r="H1749" s="18"/>
      <c r="J1749" s="18"/>
      <c r="N1749" s="16"/>
      <c r="O1749" s="17"/>
      <c r="Q1749" s="22"/>
      <c r="R1749" s="23"/>
    </row>
    <row r="1750" spans="1:18" ht="12.75">
      <c r="A1750" s="22"/>
      <c r="D1750" s="19"/>
      <c r="H1750" s="18"/>
      <c r="J1750" s="18"/>
      <c r="N1750" s="16"/>
      <c r="O1750" s="17"/>
      <c r="Q1750" s="22"/>
      <c r="R1750" s="23"/>
    </row>
    <row r="1751" spans="1:18" ht="12.75">
      <c r="A1751" s="22"/>
      <c r="D1751" s="19"/>
      <c r="H1751" s="18"/>
      <c r="J1751" s="18"/>
      <c r="N1751" s="16"/>
      <c r="O1751" s="17"/>
      <c r="Q1751" s="22"/>
      <c r="R1751" s="23"/>
    </row>
    <row r="1752" spans="1:18" ht="12.75">
      <c r="A1752" s="22"/>
      <c r="D1752" s="19"/>
      <c r="H1752" s="18"/>
      <c r="J1752" s="18"/>
      <c r="N1752" s="16"/>
      <c r="O1752" s="17"/>
      <c r="Q1752" s="22"/>
      <c r="R1752" s="23"/>
    </row>
    <row r="1753" spans="1:18" ht="12.75">
      <c r="A1753" s="22"/>
      <c r="D1753" s="19"/>
      <c r="H1753" s="18"/>
      <c r="J1753" s="18"/>
      <c r="N1753" s="16"/>
      <c r="O1753" s="17"/>
      <c r="Q1753" s="22"/>
      <c r="R1753" s="23"/>
    </row>
    <row r="1754" spans="1:18" ht="12.75">
      <c r="A1754" s="22"/>
      <c r="D1754" s="19"/>
      <c r="H1754" s="18"/>
      <c r="J1754" s="18"/>
      <c r="N1754" s="16"/>
      <c r="O1754" s="17"/>
      <c r="Q1754" s="22"/>
      <c r="R1754" s="23"/>
    </row>
    <row r="1755" spans="1:18" ht="12.75">
      <c r="A1755" s="22"/>
      <c r="D1755" s="19"/>
      <c r="H1755" s="18"/>
      <c r="J1755" s="18"/>
      <c r="N1755" s="16"/>
      <c r="O1755" s="17"/>
      <c r="Q1755" s="22"/>
      <c r="R1755" s="23"/>
    </row>
    <row r="1756" spans="1:18" ht="12.75">
      <c r="A1756" s="22"/>
      <c r="D1756" s="19"/>
      <c r="H1756" s="18"/>
      <c r="J1756" s="18"/>
      <c r="N1756" s="16"/>
      <c r="O1756" s="17"/>
      <c r="Q1756" s="22"/>
      <c r="R1756" s="23"/>
    </row>
    <row r="1757" spans="1:18" ht="12.75">
      <c r="A1757" s="22"/>
      <c r="D1757" s="19"/>
      <c r="H1757" s="18"/>
      <c r="J1757" s="18"/>
      <c r="N1757" s="16"/>
      <c r="O1757" s="17"/>
      <c r="Q1757" s="22"/>
      <c r="R1757" s="23"/>
    </row>
    <row r="1758" spans="1:18" ht="12.75">
      <c r="A1758" s="22"/>
      <c r="D1758" s="19"/>
      <c r="H1758" s="18"/>
      <c r="J1758" s="18"/>
      <c r="N1758" s="16"/>
      <c r="O1758" s="17"/>
      <c r="Q1758" s="22"/>
      <c r="R1758" s="23"/>
    </row>
    <row r="1759" spans="1:18" ht="12.75">
      <c r="A1759" s="22"/>
      <c r="D1759" s="19"/>
      <c r="H1759" s="18"/>
      <c r="J1759" s="18"/>
      <c r="N1759" s="16"/>
      <c r="O1759" s="17"/>
      <c r="Q1759" s="22"/>
      <c r="R1759" s="23"/>
    </row>
    <row r="1760" spans="1:18" ht="12.75">
      <c r="A1760" s="22"/>
      <c r="D1760" s="19"/>
      <c r="H1760" s="18"/>
      <c r="J1760" s="18"/>
      <c r="N1760" s="16"/>
      <c r="O1760" s="17"/>
      <c r="Q1760" s="22"/>
      <c r="R1760" s="23"/>
    </row>
    <row r="1761" spans="1:18" ht="12.75">
      <c r="A1761" s="22"/>
      <c r="D1761" s="19"/>
      <c r="H1761" s="18"/>
      <c r="J1761" s="18"/>
      <c r="N1761" s="16"/>
      <c r="O1761" s="17"/>
      <c r="Q1761" s="22"/>
      <c r="R1761" s="23"/>
    </row>
    <row r="1762" spans="1:18" ht="12.75">
      <c r="A1762" s="22"/>
      <c r="D1762" s="19"/>
      <c r="H1762" s="18"/>
      <c r="J1762" s="18"/>
      <c r="N1762" s="16"/>
      <c r="O1762" s="17"/>
      <c r="Q1762" s="22"/>
      <c r="R1762" s="23"/>
    </row>
    <row r="1763" spans="1:18" ht="12.75">
      <c r="A1763" s="22"/>
      <c r="D1763" s="19"/>
      <c r="H1763" s="18"/>
      <c r="J1763" s="18"/>
      <c r="N1763" s="16"/>
      <c r="O1763" s="17"/>
      <c r="Q1763" s="22"/>
      <c r="R1763" s="23"/>
    </row>
    <row r="1764" spans="1:18" ht="12.75">
      <c r="A1764" s="22"/>
      <c r="D1764" s="19"/>
      <c r="H1764" s="18"/>
      <c r="J1764" s="18"/>
      <c r="N1764" s="16"/>
      <c r="O1764" s="17"/>
      <c r="Q1764" s="22"/>
      <c r="R1764" s="23"/>
    </row>
    <row r="1765" spans="1:18" ht="12.75">
      <c r="A1765" s="22"/>
      <c r="D1765" s="19"/>
      <c r="H1765" s="18"/>
      <c r="J1765" s="18"/>
      <c r="N1765" s="16"/>
      <c r="O1765" s="17"/>
      <c r="Q1765" s="22"/>
      <c r="R1765" s="23"/>
    </row>
    <row r="1766" spans="1:18" ht="12.75">
      <c r="A1766" s="22"/>
      <c r="D1766" s="19"/>
      <c r="H1766" s="18"/>
      <c r="J1766" s="18"/>
      <c r="N1766" s="16"/>
      <c r="O1766" s="17"/>
      <c r="Q1766" s="22"/>
      <c r="R1766" s="23"/>
    </row>
    <row r="1767" spans="1:18" ht="12.75">
      <c r="A1767" s="22"/>
      <c r="D1767" s="19"/>
      <c r="H1767" s="18"/>
      <c r="J1767" s="18"/>
      <c r="N1767" s="16"/>
      <c r="O1767" s="17"/>
      <c r="Q1767" s="22"/>
      <c r="R1767" s="23"/>
    </row>
    <row r="1768" spans="1:18" ht="12.75">
      <c r="A1768" s="22"/>
      <c r="D1768" s="19"/>
      <c r="H1768" s="18"/>
      <c r="J1768" s="18"/>
      <c r="N1768" s="16"/>
      <c r="O1768" s="17"/>
      <c r="Q1768" s="22"/>
      <c r="R1768" s="23"/>
    </row>
    <row r="1769" spans="1:18" ht="12.75">
      <c r="A1769" s="22"/>
      <c r="D1769" s="19"/>
      <c r="H1769" s="18"/>
      <c r="J1769" s="18"/>
      <c r="N1769" s="16"/>
      <c r="O1769" s="17"/>
      <c r="Q1769" s="22"/>
      <c r="R1769" s="23"/>
    </row>
    <row r="1770" spans="1:18" ht="12.75">
      <c r="A1770" s="22"/>
      <c r="D1770" s="19"/>
      <c r="H1770" s="18"/>
      <c r="J1770" s="18"/>
      <c r="N1770" s="16"/>
      <c r="O1770" s="17"/>
      <c r="Q1770" s="22"/>
      <c r="R1770" s="23"/>
    </row>
    <row r="1771" spans="1:18" ht="12.75">
      <c r="A1771" s="22"/>
      <c r="D1771" s="19"/>
      <c r="H1771" s="18"/>
      <c r="J1771" s="18"/>
      <c r="N1771" s="16"/>
      <c r="O1771" s="17"/>
      <c r="Q1771" s="22"/>
      <c r="R1771" s="23"/>
    </row>
    <row r="1772" spans="1:18" ht="12.75">
      <c r="A1772" s="22"/>
      <c r="D1772" s="19"/>
      <c r="H1772" s="18"/>
      <c r="J1772" s="18"/>
      <c r="N1772" s="16"/>
      <c r="O1772" s="17"/>
      <c r="Q1772" s="22"/>
      <c r="R1772" s="23"/>
    </row>
    <row r="1773" spans="1:18" ht="12.75">
      <c r="A1773" s="22"/>
      <c r="D1773" s="19"/>
      <c r="H1773" s="18"/>
      <c r="J1773" s="18"/>
      <c r="N1773" s="16"/>
      <c r="O1773" s="17"/>
      <c r="Q1773" s="22"/>
      <c r="R1773" s="23"/>
    </row>
    <row r="1774" spans="1:18" ht="12.75">
      <c r="A1774" s="22"/>
      <c r="D1774" s="19"/>
      <c r="H1774" s="18"/>
      <c r="J1774" s="18"/>
      <c r="N1774" s="16"/>
      <c r="O1774" s="17"/>
      <c r="Q1774" s="22"/>
      <c r="R1774" s="23"/>
    </row>
    <row r="1775" spans="1:18" ht="12.75">
      <c r="A1775" s="22"/>
      <c r="D1775" s="19"/>
      <c r="H1775" s="18"/>
      <c r="J1775" s="18"/>
      <c r="N1775" s="16"/>
      <c r="O1775" s="17"/>
      <c r="Q1775" s="22"/>
      <c r="R1775" s="23"/>
    </row>
    <row r="1776" spans="1:18" ht="12.75">
      <c r="A1776" s="22"/>
      <c r="D1776" s="19"/>
      <c r="H1776" s="18"/>
      <c r="J1776" s="18"/>
      <c r="N1776" s="16"/>
      <c r="O1776" s="17"/>
      <c r="Q1776" s="22"/>
      <c r="R1776" s="23"/>
    </row>
    <row r="1777" spans="1:18" ht="12.75">
      <c r="A1777" s="22"/>
      <c r="D1777" s="19"/>
      <c r="H1777" s="18"/>
      <c r="J1777" s="18"/>
      <c r="N1777" s="16"/>
      <c r="O1777" s="17"/>
      <c r="Q1777" s="22"/>
      <c r="R1777" s="23"/>
    </row>
    <row r="1778" spans="1:18" ht="12.75">
      <c r="A1778" s="22"/>
      <c r="D1778" s="19"/>
      <c r="H1778" s="18"/>
      <c r="J1778" s="18"/>
      <c r="N1778" s="16"/>
      <c r="O1778" s="17"/>
      <c r="Q1778" s="22"/>
      <c r="R1778" s="23"/>
    </row>
    <row r="1779" spans="1:18" ht="12.75">
      <c r="A1779" s="22"/>
      <c r="D1779" s="19"/>
      <c r="H1779" s="18"/>
      <c r="J1779" s="18"/>
      <c r="N1779" s="16"/>
      <c r="O1779" s="17"/>
      <c r="Q1779" s="22"/>
      <c r="R1779" s="23"/>
    </row>
    <row r="1780" spans="1:18" ht="12.75">
      <c r="A1780" s="22"/>
      <c r="D1780" s="19"/>
      <c r="H1780" s="18"/>
      <c r="J1780" s="18"/>
      <c r="N1780" s="16"/>
      <c r="O1780" s="17"/>
      <c r="Q1780" s="22"/>
      <c r="R1780" s="23"/>
    </row>
    <row r="1781" spans="1:18" ht="12.75">
      <c r="A1781" s="22"/>
      <c r="D1781" s="19"/>
      <c r="H1781" s="18"/>
      <c r="J1781" s="18"/>
      <c r="N1781" s="16"/>
      <c r="O1781" s="17"/>
      <c r="Q1781" s="22"/>
      <c r="R1781" s="23"/>
    </row>
    <row r="1782" spans="1:18" ht="12.75">
      <c r="A1782" s="22"/>
      <c r="D1782" s="19"/>
      <c r="H1782" s="18"/>
      <c r="J1782" s="18"/>
      <c r="N1782" s="16"/>
      <c r="O1782" s="17"/>
      <c r="Q1782" s="22"/>
      <c r="R1782" s="23"/>
    </row>
    <row r="1783" spans="1:18" ht="12.75">
      <c r="A1783" s="22"/>
      <c r="D1783" s="19"/>
      <c r="H1783" s="18"/>
      <c r="J1783" s="18"/>
      <c r="N1783" s="16"/>
      <c r="O1783" s="17"/>
      <c r="Q1783" s="22"/>
      <c r="R1783" s="23"/>
    </row>
    <row r="1784" spans="1:18" ht="12.75">
      <c r="A1784" s="22"/>
      <c r="D1784" s="19"/>
      <c r="H1784" s="18"/>
      <c r="J1784" s="18"/>
      <c r="N1784" s="16"/>
      <c r="O1784" s="17"/>
      <c r="Q1784" s="22"/>
      <c r="R1784" s="23"/>
    </row>
    <row r="1785" spans="1:18" ht="12.75">
      <c r="A1785" s="22"/>
      <c r="D1785" s="19"/>
      <c r="H1785" s="18"/>
      <c r="J1785" s="18"/>
      <c r="N1785" s="16"/>
      <c r="O1785" s="17"/>
      <c r="Q1785" s="22"/>
      <c r="R1785" s="23"/>
    </row>
    <row r="1786" spans="1:18" ht="12.75">
      <c r="A1786" s="22"/>
      <c r="D1786" s="19"/>
      <c r="H1786" s="18"/>
      <c r="J1786" s="18"/>
      <c r="N1786" s="16"/>
      <c r="O1786" s="17"/>
      <c r="Q1786" s="22"/>
      <c r="R1786" s="23"/>
    </row>
    <row r="1787" spans="1:18" ht="12.75">
      <c r="A1787" s="22"/>
      <c r="D1787" s="19"/>
      <c r="H1787" s="18"/>
      <c r="J1787" s="18"/>
      <c r="N1787" s="16"/>
      <c r="O1787" s="17"/>
      <c r="Q1787" s="22"/>
      <c r="R1787" s="23"/>
    </row>
    <row r="1788" spans="1:18" ht="12.75">
      <c r="A1788" s="22"/>
      <c r="D1788" s="19"/>
      <c r="H1788" s="18"/>
      <c r="J1788" s="18"/>
      <c r="N1788" s="16"/>
      <c r="O1788" s="17"/>
      <c r="Q1788" s="22"/>
      <c r="R1788" s="23"/>
    </row>
    <row r="1789" spans="1:18" ht="12.75">
      <c r="A1789" s="22"/>
      <c r="D1789" s="19"/>
      <c r="H1789" s="18"/>
      <c r="J1789" s="18"/>
      <c r="N1789" s="16"/>
      <c r="O1789" s="17"/>
      <c r="Q1789" s="22"/>
      <c r="R1789" s="23"/>
    </row>
    <row r="1790" spans="1:18" ht="12.75">
      <c r="A1790" s="22"/>
      <c r="D1790" s="19"/>
      <c r="H1790" s="18"/>
      <c r="J1790" s="18"/>
      <c r="N1790" s="16"/>
      <c r="O1790" s="17"/>
      <c r="Q1790" s="22"/>
      <c r="R1790" s="23"/>
    </row>
    <row r="1791" spans="1:18" ht="12.75">
      <c r="A1791" s="22"/>
      <c r="D1791" s="19"/>
      <c r="H1791" s="18"/>
      <c r="J1791" s="18"/>
      <c r="N1791" s="16"/>
      <c r="O1791" s="17"/>
      <c r="Q1791" s="22"/>
      <c r="R1791" s="23"/>
    </row>
    <row r="1792" spans="1:18" ht="12.75">
      <c r="A1792" s="22"/>
      <c r="D1792" s="19"/>
      <c r="H1792" s="18"/>
      <c r="J1792" s="18"/>
      <c r="N1792" s="16"/>
      <c r="O1792" s="17"/>
      <c r="Q1792" s="22"/>
      <c r="R1792" s="23"/>
    </row>
    <row r="1793" spans="1:18" ht="12.75">
      <c r="A1793" s="22"/>
      <c r="D1793" s="19"/>
      <c r="H1793" s="18"/>
      <c r="J1793" s="18"/>
      <c r="N1793" s="16"/>
      <c r="O1793" s="17"/>
      <c r="Q1793" s="22"/>
      <c r="R1793" s="23"/>
    </row>
    <row r="1794" spans="1:18" ht="12.75">
      <c r="A1794" s="22"/>
      <c r="D1794" s="19"/>
      <c r="H1794" s="18"/>
      <c r="J1794" s="18"/>
      <c r="N1794" s="16"/>
      <c r="O1794" s="17"/>
      <c r="Q1794" s="22"/>
      <c r="R1794" s="23"/>
    </row>
    <row r="1795" spans="1:18" ht="12.75">
      <c r="A1795" s="22"/>
      <c r="D1795" s="19"/>
      <c r="H1795" s="18"/>
      <c r="J1795" s="18"/>
      <c r="N1795" s="16"/>
      <c r="O1795" s="17"/>
      <c r="Q1795" s="22"/>
      <c r="R1795" s="23"/>
    </row>
    <row r="1796" spans="1:18" ht="12.75">
      <c r="A1796" s="22"/>
      <c r="D1796" s="19"/>
      <c r="H1796" s="18"/>
      <c r="J1796" s="18"/>
      <c r="N1796" s="16"/>
      <c r="O1796" s="17"/>
      <c r="Q1796" s="22"/>
      <c r="R1796" s="23"/>
    </row>
    <row r="1797" spans="1:18" ht="12.75">
      <c r="A1797" s="22"/>
      <c r="D1797" s="19"/>
      <c r="H1797" s="18"/>
      <c r="J1797" s="18"/>
      <c r="N1797" s="16"/>
      <c r="O1797" s="17"/>
      <c r="Q1797" s="22"/>
      <c r="R1797" s="23"/>
    </row>
    <row r="1798" spans="1:18" ht="12.75">
      <c r="A1798" s="22"/>
      <c r="D1798" s="19"/>
      <c r="H1798" s="18"/>
      <c r="J1798" s="18"/>
      <c r="N1798" s="16"/>
      <c r="O1798" s="17"/>
      <c r="Q1798" s="22"/>
      <c r="R1798" s="23"/>
    </row>
    <row r="1799" spans="1:18" ht="12.75">
      <c r="A1799" s="22"/>
      <c r="D1799" s="19"/>
      <c r="H1799" s="18"/>
      <c r="J1799" s="18"/>
      <c r="N1799" s="16"/>
      <c r="O1799" s="17"/>
      <c r="Q1799" s="22"/>
      <c r="R1799" s="23"/>
    </row>
    <row r="1800" spans="1:18" ht="12.75">
      <c r="A1800" s="22"/>
      <c r="D1800" s="19"/>
      <c r="H1800" s="18"/>
      <c r="J1800" s="18"/>
      <c r="N1800" s="16"/>
      <c r="O1800" s="17"/>
      <c r="Q1800" s="22"/>
      <c r="R1800" s="23"/>
    </row>
    <row r="1801" spans="1:18" ht="12.75">
      <c r="A1801" s="22"/>
      <c r="D1801" s="19"/>
      <c r="H1801" s="18"/>
      <c r="J1801" s="18"/>
      <c r="N1801" s="16"/>
      <c r="O1801" s="17"/>
      <c r="Q1801" s="22"/>
      <c r="R1801" s="23"/>
    </row>
    <row r="1802" spans="1:18" ht="12.75">
      <c r="A1802" s="22"/>
      <c r="D1802" s="19"/>
      <c r="H1802" s="18"/>
      <c r="J1802" s="18"/>
      <c r="N1802" s="16"/>
      <c r="O1802" s="17"/>
      <c r="Q1802" s="22"/>
      <c r="R1802" s="23"/>
    </row>
    <row r="1803" spans="1:18" ht="12.75">
      <c r="A1803" s="22"/>
      <c r="D1803" s="19"/>
      <c r="H1803" s="18"/>
      <c r="J1803" s="18"/>
      <c r="N1803" s="16"/>
      <c r="O1803" s="17"/>
      <c r="Q1803" s="22"/>
      <c r="R1803" s="23"/>
    </row>
    <row r="1804" spans="1:18" ht="12.75">
      <c r="A1804" s="22"/>
      <c r="D1804" s="19"/>
      <c r="H1804" s="18"/>
      <c r="J1804" s="18"/>
      <c r="N1804" s="16"/>
      <c r="O1804" s="17"/>
      <c r="Q1804" s="22"/>
      <c r="R1804" s="23"/>
    </row>
    <row r="1805" spans="1:18" ht="12.75">
      <c r="A1805" s="22"/>
      <c r="D1805" s="19"/>
      <c r="H1805" s="18"/>
      <c r="J1805" s="18"/>
      <c r="N1805" s="16"/>
      <c r="O1805" s="17"/>
      <c r="Q1805" s="22"/>
      <c r="R1805" s="23"/>
    </row>
    <row r="1806" spans="1:18" ht="12.75">
      <c r="A1806" s="22"/>
      <c r="D1806" s="19"/>
      <c r="H1806" s="18"/>
      <c r="J1806" s="18"/>
      <c r="N1806" s="16"/>
      <c r="O1806" s="17"/>
      <c r="Q1806" s="22"/>
      <c r="R1806" s="23"/>
    </row>
    <row r="1807" spans="1:18" ht="12.75">
      <c r="A1807" s="22"/>
      <c r="D1807" s="19"/>
      <c r="H1807" s="18"/>
      <c r="J1807" s="18"/>
      <c r="N1807" s="16"/>
      <c r="O1807" s="17"/>
      <c r="Q1807" s="22"/>
      <c r="R1807" s="23"/>
    </row>
    <row r="1808" spans="1:18" ht="12.75">
      <c r="A1808" s="22"/>
      <c r="D1808" s="19"/>
      <c r="H1808" s="18"/>
      <c r="J1808" s="18"/>
      <c r="N1808" s="16"/>
      <c r="O1808" s="17"/>
      <c r="Q1808" s="22"/>
      <c r="R1808" s="23"/>
    </row>
    <row r="1809" spans="1:18" ht="12.75">
      <c r="A1809" s="22"/>
      <c r="D1809" s="19"/>
      <c r="H1809" s="18"/>
      <c r="J1809" s="18"/>
      <c r="N1809" s="16"/>
      <c r="O1809" s="17"/>
      <c r="Q1809" s="22"/>
      <c r="R1809" s="23"/>
    </row>
    <row r="1810" spans="1:18" ht="12.75">
      <c r="A1810" s="22"/>
      <c r="D1810" s="19"/>
      <c r="H1810" s="18"/>
      <c r="J1810" s="18"/>
      <c r="N1810" s="16"/>
      <c r="O1810" s="17"/>
      <c r="Q1810" s="22"/>
      <c r="R1810" s="23"/>
    </row>
    <row r="1811" spans="1:18" ht="12.75">
      <c r="A1811" s="22"/>
      <c r="D1811" s="19"/>
      <c r="H1811" s="18"/>
      <c r="J1811" s="18"/>
      <c r="N1811" s="16"/>
      <c r="O1811" s="17"/>
      <c r="Q1811" s="22"/>
      <c r="R1811" s="23"/>
    </row>
    <row r="1812" spans="1:18" ht="12.75">
      <c r="A1812" s="22"/>
      <c r="D1812" s="19"/>
      <c r="H1812" s="18"/>
      <c r="J1812" s="18"/>
      <c r="N1812" s="16"/>
      <c r="O1812" s="17"/>
      <c r="Q1812" s="22"/>
      <c r="R1812" s="23"/>
    </row>
    <row r="1813" spans="1:18" ht="12.75">
      <c r="A1813" s="22"/>
      <c r="D1813" s="19"/>
      <c r="H1813" s="18"/>
      <c r="J1813" s="18"/>
      <c r="N1813" s="16"/>
      <c r="O1813" s="17"/>
      <c r="Q1813" s="22"/>
      <c r="R1813" s="23"/>
    </row>
    <row r="1814" spans="1:18" ht="12.75">
      <c r="A1814" s="22"/>
      <c r="D1814" s="19"/>
      <c r="H1814" s="18"/>
      <c r="J1814" s="18"/>
      <c r="N1814" s="16"/>
      <c r="O1814" s="17"/>
      <c r="Q1814" s="22"/>
      <c r="R1814" s="23"/>
    </row>
    <row r="1815" spans="1:18" ht="12.75">
      <c r="A1815" s="22"/>
      <c r="D1815" s="19"/>
      <c r="H1815" s="18"/>
      <c r="J1815" s="18"/>
      <c r="N1815" s="16"/>
      <c r="O1815" s="17"/>
      <c r="Q1815" s="22"/>
      <c r="R1815" s="23"/>
    </row>
    <row r="1816" spans="1:18" ht="12.75">
      <c r="A1816" s="22"/>
      <c r="D1816" s="19"/>
      <c r="H1816" s="18"/>
      <c r="J1816" s="18"/>
      <c r="N1816" s="16"/>
      <c r="O1816" s="17"/>
      <c r="Q1816" s="22"/>
      <c r="R1816" s="23"/>
    </row>
    <row r="1817" spans="1:18" ht="12.75">
      <c r="A1817" s="22"/>
      <c r="D1817" s="19"/>
      <c r="H1817" s="18"/>
      <c r="J1817" s="18"/>
      <c r="N1817" s="16"/>
      <c r="O1817" s="17"/>
      <c r="Q1817" s="22"/>
      <c r="R1817" s="23"/>
    </row>
    <row r="1818" spans="1:18" ht="12.75">
      <c r="A1818" s="22"/>
      <c r="D1818" s="19"/>
      <c r="H1818" s="18"/>
      <c r="J1818" s="18"/>
      <c r="N1818" s="16"/>
      <c r="O1818" s="17"/>
      <c r="Q1818" s="22"/>
      <c r="R1818" s="23"/>
    </row>
    <row r="1819" spans="1:18" ht="12.75">
      <c r="A1819" s="22"/>
      <c r="D1819" s="19"/>
      <c r="H1819" s="18"/>
      <c r="J1819" s="18"/>
      <c r="N1819" s="16"/>
      <c r="O1819" s="17"/>
      <c r="Q1819" s="22"/>
      <c r="R1819" s="23"/>
    </row>
    <row r="1820" spans="1:18" ht="12.75">
      <c r="A1820" s="22"/>
      <c r="D1820" s="19"/>
      <c r="H1820" s="18"/>
      <c r="J1820" s="18"/>
      <c r="N1820" s="16"/>
      <c r="O1820" s="17"/>
      <c r="Q1820" s="22"/>
      <c r="R1820" s="23"/>
    </row>
    <row r="1821" spans="1:18" ht="12.75">
      <c r="A1821" s="22"/>
      <c r="D1821" s="19"/>
      <c r="H1821" s="18"/>
      <c r="J1821" s="18"/>
      <c r="N1821" s="16"/>
      <c r="O1821" s="17"/>
      <c r="Q1821" s="22"/>
      <c r="R1821" s="23"/>
    </row>
    <row r="1822" spans="1:18" ht="12.75">
      <c r="A1822" s="22"/>
      <c r="D1822" s="19"/>
      <c r="H1822" s="18"/>
      <c r="J1822" s="18"/>
      <c r="N1822" s="16"/>
      <c r="O1822" s="17"/>
      <c r="Q1822" s="22"/>
      <c r="R1822" s="23"/>
    </row>
    <row r="1823" spans="1:18" ht="12.75">
      <c r="A1823" s="22"/>
      <c r="D1823" s="19"/>
      <c r="H1823" s="18"/>
      <c r="J1823" s="18"/>
      <c r="N1823" s="16"/>
      <c r="O1823" s="17"/>
      <c r="Q1823" s="22"/>
      <c r="R1823" s="23"/>
    </row>
    <row r="1824" spans="1:18" ht="12.75">
      <c r="A1824" s="22"/>
      <c r="D1824" s="19"/>
      <c r="H1824" s="18"/>
      <c r="J1824" s="18"/>
      <c r="N1824" s="16"/>
      <c r="O1824" s="17"/>
      <c r="Q1824" s="22"/>
      <c r="R1824" s="23"/>
    </row>
    <row r="1825" spans="1:18" ht="12.75">
      <c r="A1825" s="22"/>
      <c r="D1825" s="19"/>
      <c r="H1825" s="18"/>
      <c r="J1825" s="18"/>
      <c r="N1825" s="16"/>
      <c r="O1825" s="17"/>
      <c r="Q1825" s="22"/>
      <c r="R1825" s="23"/>
    </row>
    <row r="1826" spans="1:18" ht="12.75">
      <c r="A1826" s="22"/>
      <c r="D1826" s="19"/>
      <c r="H1826" s="18"/>
      <c r="J1826" s="18"/>
      <c r="N1826" s="16"/>
      <c r="O1826" s="17"/>
      <c r="Q1826" s="22"/>
      <c r="R1826" s="23"/>
    </row>
    <row r="1827" spans="1:18" ht="12.75">
      <c r="A1827" s="22"/>
      <c r="D1827" s="19"/>
      <c r="H1827" s="18"/>
      <c r="J1827" s="18"/>
      <c r="N1827" s="16"/>
      <c r="O1827" s="17"/>
      <c r="Q1827" s="22"/>
      <c r="R1827" s="23"/>
    </row>
    <row r="1828" spans="1:18" ht="12.75">
      <c r="A1828" s="22"/>
      <c r="D1828" s="19"/>
      <c r="H1828" s="18"/>
      <c r="J1828" s="18"/>
      <c r="N1828" s="16"/>
      <c r="O1828" s="17"/>
      <c r="Q1828" s="22"/>
      <c r="R1828" s="23"/>
    </row>
    <row r="1829" spans="1:18" ht="12.75">
      <c r="A1829" s="22"/>
      <c r="D1829" s="19"/>
      <c r="H1829" s="18"/>
      <c r="J1829" s="18"/>
      <c r="N1829" s="16"/>
      <c r="O1829" s="17"/>
      <c r="Q1829" s="22"/>
      <c r="R1829" s="23"/>
    </row>
    <row r="1830" spans="1:18" ht="12.75">
      <c r="A1830" s="22"/>
      <c r="D1830" s="19"/>
      <c r="H1830" s="18"/>
      <c r="J1830" s="18"/>
      <c r="N1830" s="16"/>
      <c r="O1830" s="17"/>
      <c r="Q1830" s="22"/>
      <c r="R1830" s="23"/>
    </row>
    <row r="1831" spans="1:18" ht="12.75">
      <c r="A1831" s="22"/>
      <c r="D1831" s="19"/>
      <c r="H1831" s="18"/>
      <c r="J1831" s="18"/>
      <c r="N1831" s="16"/>
      <c r="O1831" s="17"/>
      <c r="Q1831" s="22"/>
      <c r="R1831" s="23"/>
    </row>
    <row r="1832" spans="1:18" ht="12.75">
      <c r="A1832" s="22"/>
      <c r="D1832" s="19"/>
      <c r="H1832" s="18"/>
      <c r="J1832" s="18"/>
      <c r="N1832" s="16"/>
      <c r="O1832" s="17"/>
      <c r="Q1832" s="22"/>
      <c r="R1832" s="23"/>
    </row>
    <row r="1833" spans="1:18" ht="12.75">
      <c r="A1833" s="22"/>
      <c r="D1833" s="19"/>
      <c r="H1833" s="18"/>
      <c r="J1833" s="18"/>
      <c r="N1833" s="16"/>
      <c r="O1833" s="17"/>
      <c r="Q1833" s="22"/>
      <c r="R1833" s="23"/>
    </row>
    <row r="1834" spans="1:18" ht="12.75">
      <c r="A1834" s="22"/>
      <c r="D1834" s="19"/>
      <c r="H1834" s="18"/>
      <c r="J1834" s="18"/>
      <c r="N1834" s="16"/>
      <c r="O1834" s="17"/>
      <c r="Q1834" s="22"/>
      <c r="R1834" s="23"/>
    </row>
    <row r="1835" spans="1:18" ht="12.75">
      <c r="A1835" s="22"/>
      <c r="D1835" s="19"/>
      <c r="H1835" s="18"/>
      <c r="J1835" s="18"/>
      <c r="N1835" s="16"/>
      <c r="O1835" s="17"/>
      <c r="Q1835" s="22"/>
      <c r="R1835" s="23"/>
    </row>
    <row r="1836" spans="1:18" ht="12.75">
      <c r="A1836" s="22"/>
      <c r="D1836" s="19"/>
      <c r="H1836" s="18"/>
      <c r="J1836" s="18"/>
      <c r="N1836" s="16"/>
      <c r="O1836" s="17"/>
      <c r="Q1836" s="22"/>
      <c r="R1836" s="23"/>
    </row>
    <row r="1837" spans="1:18" ht="12.75">
      <c r="A1837" s="22"/>
      <c r="D1837" s="19"/>
      <c r="H1837" s="18"/>
      <c r="J1837" s="18"/>
      <c r="N1837" s="16"/>
      <c r="O1837" s="17"/>
      <c r="Q1837" s="22"/>
      <c r="R1837" s="23"/>
    </row>
    <row r="1838" spans="1:18" ht="12.75">
      <c r="A1838" s="22"/>
      <c r="D1838" s="19"/>
      <c r="H1838" s="18"/>
      <c r="J1838" s="18"/>
      <c r="N1838" s="16"/>
      <c r="O1838" s="17"/>
      <c r="Q1838" s="22"/>
      <c r="R1838" s="23"/>
    </row>
    <row r="1839" spans="1:18" ht="12.75">
      <c r="A1839" s="22"/>
      <c r="D1839" s="19"/>
      <c r="H1839" s="18"/>
      <c r="J1839" s="18"/>
      <c r="N1839" s="16"/>
      <c r="O1839" s="17"/>
      <c r="Q1839" s="22"/>
      <c r="R1839" s="23"/>
    </row>
    <row r="1840" spans="1:18" ht="12.75">
      <c r="A1840" s="22"/>
      <c r="D1840" s="19"/>
      <c r="H1840" s="18"/>
      <c r="J1840" s="18"/>
      <c r="N1840" s="16"/>
      <c r="O1840" s="17"/>
      <c r="Q1840" s="22"/>
      <c r="R1840" s="23"/>
    </row>
    <row r="1841" spans="1:18" ht="12.75">
      <c r="A1841" s="22"/>
      <c r="D1841" s="19"/>
      <c r="H1841" s="18"/>
      <c r="J1841" s="18"/>
      <c r="N1841" s="16"/>
      <c r="O1841" s="17"/>
      <c r="Q1841" s="22"/>
      <c r="R1841" s="23"/>
    </row>
    <row r="1842" spans="1:18" ht="12.75">
      <c r="A1842" s="22"/>
      <c r="D1842" s="19"/>
      <c r="H1842" s="18"/>
      <c r="J1842" s="18"/>
      <c r="N1842" s="16"/>
      <c r="O1842" s="17"/>
      <c r="Q1842" s="22"/>
      <c r="R1842" s="23"/>
    </row>
    <row r="1843" spans="1:18" ht="12.75">
      <c r="A1843" s="22"/>
      <c r="D1843" s="19"/>
      <c r="H1843" s="18"/>
      <c r="J1843" s="18"/>
      <c r="N1843" s="16"/>
      <c r="O1843" s="17"/>
      <c r="Q1843" s="22"/>
      <c r="R1843" s="23"/>
    </row>
    <row r="1844" spans="1:18" ht="12.75">
      <c r="A1844" s="22"/>
      <c r="D1844" s="19"/>
      <c r="H1844" s="18"/>
      <c r="J1844" s="18"/>
      <c r="N1844" s="16"/>
      <c r="O1844" s="17"/>
      <c r="Q1844" s="22"/>
      <c r="R1844" s="23"/>
    </row>
    <row r="1845" spans="1:18" ht="12.75">
      <c r="A1845" s="22"/>
      <c r="D1845" s="19"/>
      <c r="H1845" s="18"/>
      <c r="J1845" s="18"/>
      <c r="N1845" s="16"/>
      <c r="O1845" s="17"/>
      <c r="Q1845" s="22"/>
      <c r="R1845" s="23"/>
    </row>
    <row r="1846" spans="1:18" ht="12.75">
      <c r="A1846" s="22"/>
      <c r="D1846" s="19"/>
      <c r="H1846" s="18"/>
      <c r="J1846" s="18"/>
      <c r="N1846" s="16"/>
      <c r="O1846" s="17"/>
      <c r="Q1846" s="22"/>
      <c r="R1846" s="23"/>
    </row>
    <row r="1847" spans="1:18" ht="12.75">
      <c r="A1847" s="22"/>
      <c r="D1847" s="19"/>
      <c r="H1847" s="18"/>
      <c r="J1847" s="18"/>
      <c r="N1847" s="16"/>
      <c r="O1847" s="17"/>
      <c r="Q1847" s="22"/>
      <c r="R1847" s="23"/>
    </row>
    <row r="1848" spans="1:18" ht="12.75">
      <c r="A1848" s="22"/>
      <c r="D1848" s="19"/>
      <c r="H1848" s="18"/>
      <c r="J1848" s="18"/>
      <c r="N1848" s="16"/>
      <c r="O1848" s="17"/>
      <c r="Q1848" s="22"/>
      <c r="R1848" s="23"/>
    </row>
    <row r="1849" spans="1:18" ht="12.75">
      <c r="A1849" s="22"/>
      <c r="D1849" s="19"/>
      <c r="H1849" s="18"/>
      <c r="J1849" s="18"/>
      <c r="N1849" s="16"/>
      <c r="O1849" s="17"/>
      <c r="Q1849" s="22"/>
      <c r="R1849" s="23"/>
    </row>
    <row r="1850" spans="1:18" ht="12.75">
      <c r="A1850" s="22"/>
      <c r="D1850" s="19"/>
      <c r="H1850" s="18"/>
      <c r="J1850" s="18"/>
      <c r="N1850" s="16"/>
      <c r="O1850" s="17"/>
      <c r="Q1850" s="22"/>
      <c r="R1850" s="23"/>
    </row>
    <row r="1851" spans="1:18" ht="12.75">
      <c r="A1851" s="22"/>
      <c r="D1851" s="19"/>
      <c r="H1851" s="18"/>
      <c r="J1851" s="18"/>
      <c r="N1851" s="16"/>
      <c r="O1851" s="17"/>
      <c r="Q1851" s="22"/>
      <c r="R1851" s="23"/>
    </row>
    <row r="1852" spans="1:18" ht="12.75">
      <c r="A1852" s="22"/>
      <c r="D1852" s="19"/>
      <c r="H1852" s="18"/>
      <c r="J1852" s="18"/>
      <c r="N1852" s="16"/>
      <c r="O1852" s="17"/>
      <c r="Q1852" s="22"/>
      <c r="R1852" s="23"/>
    </row>
    <row r="1853" spans="1:18" ht="12.75">
      <c r="A1853" s="22"/>
      <c r="D1853" s="19"/>
      <c r="H1853" s="18"/>
      <c r="J1853" s="18"/>
      <c r="N1853" s="16"/>
      <c r="O1853" s="17"/>
      <c r="Q1853" s="22"/>
      <c r="R1853" s="23"/>
    </row>
    <row r="1854" spans="1:18" ht="12.75">
      <c r="A1854" s="22"/>
      <c r="D1854" s="19"/>
      <c r="H1854" s="18"/>
      <c r="J1854" s="18"/>
      <c r="N1854" s="16"/>
      <c r="O1854" s="17"/>
      <c r="Q1854" s="22"/>
      <c r="R1854" s="23"/>
    </row>
    <row r="1855" spans="1:18" ht="12.75">
      <c r="A1855" s="22"/>
      <c r="D1855" s="19"/>
      <c r="H1855" s="18"/>
      <c r="J1855" s="18"/>
      <c r="N1855" s="16"/>
      <c r="O1855" s="17"/>
      <c r="Q1855" s="22"/>
      <c r="R1855" s="23"/>
    </row>
    <row r="1856" spans="1:18" ht="12.75">
      <c r="A1856" s="22"/>
      <c r="D1856" s="19"/>
      <c r="H1856" s="18"/>
      <c r="J1856" s="18"/>
      <c r="N1856" s="16"/>
      <c r="O1856" s="17"/>
      <c r="Q1856" s="22"/>
      <c r="R1856" s="23"/>
    </row>
    <row r="1857" spans="1:18" ht="12.75">
      <c r="A1857" s="22"/>
      <c r="D1857" s="19"/>
      <c r="H1857" s="18"/>
      <c r="J1857" s="18"/>
      <c r="N1857" s="16"/>
      <c r="O1857" s="17"/>
      <c r="Q1857" s="22"/>
      <c r="R1857" s="23"/>
    </row>
    <row r="1858" spans="1:18" ht="12.75">
      <c r="A1858" s="22"/>
      <c r="D1858" s="19"/>
      <c r="H1858" s="18"/>
      <c r="J1858" s="18"/>
      <c r="N1858" s="16"/>
      <c r="O1858" s="17"/>
      <c r="Q1858" s="22"/>
      <c r="R1858" s="23"/>
    </row>
    <row r="1859" spans="1:18" ht="12.75">
      <c r="A1859" s="22"/>
      <c r="D1859" s="19"/>
      <c r="H1859" s="18"/>
      <c r="J1859" s="18"/>
      <c r="N1859" s="16"/>
      <c r="O1859" s="17"/>
      <c r="Q1859" s="22"/>
      <c r="R1859" s="23"/>
    </row>
    <row r="1860" spans="1:18" ht="12.75">
      <c r="A1860" s="22"/>
      <c r="D1860" s="19"/>
      <c r="H1860" s="18"/>
      <c r="J1860" s="18"/>
      <c r="N1860" s="16"/>
      <c r="O1860" s="17"/>
      <c r="Q1860" s="22"/>
      <c r="R1860" s="23"/>
    </row>
    <row r="1861" spans="1:18" ht="12.75">
      <c r="A1861" s="22"/>
      <c r="D1861" s="19"/>
      <c r="H1861" s="18"/>
      <c r="J1861" s="18"/>
      <c r="N1861" s="16"/>
      <c r="O1861" s="17"/>
      <c r="Q1861" s="22"/>
      <c r="R1861" s="23"/>
    </row>
    <row r="1862" spans="1:18" ht="12.75">
      <c r="A1862" s="22"/>
      <c r="D1862" s="19"/>
      <c r="H1862" s="18"/>
      <c r="J1862" s="18"/>
      <c r="N1862" s="16"/>
      <c r="O1862" s="17"/>
      <c r="Q1862" s="22"/>
      <c r="R1862" s="23"/>
    </row>
    <row r="1863" spans="1:18" ht="12.75">
      <c r="A1863" s="22"/>
      <c r="D1863" s="19"/>
      <c r="H1863" s="18"/>
      <c r="J1863" s="18"/>
      <c r="N1863" s="16"/>
      <c r="O1863" s="17"/>
      <c r="Q1863" s="22"/>
      <c r="R1863" s="23"/>
    </row>
    <row r="1864" spans="1:18" ht="12.75">
      <c r="A1864" s="22"/>
      <c r="D1864" s="19"/>
      <c r="H1864" s="18"/>
      <c r="J1864" s="18"/>
      <c r="N1864" s="16"/>
      <c r="O1864" s="17"/>
      <c r="Q1864" s="22"/>
      <c r="R1864" s="23"/>
    </row>
    <row r="1865" spans="1:18" ht="12.75">
      <c r="A1865" s="22"/>
      <c r="D1865" s="19"/>
      <c r="H1865" s="18"/>
      <c r="J1865" s="18"/>
      <c r="N1865" s="16"/>
      <c r="O1865" s="17"/>
      <c r="Q1865" s="22"/>
      <c r="R1865" s="23"/>
    </row>
    <row r="1866" spans="1:18" ht="12.75">
      <c r="A1866" s="22"/>
      <c r="D1866" s="19"/>
      <c r="H1866" s="18"/>
      <c r="J1866" s="18"/>
      <c r="N1866" s="16"/>
      <c r="O1866" s="17"/>
      <c r="Q1866" s="22"/>
      <c r="R1866" s="23"/>
    </row>
    <row r="1867" spans="1:18" ht="12.75">
      <c r="A1867" s="22"/>
      <c r="D1867" s="19"/>
      <c r="H1867" s="18"/>
      <c r="J1867" s="18"/>
      <c r="N1867" s="16"/>
      <c r="O1867" s="17"/>
      <c r="Q1867" s="22"/>
      <c r="R1867" s="23"/>
    </row>
    <row r="1868" spans="1:18" ht="12.75">
      <c r="A1868" s="22"/>
      <c r="D1868" s="19"/>
      <c r="H1868" s="18"/>
      <c r="J1868" s="18"/>
      <c r="N1868" s="16"/>
      <c r="O1868" s="17"/>
      <c r="Q1868" s="22"/>
      <c r="R1868" s="23"/>
    </row>
    <row r="1869" spans="1:18" ht="12.75">
      <c r="A1869" s="22"/>
      <c r="D1869" s="19"/>
      <c r="H1869" s="18"/>
      <c r="J1869" s="18"/>
      <c r="N1869" s="16"/>
      <c r="O1869" s="17"/>
      <c r="Q1869" s="22"/>
      <c r="R1869" s="23"/>
    </row>
    <row r="1870" spans="1:18" ht="12.75">
      <c r="A1870" s="22"/>
      <c r="D1870" s="19"/>
      <c r="H1870" s="18"/>
      <c r="J1870" s="18"/>
      <c r="N1870" s="16"/>
      <c r="O1870" s="17"/>
      <c r="Q1870" s="22"/>
      <c r="R1870" s="23"/>
    </row>
    <row r="1871" spans="1:18" ht="12.75">
      <c r="A1871" s="22"/>
      <c r="D1871" s="19"/>
      <c r="H1871" s="18"/>
      <c r="J1871" s="18"/>
      <c r="N1871" s="16"/>
      <c r="O1871" s="17"/>
      <c r="Q1871" s="22"/>
      <c r="R1871" s="23"/>
    </row>
    <row r="1872" spans="1:18" ht="12.75">
      <c r="A1872" s="22"/>
      <c r="D1872" s="19"/>
      <c r="H1872" s="18"/>
      <c r="J1872" s="18"/>
      <c r="N1872" s="16"/>
      <c r="O1872" s="17"/>
      <c r="Q1872" s="22"/>
      <c r="R1872" s="23"/>
    </row>
    <row r="1873" spans="1:18" ht="12.75">
      <c r="A1873" s="22"/>
      <c r="D1873" s="19"/>
      <c r="H1873" s="18"/>
      <c r="J1873" s="18"/>
      <c r="N1873" s="16"/>
      <c r="O1873" s="17"/>
      <c r="Q1873" s="22"/>
      <c r="R1873" s="23"/>
    </row>
    <row r="1874" spans="1:18" ht="12.75">
      <c r="A1874" s="22"/>
      <c r="D1874" s="19"/>
      <c r="H1874" s="18"/>
      <c r="J1874" s="18"/>
      <c r="N1874" s="16"/>
      <c r="O1874" s="17"/>
      <c r="Q1874" s="22"/>
      <c r="R1874" s="23"/>
    </row>
    <row r="1875" spans="1:18" ht="12.75">
      <c r="A1875" s="22"/>
      <c r="D1875" s="19"/>
      <c r="H1875" s="18"/>
      <c r="J1875" s="18"/>
      <c r="N1875" s="16"/>
      <c r="O1875" s="17"/>
      <c r="Q1875" s="22"/>
      <c r="R1875" s="23"/>
    </row>
    <row r="1876" spans="1:18" ht="12.75">
      <c r="A1876" s="22"/>
      <c r="D1876" s="19"/>
      <c r="H1876" s="18"/>
      <c r="J1876" s="18"/>
      <c r="N1876" s="16"/>
      <c r="O1876" s="17"/>
      <c r="Q1876" s="22"/>
      <c r="R1876" s="23"/>
    </row>
    <row r="1877" spans="1:18" ht="12.75">
      <c r="A1877" s="22"/>
      <c r="D1877" s="19"/>
      <c r="H1877" s="18"/>
      <c r="J1877" s="18"/>
      <c r="N1877" s="16"/>
      <c r="O1877" s="17"/>
      <c r="Q1877" s="22"/>
      <c r="R1877" s="23"/>
    </row>
    <row r="1878" spans="1:18" ht="12.75">
      <c r="A1878" s="22"/>
      <c r="D1878" s="19"/>
      <c r="H1878" s="18"/>
      <c r="J1878" s="18"/>
      <c r="N1878" s="16"/>
      <c r="O1878" s="17"/>
      <c r="Q1878" s="22"/>
      <c r="R1878" s="23"/>
    </row>
    <row r="1879" spans="1:18" ht="12.75">
      <c r="A1879" s="22"/>
      <c r="D1879" s="19"/>
      <c r="H1879" s="18"/>
      <c r="J1879" s="18"/>
      <c r="N1879" s="16"/>
      <c r="O1879" s="17"/>
      <c r="Q1879" s="22"/>
      <c r="R1879" s="23"/>
    </row>
    <row r="1880" spans="1:18" ht="12.75">
      <c r="A1880" s="22"/>
      <c r="D1880" s="19"/>
      <c r="H1880" s="18"/>
      <c r="J1880" s="18"/>
      <c r="N1880" s="16"/>
      <c r="O1880" s="17"/>
      <c r="Q1880" s="22"/>
      <c r="R1880" s="23"/>
    </row>
    <row r="1881" spans="1:18" ht="12.75">
      <c r="A1881" s="22"/>
      <c r="D1881" s="19"/>
      <c r="H1881" s="18"/>
      <c r="J1881" s="18"/>
      <c r="N1881" s="16"/>
      <c r="O1881" s="17"/>
      <c r="Q1881" s="22"/>
      <c r="R1881" s="23"/>
    </row>
    <row r="1882" spans="1:18" ht="12.75">
      <c r="A1882" s="22"/>
      <c r="D1882" s="19"/>
      <c r="H1882" s="18"/>
      <c r="J1882" s="18"/>
      <c r="N1882" s="16"/>
      <c r="O1882" s="17"/>
      <c r="Q1882" s="22"/>
      <c r="R1882" s="23"/>
    </row>
    <row r="1883" spans="1:18" ht="12.75">
      <c r="A1883" s="22"/>
      <c r="D1883" s="19"/>
      <c r="H1883" s="18"/>
      <c r="J1883" s="18"/>
      <c r="N1883" s="16"/>
      <c r="O1883" s="17"/>
      <c r="Q1883" s="22"/>
      <c r="R1883" s="23"/>
    </row>
    <row r="1884" spans="1:18" ht="12.75">
      <c r="A1884" s="22"/>
      <c r="D1884" s="19"/>
      <c r="H1884" s="18"/>
      <c r="J1884" s="18"/>
      <c r="N1884" s="16"/>
      <c r="O1884" s="17"/>
      <c r="Q1884" s="22"/>
      <c r="R1884" s="23"/>
    </row>
    <row r="1885" spans="1:18" ht="12.75">
      <c r="A1885" s="22"/>
      <c r="D1885" s="19"/>
      <c r="H1885" s="18"/>
      <c r="J1885" s="18"/>
      <c r="N1885" s="16"/>
      <c r="O1885" s="17"/>
      <c r="Q1885" s="22"/>
      <c r="R1885" s="23"/>
    </row>
    <row r="1886" spans="1:18" ht="12.75">
      <c r="A1886" s="22"/>
      <c r="D1886" s="19"/>
      <c r="H1886" s="18"/>
      <c r="J1886" s="18"/>
      <c r="N1886" s="16"/>
      <c r="O1886" s="17"/>
      <c r="Q1886" s="22"/>
      <c r="R1886" s="23"/>
    </row>
    <row r="1887" spans="1:18" ht="12.75">
      <c r="A1887" s="22"/>
      <c r="D1887" s="19"/>
      <c r="H1887" s="18"/>
      <c r="J1887" s="18"/>
      <c r="N1887" s="16"/>
      <c r="O1887" s="17"/>
      <c r="Q1887" s="22"/>
      <c r="R1887" s="23"/>
    </row>
    <row r="1888" spans="1:18" ht="12.75">
      <c r="A1888" s="22"/>
      <c r="D1888" s="19"/>
      <c r="H1888" s="18"/>
      <c r="J1888" s="18"/>
      <c r="N1888" s="16"/>
      <c r="O1888" s="17"/>
      <c r="Q1888" s="22"/>
      <c r="R1888" s="23"/>
    </row>
    <row r="1889" spans="1:18" ht="12.75">
      <c r="A1889" s="22"/>
      <c r="D1889" s="19"/>
      <c r="H1889" s="18"/>
      <c r="J1889" s="18"/>
      <c r="N1889" s="16"/>
      <c r="O1889" s="17"/>
      <c r="Q1889" s="22"/>
      <c r="R1889" s="23"/>
    </row>
    <row r="1890" spans="1:18" ht="12.75">
      <c r="A1890" s="22"/>
      <c r="D1890" s="19"/>
      <c r="H1890" s="18"/>
      <c r="J1890" s="18"/>
      <c r="N1890" s="16"/>
      <c r="O1890" s="17"/>
      <c r="Q1890" s="22"/>
      <c r="R1890" s="23"/>
    </row>
    <row r="1891" spans="1:18" ht="12.75">
      <c r="A1891" s="22"/>
      <c r="D1891" s="19"/>
      <c r="H1891" s="18"/>
      <c r="J1891" s="18"/>
      <c r="N1891" s="16"/>
      <c r="O1891" s="17"/>
      <c r="Q1891" s="22"/>
      <c r="R1891" s="23"/>
    </row>
    <row r="1892" spans="1:18" ht="12.75">
      <c r="A1892" s="22"/>
      <c r="D1892" s="19"/>
      <c r="H1892" s="18"/>
      <c r="J1892" s="18"/>
      <c r="N1892" s="16"/>
      <c r="O1892" s="17"/>
      <c r="Q1892" s="22"/>
      <c r="R1892" s="23"/>
    </row>
    <row r="1893" spans="1:18" ht="12.75">
      <c r="A1893" s="22"/>
      <c r="D1893" s="19"/>
      <c r="H1893" s="18"/>
      <c r="J1893" s="18"/>
      <c r="N1893" s="16"/>
      <c r="O1893" s="17"/>
      <c r="Q1893" s="22"/>
      <c r="R1893" s="23"/>
    </row>
    <row r="1894" spans="1:18" ht="12.75">
      <c r="A1894" s="22"/>
      <c r="D1894" s="19"/>
      <c r="H1894" s="18"/>
      <c r="J1894" s="18"/>
      <c r="N1894" s="16"/>
      <c r="O1894" s="17"/>
      <c r="Q1894" s="22"/>
      <c r="R1894" s="23"/>
    </row>
    <row r="1895" spans="1:18" ht="12.75">
      <c r="A1895" s="22"/>
      <c r="D1895" s="19"/>
      <c r="H1895" s="18"/>
      <c r="J1895" s="18"/>
      <c r="N1895" s="16"/>
      <c r="O1895" s="17"/>
      <c r="Q1895" s="22"/>
      <c r="R1895" s="23"/>
    </row>
    <row r="1896" spans="1:18" ht="12.75">
      <c r="A1896" s="22"/>
      <c r="D1896" s="19"/>
      <c r="H1896" s="18"/>
      <c r="J1896" s="18"/>
      <c r="N1896" s="16"/>
      <c r="O1896" s="17"/>
      <c r="Q1896" s="22"/>
      <c r="R1896" s="23"/>
    </row>
    <row r="1897" spans="1:18" ht="12.75">
      <c r="A1897" s="22"/>
      <c r="D1897" s="19"/>
      <c r="H1897" s="18"/>
      <c r="J1897" s="18"/>
      <c r="N1897" s="16"/>
      <c r="O1897" s="17"/>
      <c r="Q1897" s="22"/>
      <c r="R1897" s="23"/>
    </row>
    <row r="1898" spans="1:18" ht="12.75">
      <c r="A1898" s="22"/>
      <c r="D1898" s="19"/>
      <c r="H1898" s="18"/>
      <c r="J1898" s="18"/>
      <c r="N1898" s="16"/>
      <c r="O1898" s="17"/>
      <c r="Q1898" s="22"/>
      <c r="R1898" s="23"/>
    </row>
    <row r="1899" spans="1:18" ht="12.75">
      <c r="A1899" s="22"/>
      <c r="D1899" s="19"/>
      <c r="H1899" s="18"/>
      <c r="J1899" s="18"/>
      <c r="N1899" s="16"/>
      <c r="O1899" s="17"/>
      <c r="Q1899" s="22"/>
      <c r="R1899" s="23"/>
    </row>
    <row r="1900" spans="1:18" ht="12.75">
      <c r="A1900" s="22"/>
      <c r="D1900" s="19"/>
      <c r="H1900" s="18"/>
      <c r="J1900" s="18"/>
      <c r="N1900" s="16"/>
      <c r="O1900" s="17"/>
      <c r="Q1900" s="22"/>
      <c r="R1900" s="23"/>
    </row>
    <row r="1901" spans="1:18" ht="12.75">
      <c r="A1901" s="22"/>
      <c r="D1901" s="19"/>
      <c r="H1901" s="18"/>
      <c r="J1901" s="18"/>
      <c r="N1901" s="16"/>
      <c r="O1901" s="17"/>
      <c r="Q1901" s="22"/>
      <c r="R1901" s="23"/>
    </row>
    <row r="1902" spans="1:18" ht="12.75">
      <c r="A1902" s="22"/>
      <c r="D1902" s="19"/>
      <c r="H1902" s="18"/>
      <c r="J1902" s="18"/>
      <c r="N1902" s="16"/>
      <c r="O1902" s="17"/>
      <c r="Q1902" s="22"/>
      <c r="R1902" s="23"/>
    </row>
    <row r="1903" spans="1:18" ht="12.75">
      <c r="A1903" s="22"/>
      <c r="D1903" s="19"/>
      <c r="H1903" s="18"/>
      <c r="J1903" s="18"/>
      <c r="N1903" s="16"/>
      <c r="O1903" s="17"/>
      <c r="Q1903" s="22"/>
      <c r="R1903" s="23"/>
    </row>
    <row r="1904" spans="1:18" ht="12.75">
      <c r="A1904" s="22"/>
      <c r="D1904" s="19"/>
      <c r="H1904" s="18"/>
      <c r="J1904" s="18"/>
      <c r="N1904" s="16"/>
      <c r="O1904" s="17"/>
      <c r="Q1904" s="22"/>
      <c r="R1904" s="23"/>
    </row>
    <row r="1905" spans="1:18" ht="12.75">
      <c r="A1905" s="22"/>
      <c r="D1905" s="19"/>
      <c r="H1905" s="18"/>
      <c r="J1905" s="18"/>
      <c r="N1905" s="16"/>
      <c r="O1905" s="17"/>
      <c r="Q1905" s="22"/>
      <c r="R1905" s="23"/>
    </row>
    <row r="1906" spans="1:18" ht="12.75">
      <c r="A1906" s="22"/>
      <c r="D1906" s="19"/>
      <c r="H1906" s="18"/>
      <c r="J1906" s="18"/>
      <c r="N1906" s="16"/>
      <c r="O1906" s="17"/>
      <c r="Q1906" s="22"/>
      <c r="R1906" s="23"/>
    </row>
    <row r="1907" spans="1:18" ht="12.75">
      <c r="A1907" s="22"/>
      <c r="D1907" s="19"/>
      <c r="H1907" s="18"/>
      <c r="J1907" s="18"/>
      <c r="N1907" s="16"/>
      <c r="O1907" s="17"/>
      <c r="Q1907" s="22"/>
      <c r="R1907" s="23"/>
    </row>
    <row r="1908" spans="1:18" ht="12.75">
      <c r="A1908" s="22"/>
      <c r="D1908" s="19"/>
      <c r="H1908" s="18"/>
      <c r="J1908" s="18"/>
      <c r="N1908" s="16"/>
      <c r="O1908" s="17"/>
      <c r="Q1908" s="22"/>
      <c r="R1908" s="23"/>
    </row>
    <row r="1909" spans="1:18" ht="12.75">
      <c r="A1909" s="22"/>
      <c r="D1909" s="19"/>
      <c r="H1909" s="18"/>
      <c r="J1909" s="18"/>
      <c r="N1909" s="16"/>
      <c r="O1909" s="17"/>
      <c r="Q1909" s="22"/>
      <c r="R1909" s="23"/>
    </row>
    <row r="1910" spans="1:18" ht="12.75">
      <c r="A1910" s="22"/>
      <c r="D1910" s="19"/>
      <c r="H1910" s="18"/>
      <c r="J1910" s="18"/>
      <c r="N1910" s="16"/>
      <c r="O1910" s="17"/>
      <c r="Q1910" s="22"/>
      <c r="R1910" s="23"/>
    </row>
    <row r="1911" spans="1:18" ht="12.75">
      <c r="A1911" s="22"/>
      <c r="D1911" s="19"/>
      <c r="H1911" s="18"/>
      <c r="J1911" s="18"/>
      <c r="N1911" s="16"/>
      <c r="O1911" s="17"/>
      <c r="Q1911" s="22"/>
      <c r="R1911" s="23"/>
    </row>
    <row r="1912" spans="1:18" ht="12.75">
      <c r="A1912" s="22"/>
      <c r="D1912" s="19"/>
      <c r="H1912" s="18"/>
      <c r="J1912" s="18"/>
      <c r="N1912" s="16"/>
      <c r="O1912" s="17"/>
      <c r="Q1912" s="22"/>
      <c r="R1912" s="23"/>
    </row>
    <row r="1913" spans="1:18" ht="12.75">
      <c r="A1913" s="22"/>
      <c r="D1913" s="19"/>
      <c r="H1913" s="18"/>
      <c r="J1913" s="18"/>
      <c r="N1913" s="16"/>
      <c r="O1913" s="17"/>
      <c r="Q1913" s="22"/>
      <c r="R1913" s="23"/>
    </row>
    <row r="1914" spans="1:18" ht="12.75">
      <c r="A1914" s="22"/>
      <c r="D1914" s="19"/>
      <c r="H1914" s="18"/>
      <c r="J1914" s="18"/>
      <c r="N1914" s="16"/>
      <c r="O1914" s="17"/>
      <c r="Q1914" s="22"/>
      <c r="R1914" s="23"/>
    </row>
    <row r="1915" spans="1:18" ht="12.75">
      <c r="A1915" s="22"/>
      <c r="D1915" s="19"/>
      <c r="H1915" s="18"/>
      <c r="J1915" s="18"/>
      <c r="N1915" s="16"/>
      <c r="O1915" s="17"/>
      <c r="Q1915" s="22"/>
      <c r="R1915" s="23"/>
    </row>
    <row r="1916" spans="1:18" ht="12.75">
      <c r="A1916" s="22"/>
      <c r="D1916" s="19"/>
      <c r="H1916" s="18"/>
      <c r="J1916" s="18"/>
      <c r="N1916" s="16"/>
      <c r="O1916" s="17"/>
      <c r="Q1916" s="22"/>
      <c r="R1916" s="23"/>
    </row>
    <row r="1917" spans="1:18" ht="12.75">
      <c r="A1917" s="22"/>
      <c r="D1917" s="19"/>
      <c r="H1917" s="18"/>
      <c r="J1917" s="18"/>
      <c r="N1917" s="16"/>
      <c r="O1917" s="17"/>
      <c r="Q1917" s="22"/>
      <c r="R1917" s="23"/>
    </row>
    <row r="1918" spans="1:18" ht="12.75">
      <c r="A1918" s="22"/>
      <c r="D1918" s="19"/>
      <c r="H1918" s="18"/>
      <c r="J1918" s="18"/>
      <c r="N1918" s="16"/>
      <c r="O1918" s="17"/>
      <c r="Q1918" s="22"/>
      <c r="R1918" s="23"/>
    </row>
    <row r="1919" spans="1:18" ht="12.75">
      <c r="A1919" s="22"/>
      <c r="D1919" s="19"/>
      <c r="H1919" s="18"/>
      <c r="J1919" s="18"/>
      <c r="N1919" s="16"/>
      <c r="O1919" s="17"/>
      <c r="Q1919" s="22"/>
      <c r="R1919" s="23"/>
    </row>
    <row r="1920" spans="1:18" ht="12.75">
      <c r="A1920" s="22"/>
      <c r="D1920" s="19"/>
      <c r="H1920" s="18"/>
      <c r="J1920" s="18"/>
      <c r="N1920" s="16"/>
      <c r="O1920" s="17"/>
      <c r="Q1920" s="22"/>
      <c r="R1920" s="23"/>
    </row>
    <row r="1921" spans="1:18" ht="12.75">
      <c r="A1921" s="22"/>
      <c r="D1921" s="19"/>
      <c r="H1921" s="18"/>
      <c r="J1921" s="18"/>
      <c r="N1921" s="16"/>
      <c r="O1921" s="17"/>
      <c r="Q1921" s="22"/>
      <c r="R1921" s="23"/>
    </row>
    <row r="1922" spans="1:18" ht="12.75">
      <c r="A1922" s="22"/>
      <c r="D1922" s="19"/>
      <c r="H1922" s="18"/>
      <c r="J1922" s="18"/>
      <c r="N1922" s="16"/>
      <c r="O1922" s="17"/>
      <c r="Q1922" s="22"/>
      <c r="R1922" s="23"/>
    </row>
    <row r="1923" spans="1:18" ht="12.75">
      <c r="A1923" s="22"/>
      <c r="D1923" s="19"/>
      <c r="H1923" s="18"/>
      <c r="J1923" s="18"/>
      <c r="N1923" s="16"/>
      <c r="O1923" s="17"/>
      <c r="Q1923" s="22"/>
      <c r="R1923" s="23"/>
    </row>
    <row r="1924" spans="1:18" ht="12.75">
      <c r="A1924" s="22"/>
      <c r="D1924" s="19"/>
      <c r="H1924" s="18"/>
      <c r="J1924" s="18"/>
      <c r="N1924" s="16"/>
      <c r="O1924" s="17"/>
      <c r="Q1924" s="22"/>
      <c r="R1924" s="23"/>
    </row>
    <row r="1925" spans="1:18" ht="12.75">
      <c r="A1925" s="22"/>
      <c r="D1925" s="19"/>
      <c r="H1925" s="18"/>
      <c r="J1925" s="18"/>
      <c r="N1925" s="16"/>
      <c r="O1925" s="17"/>
      <c r="Q1925" s="22"/>
      <c r="R1925" s="23"/>
    </row>
    <row r="1926" spans="1:18" ht="12.75">
      <c r="A1926" s="22"/>
      <c r="D1926" s="19"/>
      <c r="H1926" s="18"/>
      <c r="J1926" s="18"/>
      <c r="N1926" s="16"/>
      <c r="O1926" s="17"/>
      <c r="Q1926" s="22"/>
      <c r="R1926" s="23"/>
    </row>
    <row r="1927" spans="1:18" ht="12.75">
      <c r="A1927" s="22"/>
      <c r="D1927" s="19"/>
      <c r="H1927" s="18"/>
      <c r="J1927" s="18"/>
      <c r="N1927" s="16"/>
      <c r="O1927" s="17"/>
      <c r="Q1927" s="22"/>
      <c r="R1927" s="23"/>
    </row>
    <row r="1928" spans="1:18" ht="12.75">
      <c r="A1928" s="22"/>
      <c r="D1928" s="19"/>
      <c r="H1928" s="18"/>
      <c r="J1928" s="18"/>
      <c r="N1928" s="16"/>
      <c r="O1928" s="17"/>
      <c r="Q1928" s="22"/>
      <c r="R1928" s="23"/>
    </row>
    <row r="1929" spans="1:18" ht="12.75">
      <c r="A1929" s="22"/>
      <c r="D1929" s="19"/>
      <c r="H1929" s="18"/>
      <c r="J1929" s="18"/>
      <c r="N1929" s="16"/>
      <c r="O1929" s="17"/>
      <c r="Q1929" s="22"/>
      <c r="R1929" s="23"/>
    </row>
    <row r="1930" spans="1:18" ht="12.75">
      <c r="A1930" s="22"/>
      <c r="D1930" s="19"/>
      <c r="H1930" s="18"/>
      <c r="J1930" s="18"/>
      <c r="N1930" s="16"/>
      <c r="O1930" s="17"/>
      <c r="Q1930" s="22"/>
      <c r="R1930" s="23"/>
    </row>
    <row r="1931" spans="1:18" ht="12.75">
      <c r="A1931" s="22"/>
      <c r="D1931" s="19"/>
      <c r="H1931" s="18"/>
      <c r="J1931" s="18"/>
      <c r="N1931" s="16"/>
      <c r="O1931" s="17"/>
      <c r="Q1931" s="22"/>
      <c r="R1931" s="23"/>
    </row>
    <row r="1932" spans="1:18" ht="12.75">
      <c r="A1932" s="22"/>
      <c r="D1932" s="19"/>
      <c r="H1932" s="18"/>
      <c r="J1932" s="18"/>
      <c r="N1932" s="16"/>
      <c r="O1932" s="17"/>
      <c r="Q1932" s="22"/>
      <c r="R1932" s="23"/>
    </row>
    <row r="1933" spans="1:18" ht="12.75">
      <c r="A1933" s="22"/>
      <c r="D1933" s="19"/>
      <c r="H1933" s="18"/>
      <c r="J1933" s="18"/>
      <c r="N1933" s="16"/>
      <c r="O1933" s="17"/>
      <c r="Q1933" s="22"/>
      <c r="R1933" s="23"/>
    </row>
    <row r="1934" spans="1:18" ht="12.75">
      <c r="A1934" s="22"/>
      <c r="D1934" s="19"/>
      <c r="H1934" s="18"/>
      <c r="J1934" s="18"/>
      <c r="N1934" s="16"/>
      <c r="O1934" s="17"/>
      <c r="Q1934" s="22"/>
      <c r="R1934" s="23"/>
    </row>
    <row r="1935" spans="1:18" ht="12.75">
      <c r="A1935" s="22"/>
      <c r="D1935" s="19"/>
      <c r="H1935" s="18"/>
      <c r="J1935" s="18"/>
      <c r="N1935" s="16"/>
      <c r="O1935" s="17"/>
      <c r="Q1935" s="22"/>
      <c r="R1935" s="23"/>
    </row>
    <row r="1936" spans="1:18" ht="12.75">
      <c r="A1936" s="22"/>
      <c r="D1936" s="19"/>
      <c r="H1936" s="18"/>
      <c r="J1936" s="18"/>
      <c r="N1936" s="16"/>
      <c r="O1936" s="17"/>
      <c r="Q1936" s="22"/>
      <c r="R1936" s="23"/>
    </row>
    <row r="1937" spans="1:18" ht="12.75">
      <c r="A1937" s="22"/>
      <c r="D1937" s="19"/>
      <c r="H1937" s="18"/>
      <c r="J1937" s="18"/>
      <c r="N1937" s="16"/>
      <c r="O1937" s="17"/>
      <c r="Q1937" s="22"/>
      <c r="R1937" s="23"/>
    </row>
    <row r="1938" spans="1:18" ht="12.75">
      <c r="A1938" s="22"/>
      <c r="D1938" s="19"/>
      <c r="H1938" s="18"/>
      <c r="J1938" s="18"/>
      <c r="N1938" s="16"/>
      <c r="O1938" s="17"/>
      <c r="Q1938" s="22"/>
      <c r="R1938" s="23"/>
    </row>
    <row r="1939" spans="1:18" ht="12.75">
      <c r="A1939" s="22"/>
      <c r="D1939" s="19"/>
      <c r="H1939" s="18"/>
      <c r="J1939" s="18"/>
      <c r="N1939" s="16"/>
      <c r="O1939" s="17"/>
      <c r="Q1939" s="22"/>
      <c r="R1939" s="23"/>
    </row>
    <row r="1940" spans="1:18" ht="12.75">
      <c r="A1940" s="22"/>
      <c r="D1940" s="19"/>
      <c r="H1940" s="18"/>
      <c r="J1940" s="18"/>
      <c r="N1940" s="16"/>
      <c r="O1940" s="17"/>
      <c r="Q1940" s="22"/>
      <c r="R1940" s="23"/>
    </row>
    <row r="1941" spans="1:18" ht="12.75">
      <c r="A1941" s="22"/>
      <c r="D1941" s="19"/>
      <c r="H1941" s="18"/>
      <c r="J1941" s="18"/>
      <c r="N1941" s="16"/>
      <c r="O1941" s="17"/>
      <c r="Q1941" s="22"/>
      <c r="R1941" s="23"/>
    </row>
    <row r="1942" spans="1:18" ht="12.75">
      <c r="A1942" s="22"/>
      <c r="D1942" s="19"/>
      <c r="H1942" s="18"/>
      <c r="J1942" s="18"/>
      <c r="N1942" s="16"/>
      <c r="O1942" s="17"/>
      <c r="Q1942" s="22"/>
      <c r="R1942" s="23"/>
    </row>
    <row r="1943" spans="1:18" ht="12.75">
      <c r="A1943" s="22"/>
      <c r="D1943" s="19"/>
      <c r="H1943" s="18"/>
      <c r="J1943" s="18"/>
      <c r="N1943" s="16"/>
      <c r="O1943" s="17"/>
      <c r="Q1943" s="22"/>
      <c r="R1943" s="23"/>
    </row>
    <row r="1944" spans="1:18" ht="12.75">
      <c r="A1944" s="22"/>
      <c r="D1944" s="19"/>
      <c r="H1944" s="18"/>
      <c r="J1944" s="18"/>
      <c r="N1944" s="16"/>
      <c r="O1944" s="17"/>
      <c r="Q1944" s="22"/>
      <c r="R1944" s="23"/>
    </row>
    <row r="1945" spans="1:18" ht="12.75">
      <c r="A1945" s="22"/>
      <c r="D1945" s="19"/>
      <c r="H1945" s="18"/>
      <c r="J1945" s="18"/>
      <c r="N1945" s="16"/>
      <c r="O1945" s="17"/>
      <c r="Q1945" s="22"/>
      <c r="R1945" s="23"/>
    </row>
    <row r="1946" spans="1:18" ht="12.75">
      <c r="A1946" s="22"/>
      <c r="D1946" s="19"/>
      <c r="H1946" s="18"/>
      <c r="J1946" s="18"/>
      <c r="N1946" s="16"/>
      <c r="O1946" s="17"/>
      <c r="Q1946" s="22"/>
      <c r="R1946" s="23"/>
    </row>
    <row r="1947" spans="1:18" ht="12.75">
      <c r="A1947" s="22"/>
      <c r="D1947" s="19"/>
      <c r="H1947" s="18"/>
      <c r="J1947" s="18"/>
      <c r="N1947" s="16"/>
      <c r="O1947" s="17"/>
      <c r="Q1947" s="22"/>
      <c r="R1947" s="23"/>
    </row>
    <row r="1948" spans="1:18" ht="12.75">
      <c r="A1948" s="22"/>
      <c r="D1948" s="19"/>
      <c r="H1948" s="18"/>
      <c r="J1948" s="18"/>
      <c r="N1948" s="16"/>
      <c r="O1948" s="17"/>
      <c r="Q1948" s="22"/>
      <c r="R1948" s="23"/>
    </row>
    <row r="1949" spans="1:18" ht="12.75">
      <c r="A1949" s="22"/>
      <c r="D1949" s="19"/>
      <c r="H1949" s="18"/>
      <c r="J1949" s="18"/>
      <c r="N1949" s="16"/>
      <c r="O1949" s="17"/>
      <c r="Q1949" s="22"/>
      <c r="R1949" s="23"/>
    </row>
    <row r="1950" spans="1:18" ht="12.75">
      <c r="A1950" s="22"/>
      <c r="D1950" s="19"/>
      <c r="H1950" s="18"/>
      <c r="J1950" s="18"/>
      <c r="N1950" s="16"/>
      <c r="O1950" s="17"/>
      <c r="Q1950" s="22"/>
      <c r="R1950" s="23"/>
    </row>
    <row r="1951" spans="1:18" ht="12.75">
      <c r="A1951" s="22"/>
      <c r="D1951" s="19"/>
      <c r="H1951" s="18"/>
      <c r="J1951" s="18"/>
      <c r="N1951" s="16"/>
      <c r="O1951" s="17"/>
      <c r="Q1951" s="22"/>
      <c r="R1951" s="23"/>
    </row>
    <row r="1952" spans="1:18" ht="12.75">
      <c r="A1952" s="22"/>
      <c r="D1952" s="19"/>
      <c r="H1952" s="18"/>
      <c r="J1952" s="18"/>
      <c r="N1952" s="16"/>
      <c r="O1952" s="17"/>
      <c r="Q1952" s="22"/>
      <c r="R1952" s="23"/>
    </row>
    <row r="1953" spans="1:18" ht="12.75">
      <c r="A1953" s="22"/>
      <c r="D1953" s="19"/>
      <c r="H1953" s="18"/>
      <c r="J1953" s="18"/>
      <c r="N1953" s="16"/>
      <c r="O1953" s="17"/>
      <c r="Q1953" s="22"/>
      <c r="R1953" s="23"/>
    </row>
    <row r="1954" spans="1:18" ht="12.75">
      <c r="A1954" s="22"/>
      <c r="D1954" s="19"/>
      <c r="H1954" s="18"/>
      <c r="J1954" s="18"/>
      <c r="N1954" s="16"/>
      <c r="O1954" s="17"/>
      <c r="Q1954" s="22"/>
      <c r="R1954" s="23"/>
    </row>
    <row r="1955" spans="1:18" ht="12.75">
      <c r="A1955" s="22"/>
      <c r="D1955" s="19"/>
      <c r="H1955" s="18"/>
      <c r="J1955" s="18"/>
      <c r="N1955" s="16"/>
      <c r="O1955" s="17"/>
      <c r="Q1955" s="22"/>
      <c r="R1955" s="23"/>
    </row>
    <row r="1956" spans="1:18" ht="12.75">
      <c r="A1956" s="22"/>
      <c r="D1956" s="19"/>
      <c r="H1956" s="18"/>
      <c r="J1956" s="18"/>
      <c r="N1956" s="16"/>
      <c r="O1956" s="17"/>
      <c r="Q1956" s="22"/>
      <c r="R1956" s="23"/>
    </row>
    <row r="1957" spans="1:18" ht="12.75">
      <c r="A1957" s="22"/>
      <c r="D1957" s="19"/>
      <c r="H1957" s="18"/>
      <c r="J1957" s="18"/>
      <c r="N1957" s="16"/>
      <c r="O1957" s="17"/>
      <c r="Q1957" s="22"/>
      <c r="R1957" s="23"/>
    </row>
    <row r="1958" spans="1:18" ht="12.75">
      <c r="A1958" s="22"/>
      <c r="D1958" s="19"/>
      <c r="H1958" s="18"/>
      <c r="J1958" s="18"/>
      <c r="N1958" s="16"/>
      <c r="O1958" s="17"/>
      <c r="Q1958" s="22"/>
      <c r="R1958" s="23"/>
    </row>
    <row r="1959" spans="1:18" ht="12.75">
      <c r="A1959" s="22"/>
      <c r="D1959" s="19"/>
      <c r="H1959" s="18"/>
      <c r="J1959" s="18"/>
      <c r="N1959" s="16"/>
      <c r="O1959" s="17"/>
      <c r="Q1959" s="22"/>
      <c r="R1959" s="23"/>
    </row>
    <row r="1960" spans="1:18" ht="12.75">
      <c r="A1960" s="22"/>
      <c r="D1960" s="19"/>
      <c r="H1960" s="18"/>
      <c r="J1960" s="18"/>
      <c r="N1960" s="16"/>
      <c r="O1960" s="17"/>
      <c r="Q1960" s="22"/>
      <c r="R1960" s="23"/>
    </row>
    <row r="1961" spans="1:18" ht="12.75">
      <c r="A1961" s="22"/>
      <c r="D1961" s="19"/>
      <c r="H1961" s="18"/>
      <c r="J1961" s="18"/>
      <c r="N1961" s="16"/>
      <c r="O1961" s="17"/>
      <c r="Q1961" s="22"/>
      <c r="R1961" s="23"/>
    </row>
    <row r="1962" spans="1:18" ht="12.75">
      <c r="A1962" s="22"/>
      <c r="D1962" s="19"/>
      <c r="H1962" s="18"/>
      <c r="J1962" s="18"/>
      <c r="N1962" s="16"/>
      <c r="O1962" s="17"/>
      <c r="Q1962" s="22"/>
      <c r="R1962" s="23"/>
    </row>
    <row r="1963" spans="1:18" ht="12.75">
      <c r="A1963" s="22"/>
      <c r="D1963" s="19"/>
      <c r="H1963" s="18"/>
      <c r="J1963" s="18"/>
      <c r="N1963" s="16"/>
      <c r="O1963" s="17"/>
      <c r="Q1963" s="22"/>
      <c r="R1963" s="23"/>
    </row>
    <row r="1964" spans="1:18" ht="12.75">
      <c r="A1964" s="22"/>
      <c r="D1964" s="19"/>
      <c r="H1964" s="18"/>
      <c r="J1964" s="18"/>
      <c r="N1964" s="16"/>
      <c r="O1964" s="17"/>
      <c r="Q1964" s="22"/>
      <c r="R1964" s="23"/>
    </row>
    <row r="1965" spans="1:18" ht="12.75">
      <c r="A1965" s="22"/>
      <c r="D1965" s="19"/>
      <c r="H1965" s="18"/>
      <c r="J1965" s="18"/>
      <c r="N1965" s="16"/>
      <c r="O1965" s="17"/>
      <c r="Q1965" s="22"/>
      <c r="R1965" s="23"/>
    </row>
    <row r="1966" spans="1:18" ht="12.75">
      <c r="A1966" s="22"/>
      <c r="D1966" s="19"/>
      <c r="H1966" s="18"/>
      <c r="J1966" s="18"/>
      <c r="N1966" s="16"/>
      <c r="O1966" s="17"/>
      <c r="Q1966" s="22"/>
      <c r="R1966" s="23"/>
    </row>
    <row r="1967" spans="1:18" ht="12.75">
      <c r="A1967" s="22"/>
      <c r="D1967" s="19"/>
      <c r="H1967" s="18"/>
      <c r="J1967" s="18"/>
      <c r="N1967" s="16"/>
      <c r="O1967" s="17"/>
      <c r="Q1967" s="22"/>
      <c r="R1967" s="23"/>
    </row>
    <row r="1968" spans="1:18" ht="12.75">
      <c r="A1968" s="22"/>
      <c r="D1968" s="19"/>
      <c r="H1968" s="18"/>
      <c r="J1968" s="18"/>
      <c r="N1968" s="16"/>
      <c r="O1968" s="17"/>
      <c r="Q1968" s="22"/>
      <c r="R1968" s="23"/>
    </row>
    <row r="1969" spans="1:18" ht="12.75">
      <c r="A1969" s="22"/>
      <c r="D1969" s="19"/>
      <c r="H1969" s="18"/>
      <c r="J1969" s="18"/>
      <c r="N1969" s="16"/>
      <c r="O1969" s="17"/>
      <c r="Q1969" s="22"/>
      <c r="R1969" s="23"/>
    </row>
    <row r="1970" spans="1:18" ht="12.75">
      <c r="A1970" s="22"/>
      <c r="D1970" s="19"/>
      <c r="H1970" s="18"/>
      <c r="J1970" s="18"/>
      <c r="N1970" s="16"/>
      <c r="O1970" s="17"/>
      <c r="Q1970" s="22"/>
      <c r="R1970" s="23"/>
    </row>
    <row r="1971" spans="1:18" ht="12.75">
      <c r="A1971" s="22"/>
      <c r="D1971" s="19"/>
      <c r="H1971" s="18"/>
      <c r="J1971" s="18"/>
      <c r="N1971" s="16"/>
      <c r="O1971" s="17"/>
      <c r="Q1971" s="22"/>
      <c r="R1971" s="23"/>
    </row>
    <row r="1972" spans="1:18" ht="12.75">
      <c r="A1972" s="22"/>
      <c r="D1972" s="19"/>
      <c r="H1972" s="18"/>
      <c r="J1972" s="18"/>
      <c r="N1972" s="16"/>
      <c r="O1972" s="17"/>
      <c r="Q1972" s="22"/>
      <c r="R1972" s="23"/>
    </row>
    <row r="1973" spans="1:18" ht="12.75">
      <c r="A1973" s="22"/>
      <c r="D1973" s="19"/>
      <c r="H1973" s="18"/>
      <c r="J1973" s="18"/>
      <c r="N1973" s="16"/>
      <c r="O1973" s="17"/>
      <c r="Q1973" s="22"/>
      <c r="R1973" s="23"/>
    </row>
    <row r="1974" spans="1:18" ht="12.75">
      <c r="A1974" s="22"/>
      <c r="D1974" s="19"/>
      <c r="H1974" s="18"/>
      <c r="J1974" s="18"/>
      <c r="N1974" s="16"/>
      <c r="O1974" s="17"/>
      <c r="Q1974" s="22"/>
      <c r="R1974" s="23"/>
    </row>
    <row r="1975" spans="1:18" ht="12.75">
      <c r="A1975" s="22"/>
      <c r="D1975" s="19"/>
      <c r="H1975" s="18"/>
      <c r="J1975" s="18"/>
      <c r="N1975" s="16"/>
      <c r="O1975" s="17"/>
      <c r="Q1975" s="22"/>
      <c r="R1975" s="23"/>
    </row>
    <row r="1976" spans="1:18" ht="12.75">
      <c r="A1976" s="22"/>
      <c r="D1976" s="19"/>
      <c r="H1976" s="18"/>
      <c r="J1976" s="18"/>
      <c r="N1976" s="16"/>
      <c r="O1976" s="17"/>
      <c r="Q1976" s="22"/>
      <c r="R1976" s="23"/>
    </row>
    <row r="1977" spans="1:18" ht="12.75">
      <c r="A1977" s="22"/>
      <c r="D1977" s="19"/>
      <c r="H1977" s="18"/>
      <c r="J1977" s="18"/>
      <c r="N1977" s="16"/>
      <c r="O1977" s="17"/>
      <c r="Q1977" s="22"/>
      <c r="R1977" s="23"/>
    </row>
    <row r="1978" spans="1:18" ht="12.75">
      <c r="A1978" s="22"/>
      <c r="D1978" s="19"/>
      <c r="H1978" s="18"/>
      <c r="J1978" s="18"/>
      <c r="N1978" s="16"/>
      <c r="O1978" s="17"/>
      <c r="Q1978" s="22"/>
      <c r="R1978" s="23"/>
    </row>
    <row r="1979" spans="1:18" ht="12.75">
      <c r="A1979" s="22"/>
      <c r="D1979" s="19"/>
      <c r="H1979" s="18"/>
      <c r="J1979" s="18"/>
      <c r="N1979" s="16"/>
      <c r="O1979" s="17"/>
      <c r="Q1979" s="22"/>
      <c r="R1979" s="23"/>
    </row>
    <row r="1980" spans="1:18" ht="12.75">
      <c r="A1980" s="22"/>
      <c r="D1980" s="19"/>
      <c r="H1980" s="18"/>
      <c r="J1980" s="18"/>
      <c r="N1980" s="16"/>
      <c r="O1980" s="17"/>
      <c r="Q1980" s="22"/>
      <c r="R1980" s="23"/>
    </row>
    <row r="1981" spans="1:18" ht="12.75">
      <c r="A1981" s="22"/>
      <c r="D1981" s="19"/>
      <c r="H1981" s="18"/>
      <c r="J1981" s="18"/>
      <c r="N1981" s="16"/>
      <c r="O1981" s="17"/>
      <c r="Q1981" s="22"/>
      <c r="R1981" s="23"/>
    </row>
    <row r="1982" spans="1:18" ht="12.75">
      <c r="A1982" s="22"/>
      <c r="D1982" s="19"/>
      <c r="H1982" s="18"/>
      <c r="J1982" s="18"/>
      <c r="N1982" s="16"/>
      <c r="O1982" s="17"/>
      <c r="Q1982" s="22"/>
      <c r="R1982" s="23"/>
    </row>
    <row r="1983" spans="1:18" ht="12.75">
      <c r="A1983" s="22"/>
      <c r="D1983" s="19"/>
      <c r="H1983" s="18"/>
      <c r="J1983" s="18"/>
      <c r="N1983" s="16"/>
      <c r="O1983" s="17"/>
      <c r="Q1983" s="22"/>
      <c r="R1983" s="23"/>
    </row>
    <row r="1984" spans="1:18" ht="12.75">
      <c r="A1984" s="22"/>
      <c r="D1984" s="19"/>
      <c r="H1984" s="18"/>
      <c r="J1984" s="18"/>
      <c r="N1984" s="16"/>
      <c r="O1984" s="17"/>
      <c r="Q1984" s="22"/>
      <c r="R1984" s="23"/>
    </row>
    <row r="1985" spans="1:18" ht="12.75">
      <c r="A1985" s="22"/>
      <c r="D1985" s="19"/>
      <c r="H1985" s="18"/>
      <c r="J1985" s="18"/>
      <c r="N1985" s="16"/>
      <c r="O1985" s="17"/>
      <c r="Q1985" s="22"/>
      <c r="R1985" s="23"/>
    </row>
    <row r="1986" spans="1:18" ht="12.75">
      <c r="A1986" s="22"/>
      <c r="D1986" s="19"/>
      <c r="H1986" s="18"/>
      <c r="J1986" s="18"/>
      <c r="N1986" s="16"/>
      <c r="O1986" s="17"/>
      <c r="Q1986" s="22"/>
      <c r="R1986" s="23"/>
    </row>
    <row r="1987" spans="1:18" ht="12.75">
      <c r="A1987" s="22"/>
      <c r="D1987" s="19"/>
      <c r="H1987" s="18"/>
      <c r="J1987" s="18"/>
      <c r="N1987" s="16"/>
      <c r="O1987" s="17"/>
      <c r="Q1987" s="22"/>
      <c r="R1987" s="23"/>
    </row>
    <row r="1988" spans="1:18" ht="12.75">
      <c r="A1988" s="22"/>
      <c r="D1988" s="19"/>
      <c r="H1988" s="18"/>
      <c r="J1988" s="18"/>
      <c r="N1988" s="16"/>
      <c r="O1988" s="17"/>
      <c r="Q1988" s="22"/>
      <c r="R1988" s="23"/>
    </row>
    <row r="1989" spans="1:18" ht="12.75">
      <c r="A1989" s="22"/>
      <c r="D1989" s="19"/>
      <c r="H1989" s="18"/>
      <c r="J1989" s="18"/>
      <c r="N1989" s="16"/>
      <c r="O1989" s="17"/>
      <c r="Q1989" s="22"/>
      <c r="R1989" s="23"/>
    </row>
    <row r="1990" spans="1:18" ht="12.75">
      <c r="A1990" s="22"/>
      <c r="D1990" s="19"/>
      <c r="H1990" s="18"/>
      <c r="J1990" s="18"/>
      <c r="N1990" s="16"/>
      <c r="O1990" s="17"/>
      <c r="Q1990" s="22"/>
      <c r="R1990" s="23"/>
    </row>
    <row r="1991" spans="1:18" ht="12.75">
      <c r="A1991" s="22"/>
      <c r="D1991" s="19"/>
      <c r="H1991" s="18"/>
      <c r="J1991" s="18"/>
      <c r="N1991" s="16"/>
      <c r="O1991" s="17"/>
      <c r="Q1991" s="22"/>
      <c r="R1991" s="23"/>
    </row>
    <row r="1992" spans="1:18" ht="12.75">
      <c r="A1992" s="22"/>
      <c r="D1992" s="19"/>
      <c r="H1992" s="18"/>
      <c r="J1992" s="18"/>
      <c r="N1992" s="16"/>
      <c r="O1992" s="17"/>
      <c r="Q1992" s="22"/>
      <c r="R1992" s="23"/>
    </row>
    <row r="1993" spans="1:18" ht="12.75">
      <c r="A1993" s="22"/>
      <c r="D1993" s="19"/>
      <c r="H1993" s="18"/>
      <c r="J1993" s="18"/>
      <c r="N1993" s="16"/>
      <c r="O1993" s="17"/>
      <c r="Q1993" s="22"/>
      <c r="R1993" s="23"/>
    </row>
    <row r="1994" spans="1:18" ht="12.75">
      <c r="A1994" s="22"/>
      <c r="D1994" s="19"/>
      <c r="H1994" s="18"/>
      <c r="J1994" s="18"/>
      <c r="N1994" s="16"/>
      <c r="O1994" s="17"/>
      <c r="Q1994" s="22"/>
      <c r="R1994" s="23"/>
    </row>
    <row r="1995" spans="1:18" ht="12.75">
      <c r="A1995" s="22"/>
      <c r="D1995" s="19"/>
      <c r="H1995" s="18"/>
      <c r="J1995" s="18"/>
      <c r="N1995" s="16"/>
      <c r="O1995" s="17"/>
      <c r="Q1995" s="22"/>
      <c r="R1995" s="23"/>
    </row>
    <row r="1996" spans="1:18" ht="12.75">
      <c r="A1996" s="22"/>
      <c r="D1996" s="19"/>
      <c r="H1996" s="18"/>
      <c r="J1996" s="18"/>
      <c r="N1996" s="16"/>
      <c r="O1996" s="17"/>
      <c r="Q1996" s="22"/>
      <c r="R1996" s="23"/>
    </row>
    <row r="1997" spans="1:18" ht="12.75">
      <c r="A1997" s="22"/>
      <c r="D1997" s="19"/>
      <c r="H1997" s="18"/>
      <c r="J1997" s="18"/>
      <c r="N1997" s="16"/>
      <c r="O1997" s="17"/>
      <c r="Q1997" s="22"/>
      <c r="R1997" s="23"/>
    </row>
    <row r="1998" spans="1:18" ht="12.75">
      <c r="A1998" s="22"/>
      <c r="D1998" s="19"/>
      <c r="H1998" s="18"/>
      <c r="J1998" s="18"/>
      <c r="N1998" s="16"/>
      <c r="O1998" s="17"/>
      <c r="Q1998" s="22"/>
      <c r="R1998" s="23"/>
    </row>
    <row r="1999" spans="1:18" ht="12.75">
      <c r="A1999" s="22"/>
      <c r="D1999" s="19"/>
      <c r="H1999" s="18"/>
      <c r="J1999" s="18"/>
      <c r="N1999" s="16"/>
      <c r="O1999" s="17"/>
      <c r="Q1999" s="22"/>
      <c r="R1999" s="23"/>
    </row>
    <row r="2000" spans="1:18" ht="12.75">
      <c r="A2000" s="22"/>
      <c r="D2000" s="19"/>
      <c r="H2000" s="18"/>
      <c r="J2000" s="18"/>
      <c r="N2000" s="16"/>
      <c r="O2000" s="17"/>
      <c r="Q2000" s="22"/>
      <c r="R2000" s="23"/>
    </row>
    <row r="2001" spans="1:18" ht="12.75">
      <c r="A2001" s="22"/>
      <c r="D2001" s="19"/>
      <c r="H2001" s="18"/>
      <c r="J2001" s="18"/>
      <c r="N2001" s="16"/>
      <c r="O2001" s="17"/>
      <c r="Q2001" s="22"/>
      <c r="R2001" s="23"/>
    </row>
    <row r="2002" spans="1:18" ht="12.75">
      <c r="A2002" s="22"/>
      <c r="D2002" s="19"/>
      <c r="H2002" s="18"/>
      <c r="J2002" s="18"/>
      <c r="N2002" s="16"/>
      <c r="O2002" s="17"/>
      <c r="Q2002" s="22"/>
      <c r="R2002" s="23"/>
    </row>
    <row r="2003" spans="1:18" ht="12.75">
      <c r="A2003" s="22"/>
      <c r="D2003" s="19"/>
      <c r="H2003" s="18"/>
      <c r="J2003" s="18"/>
      <c r="N2003" s="16"/>
      <c r="O2003" s="17"/>
      <c r="Q2003" s="22"/>
      <c r="R2003" s="23"/>
    </row>
    <row r="2004" spans="1:18" ht="12.75">
      <c r="A2004" s="22"/>
      <c r="D2004" s="19"/>
      <c r="H2004" s="18"/>
      <c r="J2004" s="18"/>
      <c r="N2004" s="16"/>
      <c r="O2004" s="17"/>
      <c r="Q2004" s="22"/>
      <c r="R2004" s="23"/>
    </row>
    <row r="2005" spans="1:18" ht="12.75">
      <c r="A2005" s="22"/>
      <c r="D2005" s="19"/>
      <c r="H2005" s="18"/>
      <c r="J2005" s="18"/>
      <c r="N2005" s="16"/>
      <c r="O2005" s="17"/>
      <c r="Q2005" s="22"/>
      <c r="R2005" s="23"/>
    </row>
    <row r="2006" spans="1:18" ht="12.75">
      <c r="A2006" s="22"/>
      <c r="D2006" s="19"/>
      <c r="H2006" s="18"/>
      <c r="J2006" s="18"/>
      <c r="N2006" s="16"/>
      <c r="O2006" s="17"/>
      <c r="Q2006" s="22"/>
      <c r="R2006" s="23"/>
    </row>
    <row r="2007" spans="1:18" ht="12.75">
      <c r="A2007" s="22"/>
      <c r="D2007" s="19"/>
      <c r="H2007" s="18"/>
      <c r="J2007" s="18"/>
      <c r="N2007" s="16"/>
      <c r="O2007" s="17"/>
      <c r="Q2007" s="22"/>
      <c r="R2007" s="23"/>
    </row>
    <row r="2008" spans="1:18" ht="12.75">
      <c r="A2008" s="22"/>
      <c r="D2008" s="19"/>
      <c r="H2008" s="18"/>
      <c r="J2008" s="18"/>
      <c r="N2008" s="16"/>
      <c r="O2008" s="17"/>
      <c r="Q2008" s="22"/>
      <c r="R2008" s="23"/>
    </row>
    <row r="2009" spans="1:18" ht="12.75">
      <c r="A2009" s="22"/>
      <c r="D2009" s="19"/>
      <c r="H2009" s="18"/>
      <c r="J2009" s="18"/>
      <c r="N2009" s="16"/>
      <c r="O2009" s="17"/>
      <c r="Q2009" s="22"/>
      <c r="R2009" s="23"/>
    </row>
    <row r="2010" spans="1:18" ht="12.75">
      <c r="A2010" s="22"/>
      <c r="D2010" s="19"/>
      <c r="H2010" s="18"/>
      <c r="J2010" s="18"/>
      <c r="N2010" s="16"/>
      <c r="O2010" s="17"/>
      <c r="Q2010" s="22"/>
      <c r="R2010" s="23"/>
    </row>
    <row r="2011" spans="1:18" ht="12.75">
      <c r="A2011" s="22"/>
      <c r="D2011" s="19"/>
      <c r="H2011" s="18"/>
      <c r="J2011" s="18"/>
      <c r="N2011" s="16"/>
      <c r="O2011" s="17"/>
      <c r="Q2011" s="22"/>
      <c r="R2011" s="23"/>
    </row>
    <row r="2012" spans="1:18" ht="12.75">
      <c r="A2012" s="22"/>
      <c r="D2012" s="19"/>
      <c r="H2012" s="18"/>
      <c r="J2012" s="18"/>
      <c r="N2012" s="16"/>
      <c r="O2012" s="17"/>
      <c r="Q2012" s="22"/>
      <c r="R2012" s="23"/>
    </row>
    <row r="2013" spans="1:18" ht="12.75">
      <c r="A2013" s="22"/>
      <c r="D2013" s="19"/>
      <c r="H2013" s="18"/>
      <c r="J2013" s="18"/>
      <c r="N2013" s="16"/>
      <c r="O2013" s="17"/>
      <c r="Q2013" s="22"/>
      <c r="R2013" s="23"/>
    </row>
    <row r="2014" spans="1:18" ht="12.75">
      <c r="A2014" s="22"/>
      <c r="D2014" s="19"/>
      <c r="H2014" s="18"/>
      <c r="J2014" s="18"/>
      <c r="N2014" s="16"/>
      <c r="O2014" s="17"/>
      <c r="Q2014" s="22"/>
      <c r="R2014" s="23"/>
    </row>
    <row r="2015" spans="1:18" ht="12.75">
      <c r="A2015" s="22"/>
      <c r="D2015" s="19"/>
      <c r="H2015" s="18"/>
      <c r="J2015" s="18"/>
      <c r="N2015" s="16"/>
      <c r="O2015" s="17"/>
      <c r="Q2015" s="22"/>
      <c r="R2015" s="23"/>
    </row>
    <row r="2016" spans="1:18" ht="12.75">
      <c r="A2016" s="22"/>
      <c r="D2016" s="19"/>
      <c r="H2016" s="18"/>
      <c r="J2016" s="18"/>
      <c r="N2016" s="16"/>
      <c r="O2016" s="17"/>
      <c r="Q2016" s="22"/>
      <c r="R2016" s="23"/>
    </row>
    <row r="2017" spans="1:18" ht="12.75">
      <c r="A2017" s="22"/>
      <c r="D2017" s="19"/>
      <c r="H2017" s="18"/>
      <c r="J2017" s="18"/>
      <c r="N2017" s="16"/>
      <c r="O2017" s="17"/>
      <c r="Q2017" s="22"/>
      <c r="R2017" s="23"/>
    </row>
    <row r="2018" spans="1:18" ht="12.75">
      <c r="A2018" s="22"/>
      <c r="D2018" s="19"/>
      <c r="H2018" s="18"/>
      <c r="J2018" s="18"/>
      <c r="N2018" s="16"/>
      <c r="O2018" s="17"/>
      <c r="Q2018" s="22"/>
      <c r="R2018" s="23"/>
    </row>
    <row r="2019" spans="1:18" ht="12.75">
      <c r="A2019" s="22"/>
      <c r="D2019" s="19"/>
      <c r="H2019" s="18"/>
      <c r="J2019" s="18"/>
      <c r="N2019" s="16"/>
      <c r="O2019" s="17"/>
      <c r="Q2019" s="22"/>
      <c r="R2019" s="23"/>
    </row>
    <row r="2020" spans="1:18" ht="12.75">
      <c r="A2020" s="22"/>
      <c r="D2020" s="19"/>
      <c r="H2020" s="18"/>
      <c r="J2020" s="18"/>
      <c r="N2020" s="16"/>
      <c r="O2020" s="17"/>
      <c r="Q2020" s="22"/>
      <c r="R2020" s="23"/>
    </row>
    <row r="2021" spans="1:18" ht="12.75">
      <c r="A2021" s="22"/>
      <c r="D2021" s="19"/>
      <c r="H2021" s="18"/>
      <c r="J2021" s="18"/>
      <c r="N2021" s="16"/>
      <c r="O2021" s="17"/>
      <c r="Q2021" s="22"/>
      <c r="R2021" s="23"/>
    </row>
    <row r="2022" spans="1:18" ht="12.75">
      <c r="A2022" s="22"/>
      <c r="D2022" s="19"/>
      <c r="H2022" s="18"/>
      <c r="J2022" s="18"/>
      <c r="N2022" s="16"/>
      <c r="O2022" s="17"/>
      <c r="Q2022" s="22"/>
      <c r="R2022" s="23"/>
    </row>
    <row r="2023" spans="1:18" ht="12.75">
      <c r="A2023" s="22"/>
      <c r="D2023" s="19"/>
      <c r="H2023" s="18"/>
      <c r="J2023" s="18"/>
      <c r="N2023" s="16"/>
      <c r="O2023" s="17"/>
      <c r="Q2023" s="22"/>
      <c r="R2023" s="23"/>
    </row>
    <row r="2024" spans="1:18" ht="12.75">
      <c r="A2024" s="22"/>
      <c r="D2024" s="19"/>
      <c r="H2024" s="18"/>
      <c r="J2024" s="18"/>
      <c r="N2024" s="16"/>
      <c r="O2024" s="17"/>
      <c r="Q2024" s="22"/>
      <c r="R2024" s="23"/>
    </row>
    <row r="2025" spans="1:18" ht="12.75">
      <c r="A2025" s="22"/>
      <c r="D2025" s="19"/>
      <c r="H2025" s="18"/>
      <c r="J2025" s="18"/>
      <c r="N2025" s="16"/>
      <c r="O2025" s="17"/>
      <c r="Q2025" s="22"/>
      <c r="R2025" s="23"/>
    </row>
    <row r="2026" spans="1:18" ht="12.75">
      <c r="A2026" s="22"/>
      <c r="D2026" s="19"/>
      <c r="H2026" s="18"/>
      <c r="J2026" s="18"/>
      <c r="N2026" s="16"/>
      <c r="O2026" s="17"/>
      <c r="Q2026" s="22"/>
      <c r="R2026" s="23"/>
    </row>
    <row r="2027" spans="1:18" ht="12.75">
      <c r="A2027" s="22"/>
      <c r="D2027" s="19"/>
      <c r="H2027" s="18"/>
      <c r="J2027" s="18"/>
      <c r="N2027" s="16"/>
      <c r="O2027" s="17"/>
      <c r="Q2027" s="22"/>
      <c r="R2027" s="23"/>
    </row>
    <row r="2028" spans="1:18" ht="12.75">
      <c r="A2028" s="22"/>
      <c r="D2028" s="19"/>
      <c r="H2028" s="18"/>
      <c r="J2028" s="18"/>
      <c r="N2028" s="16"/>
      <c r="O2028" s="17"/>
      <c r="Q2028" s="22"/>
      <c r="R2028" s="23"/>
    </row>
    <row r="2029" spans="1:18" ht="12.75">
      <c r="A2029" s="22"/>
      <c r="D2029" s="19"/>
      <c r="H2029" s="18"/>
      <c r="J2029" s="18"/>
      <c r="N2029" s="16"/>
      <c r="O2029" s="17"/>
      <c r="Q2029" s="22"/>
      <c r="R2029" s="23"/>
    </row>
    <row r="2030" spans="1:18" ht="12.75">
      <c r="A2030" s="22"/>
      <c r="D2030" s="19"/>
      <c r="H2030" s="18"/>
      <c r="J2030" s="18"/>
      <c r="N2030" s="16"/>
      <c r="O2030" s="17"/>
      <c r="Q2030" s="22"/>
      <c r="R2030" s="23"/>
    </row>
    <row r="2031" spans="1:18" ht="12.75">
      <c r="A2031" s="22"/>
      <c r="D2031" s="19"/>
      <c r="H2031" s="18"/>
      <c r="J2031" s="18"/>
      <c r="N2031" s="16"/>
      <c r="O2031" s="17"/>
      <c r="Q2031" s="22"/>
      <c r="R2031" s="23"/>
    </row>
    <row r="2032" spans="1:18" ht="12.75">
      <c r="A2032" s="22"/>
      <c r="D2032" s="19"/>
      <c r="H2032" s="18"/>
      <c r="J2032" s="18"/>
      <c r="N2032" s="16"/>
      <c r="O2032" s="17"/>
      <c r="Q2032" s="22"/>
      <c r="R2032" s="23"/>
    </row>
    <row r="2033" spans="1:18" ht="12.75">
      <c r="A2033" s="22"/>
      <c r="D2033" s="19"/>
      <c r="H2033" s="18"/>
      <c r="J2033" s="18"/>
      <c r="N2033" s="16"/>
      <c r="O2033" s="17"/>
      <c r="Q2033" s="22"/>
      <c r="R2033" s="23"/>
    </row>
    <row r="2034" spans="1:18" ht="12.75">
      <c r="A2034" s="22"/>
      <c r="D2034" s="19"/>
      <c r="H2034" s="18"/>
      <c r="J2034" s="18"/>
      <c r="N2034" s="16"/>
      <c r="O2034" s="17"/>
      <c r="Q2034" s="22"/>
      <c r="R2034" s="23"/>
    </row>
    <row r="2035" spans="1:18" ht="12.75">
      <c r="A2035" s="22"/>
      <c r="D2035" s="19"/>
      <c r="H2035" s="18"/>
      <c r="J2035" s="18"/>
      <c r="N2035" s="16"/>
      <c r="O2035" s="17"/>
      <c r="Q2035" s="22"/>
      <c r="R2035" s="23"/>
    </row>
    <row r="2036" spans="1:18" ht="12.75">
      <c r="A2036" s="22"/>
      <c r="D2036" s="19"/>
      <c r="H2036" s="18"/>
      <c r="J2036" s="18"/>
      <c r="N2036" s="16"/>
      <c r="O2036" s="17"/>
      <c r="Q2036" s="22"/>
      <c r="R2036" s="23"/>
    </row>
    <row r="2037" spans="1:18" ht="12.75">
      <c r="A2037" s="22"/>
      <c r="D2037" s="19"/>
      <c r="H2037" s="18"/>
      <c r="J2037" s="18"/>
      <c r="N2037" s="16"/>
      <c r="O2037" s="17"/>
      <c r="Q2037" s="22"/>
      <c r="R2037" s="23"/>
    </row>
    <row r="2038" spans="1:18" ht="12.75">
      <c r="A2038" s="22"/>
      <c r="D2038" s="19"/>
      <c r="H2038" s="18"/>
      <c r="J2038" s="18"/>
      <c r="N2038" s="16"/>
      <c r="O2038" s="17"/>
      <c r="Q2038" s="22"/>
      <c r="R2038" s="23"/>
    </row>
    <row r="2039" spans="1:18" ht="12.75">
      <c r="A2039" s="22"/>
      <c r="D2039" s="19"/>
      <c r="H2039" s="18"/>
      <c r="J2039" s="18"/>
      <c r="N2039" s="16"/>
      <c r="O2039" s="17"/>
      <c r="Q2039" s="22"/>
      <c r="R2039" s="23"/>
    </row>
    <row r="2040" spans="1:18" ht="12.75">
      <c r="A2040" s="22"/>
      <c r="D2040" s="19"/>
      <c r="H2040" s="18"/>
      <c r="J2040" s="18"/>
      <c r="N2040" s="16"/>
      <c r="O2040" s="17"/>
      <c r="Q2040" s="22"/>
      <c r="R2040" s="23"/>
    </row>
    <row r="2041" spans="1:18" ht="12.75">
      <c r="A2041" s="22"/>
      <c r="D2041" s="19"/>
      <c r="H2041" s="18"/>
      <c r="J2041" s="18"/>
      <c r="N2041" s="16"/>
      <c r="O2041" s="17"/>
      <c r="Q2041" s="22"/>
      <c r="R2041" s="23"/>
    </row>
    <row r="2042" spans="1:18" ht="12.75">
      <c r="A2042" s="22"/>
      <c r="D2042" s="19"/>
      <c r="H2042" s="18"/>
      <c r="J2042" s="18"/>
      <c r="N2042" s="16"/>
      <c r="O2042" s="17"/>
      <c r="Q2042" s="22"/>
      <c r="R2042" s="23"/>
    </row>
    <row r="2043" spans="1:18" ht="12.75">
      <c r="A2043" s="22"/>
      <c r="D2043" s="19"/>
      <c r="H2043" s="18"/>
      <c r="J2043" s="18"/>
      <c r="N2043" s="16"/>
      <c r="O2043" s="17"/>
      <c r="Q2043" s="22"/>
      <c r="R2043" s="23"/>
    </row>
    <row r="2044" spans="1:18" ht="12.75">
      <c r="A2044" s="22"/>
      <c r="D2044" s="19"/>
      <c r="H2044" s="18"/>
      <c r="J2044" s="18"/>
      <c r="N2044" s="16"/>
      <c r="O2044" s="17"/>
      <c r="Q2044" s="22"/>
      <c r="R2044" s="23"/>
    </row>
    <row r="2045" spans="1:18" ht="12.75">
      <c r="A2045" s="22"/>
      <c r="D2045" s="19"/>
      <c r="H2045" s="18"/>
      <c r="J2045" s="18"/>
      <c r="N2045" s="16"/>
      <c r="O2045" s="17"/>
      <c r="Q2045" s="22"/>
      <c r="R2045" s="23"/>
    </row>
    <row r="2046" spans="1:18" ht="12.75">
      <c r="A2046" s="22"/>
      <c r="D2046" s="19"/>
      <c r="H2046" s="18"/>
      <c r="J2046" s="18"/>
      <c r="N2046" s="16"/>
      <c r="O2046" s="17"/>
      <c r="Q2046" s="22"/>
      <c r="R2046" s="23"/>
    </row>
    <row r="2047" spans="1:18" ht="12.75">
      <c r="A2047" s="22"/>
      <c r="D2047" s="19"/>
      <c r="H2047" s="18"/>
      <c r="J2047" s="18"/>
      <c r="N2047" s="16"/>
      <c r="O2047" s="17"/>
      <c r="Q2047" s="22"/>
      <c r="R2047" s="23"/>
    </row>
    <row r="2048" spans="1:18" ht="12.75">
      <c r="A2048" s="22"/>
      <c r="D2048" s="19"/>
      <c r="H2048" s="18"/>
      <c r="J2048" s="18"/>
      <c r="N2048" s="16"/>
      <c r="O2048" s="17"/>
      <c r="Q2048" s="22"/>
      <c r="R2048" s="23"/>
    </row>
    <row r="2049" spans="1:18" ht="12.75">
      <c r="A2049" s="22"/>
      <c r="D2049" s="19"/>
      <c r="H2049" s="18"/>
      <c r="J2049" s="18"/>
      <c r="N2049" s="16"/>
      <c r="O2049" s="17"/>
      <c r="Q2049" s="22"/>
      <c r="R2049" s="23"/>
    </row>
    <row r="2050" spans="1:18" ht="12.75">
      <c r="A2050" s="22"/>
      <c r="D2050" s="19"/>
      <c r="H2050" s="18"/>
      <c r="J2050" s="18"/>
      <c r="N2050" s="16"/>
      <c r="O2050" s="17"/>
      <c r="Q2050" s="22"/>
      <c r="R2050" s="23"/>
    </row>
    <row r="2051" spans="1:18" ht="12.75">
      <c r="A2051" s="22"/>
      <c r="D2051" s="19"/>
      <c r="H2051" s="18"/>
      <c r="J2051" s="18"/>
      <c r="N2051" s="16"/>
      <c r="O2051" s="17"/>
      <c r="Q2051" s="22"/>
      <c r="R2051" s="23"/>
    </row>
    <row r="2052" spans="1:18" ht="12.75">
      <c r="A2052" s="22"/>
      <c r="D2052" s="19"/>
      <c r="H2052" s="18"/>
      <c r="J2052" s="18"/>
      <c r="N2052" s="16"/>
      <c r="O2052" s="17"/>
      <c r="Q2052" s="22"/>
      <c r="R2052" s="23"/>
    </row>
    <row r="2053" spans="1:18" ht="12.75">
      <c r="A2053" s="22"/>
      <c r="D2053" s="19"/>
      <c r="H2053" s="18"/>
      <c r="J2053" s="18"/>
      <c r="N2053" s="16"/>
      <c r="O2053" s="17"/>
      <c r="Q2053" s="22"/>
      <c r="R2053" s="23"/>
    </row>
    <row r="2054" spans="1:18" ht="12.75">
      <c r="A2054" s="22"/>
      <c r="D2054" s="19"/>
      <c r="H2054" s="18"/>
      <c r="J2054" s="18"/>
      <c r="N2054" s="16"/>
      <c r="O2054" s="17"/>
      <c r="Q2054" s="22"/>
      <c r="R2054" s="23"/>
    </row>
    <row r="2055" spans="1:18" ht="12.75">
      <c r="A2055" s="22"/>
      <c r="D2055" s="19"/>
      <c r="H2055" s="18"/>
      <c r="J2055" s="18"/>
      <c r="N2055" s="16"/>
      <c r="O2055" s="17"/>
      <c r="Q2055" s="22"/>
      <c r="R2055" s="23"/>
    </row>
    <row r="2056" spans="1:18" ht="12.75">
      <c r="A2056" s="22"/>
      <c r="D2056" s="19"/>
      <c r="H2056" s="18"/>
      <c r="J2056" s="18"/>
      <c r="N2056" s="16"/>
      <c r="O2056" s="17"/>
      <c r="Q2056" s="22"/>
      <c r="R2056" s="23"/>
    </row>
    <row r="2057" spans="1:18" ht="12.75">
      <c r="A2057" s="22"/>
      <c r="D2057" s="19"/>
      <c r="H2057" s="18"/>
      <c r="J2057" s="18"/>
      <c r="N2057" s="16"/>
      <c r="O2057" s="17"/>
      <c r="Q2057" s="22"/>
      <c r="R2057" s="23"/>
    </row>
    <row r="2058" spans="1:18" ht="12.75">
      <c r="A2058" s="22"/>
      <c r="D2058" s="19"/>
      <c r="H2058" s="18"/>
      <c r="J2058" s="18"/>
      <c r="N2058" s="16"/>
      <c r="O2058" s="17"/>
      <c r="Q2058" s="22"/>
      <c r="R2058" s="23"/>
    </row>
    <row r="2059" spans="1:18" ht="12.75">
      <c r="A2059" s="22"/>
      <c r="D2059" s="19"/>
      <c r="H2059" s="18"/>
      <c r="J2059" s="18"/>
      <c r="N2059" s="16"/>
      <c r="O2059" s="17"/>
      <c r="Q2059" s="22"/>
      <c r="R2059" s="23"/>
    </row>
    <row r="2060" spans="1:18" ht="12.75">
      <c r="A2060" s="22"/>
      <c r="D2060" s="19"/>
      <c r="H2060" s="18"/>
      <c r="J2060" s="18"/>
      <c r="N2060" s="16"/>
      <c r="O2060" s="17"/>
      <c r="Q2060" s="22"/>
      <c r="R2060" s="23"/>
    </row>
    <row r="2061" spans="1:18" ht="12.75">
      <c r="A2061" s="22"/>
      <c r="D2061" s="19"/>
      <c r="H2061" s="18"/>
      <c r="J2061" s="18"/>
      <c r="N2061" s="16"/>
      <c r="O2061" s="17"/>
      <c r="Q2061" s="22"/>
      <c r="R2061" s="23"/>
    </row>
    <row r="2062" spans="1:18" ht="12.75">
      <c r="A2062" s="22"/>
      <c r="D2062" s="19"/>
      <c r="H2062" s="18"/>
      <c r="J2062" s="18"/>
      <c r="N2062" s="16"/>
      <c r="O2062" s="17"/>
      <c r="Q2062" s="22"/>
      <c r="R2062" s="23"/>
    </row>
    <row r="2063" spans="1:18" ht="12.75">
      <c r="A2063" s="22"/>
      <c r="D2063" s="19"/>
      <c r="H2063" s="18"/>
      <c r="J2063" s="18"/>
      <c r="N2063" s="16"/>
      <c r="O2063" s="17"/>
      <c r="Q2063" s="22"/>
      <c r="R2063" s="23"/>
    </row>
    <row r="2064" spans="1:18" ht="12.75">
      <c r="A2064" s="22"/>
      <c r="D2064" s="19"/>
      <c r="H2064" s="18"/>
      <c r="J2064" s="18"/>
      <c r="N2064" s="16"/>
      <c r="O2064" s="17"/>
      <c r="Q2064" s="22"/>
      <c r="R2064" s="23"/>
    </row>
    <row r="2065" spans="1:18" ht="12.75">
      <c r="A2065" s="22"/>
      <c r="D2065" s="19"/>
      <c r="H2065" s="18"/>
      <c r="J2065" s="18"/>
      <c r="N2065" s="16"/>
      <c r="O2065" s="17"/>
      <c r="Q2065" s="22"/>
      <c r="R2065" s="23"/>
    </row>
    <row r="2066" spans="1:18" ht="12.75">
      <c r="A2066" s="22"/>
      <c r="D2066" s="19"/>
      <c r="H2066" s="18"/>
      <c r="J2066" s="18"/>
      <c r="N2066" s="16"/>
      <c r="O2066" s="17"/>
      <c r="Q2066" s="22"/>
      <c r="R2066" s="23"/>
    </row>
    <row r="2067" spans="1:18" ht="12.75">
      <c r="A2067" s="22"/>
      <c r="D2067" s="19"/>
      <c r="H2067" s="18"/>
      <c r="J2067" s="18"/>
      <c r="N2067" s="16"/>
      <c r="O2067" s="17"/>
      <c r="Q2067" s="22"/>
      <c r="R2067" s="23"/>
    </row>
    <row r="2068" spans="1:18" ht="12.75">
      <c r="A2068" s="22"/>
      <c r="D2068" s="19"/>
      <c r="H2068" s="18"/>
      <c r="J2068" s="18"/>
      <c r="N2068" s="16"/>
      <c r="O2068" s="17"/>
      <c r="Q2068" s="22"/>
      <c r="R2068" s="23"/>
    </row>
    <row r="2069" spans="1:18" ht="12.75">
      <c r="A2069" s="22"/>
      <c r="D2069" s="19"/>
      <c r="H2069" s="18"/>
      <c r="J2069" s="18"/>
      <c r="N2069" s="16"/>
      <c r="O2069" s="17"/>
      <c r="Q2069" s="22"/>
      <c r="R2069" s="23"/>
    </row>
    <row r="2070" spans="1:18" ht="12.75">
      <c r="A2070" s="22"/>
      <c r="D2070" s="19"/>
      <c r="H2070" s="18"/>
      <c r="J2070" s="18"/>
      <c r="N2070" s="16"/>
      <c r="O2070" s="17"/>
      <c r="Q2070" s="22"/>
      <c r="R2070" s="23"/>
    </row>
    <row r="2071" spans="1:18" ht="12.75">
      <c r="A2071" s="22"/>
      <c r="D2071" s="19"/>
      <c r="H2071" s="18"/>
      <c r="J2071" s="18"/>
      <c r="N2071" s="16"/>
      <c r="O2071" s="17"/>
      <c r="Q2071" s="22"/>
      <c r="R2071" s="23"/>
    </row>
    <row r="2072" spans="1:18" ht="12.75">
      <c r="A2072" s="22"/>
      <c r="D2072" s="19"/>
      <c r="H2072" s="18"/>
      <c r="J2072" s="18"/>
      <c r="N2072" s="16"/>
      <c r="O2072" s="17"/>
      <c r="Q2072" s="22"/>
      <c r="R2072" s="23"/>
    </row>
    <row r="2073" spans="1:18" ht="12.75">
      <c r="A2073" s="22"/>
      <c r="D2073" s="19"/>
      <c r="H2073" s="18"/>
      <c r="J2073" s="18"/>
      <c r="N2073" s="16"/>
      <c r="O2073" s="17"/>
      <c r="Q2073" s="22"/>
      <c r="R2073" s="23"/>
    </row>
    <row r="2074" spans="1:18" ht="12.75">
      <c r="A2074" s="22"/>
      <c r="D2074" s="19"/>
      <c r="H2074" s="18"/>
      <c r="J2074" s="18"/>
      <c r="N2074" s="16"/>
      <c r="O2074" s="17"/>
      <c r="Q2074" s="22"/>
      <c r="R2074" s="23"/>
    </row>
    <row r="2075" spans="1:18" ht="12.75">
      <c r="A2075" s="22"/>
      <c r="D2075" s="19"/>
      <c r="H2075" s="18"/>
      <c r="J2075" s="18"/>
      <c r="N2075" s="16"/>
      <c r="O2075" s="17"/>
      <c r="Q2075" s="22"/>
      <c r="R2075" s="23"/>
    </row>
    <row r="2076" spans="1:18" ht="12.75">
      <c r="A2076" s="22"/>
      <c r="D2076" s="19"/>
      <c r="H2076" s="18"/>
      <c r="J2076" s="18"/>
      <c r="N2076" s="16"/>
      <c r="O2076" s="17"/>
      <c r="Q2076" s="22"/>
      <c r="R2076" s="23"/>
    </row>
    <row r="2077" spans="1:18" ht="12.75">
      <c r="A2077" s="22"/>
      <c r="D2077" s="19"/>
      <c r="H2077" s="18"/>
      <c r="J2077" s="18"/>
      <c r="N2077" s="16"/>
      <c r="O2077" s="17"/>
      <c r="Q2077" s="22"/>
      <c r="R2077" s="23"/>
    </row>
    <row r="2078" spans="1:18" ht="12.75">
      <c r="A2078" s="22"/>
      <c r="D2078" s="19"/>
      <c r="H2078" s="18"/>
      <c r="J2078" s="18"/>
      <c r="N2078" s="16"/>
      <c r="O2078" s="17"/>
      <c r="Q2078" s="22"/>
      <c r="R2078" s="23"/>
    </row>
    <row r="2079" spans="1:18" ht="12.75">
      <c r="A2079" s="22"/>
      <c r="D2079" s="19"/>
      <c r="H2079" s="18"/>
      <c r="J2079" s="18"/>
      <c r="N2079" s="16"/>
      <c r="O2079" s="17"/>
      <c r="Q2079" s="22"/>
      <c r="R2079" s="23"/>
    </row>
    <row r="2080" spans="1:18" ht="12.75">
      <c r="A2080" s="22"/>
      <c r="D2080" s="19"/>
      <c r="H2080" s="18"/>
      <c r="J2080" s="18"/>
      <c r="N2080" s="16"/>
      <c r="O2080" s="17"/>
      <c r="Q2080" s="22"/>
      <c r="R2080" s="23"/>
    </row>
    <row r="2081" spans="1:18" ht="12.75">
      <c r="A2081" s="22"/>
      <c r="D2081" s="19"/>
      <c r="H2081" s="18"/>
      <c r="J2081" s="18"/>
      <c r="N2081" s="16"/>
      <c r="O2081" s="17"/>
      <c r="Q2081" s="22"/>
      <c r="R2081" s="23"/>
    </row>
    <row r="2082" spans="1:18" ht="12.75">
      <c r="A2082" s="22"/>
      <c r="D2082" s="19"/>
      <c r="H2082" s="18"/>
      <c r="J2082" s="18"/>
      <c r="N2082" s="16"/>
      <c r="O2082" s="17"/>
      <c r="Q2082" s="22"/>
      <c r="R2082" s="23"/>
    </row>
    <row r="2083" spans="1:18" ht="12.75">
      <c r="A2083" s="22"/>
      <c r="D2083" s="19"/>
      <c r="H2083" s="18"/>
      <c r="J2083" s="18"/>
      <c r="N2083" s="16"/>
      <c r="O2083" s="17"/>
      <c r="Q2083" s="22"/>
      <c r="R2083" s="23"/>
    </row>
    <row r="2084" spans="1:18" ht="12.75">
      <c r="A2084" s="22"/>
      <c r="D2084" s="19"/>
      <c r="H2084" s="18"/>
      <c r="J2084" s="18"/>
      <c r="N2084" s="16"/>
      <c r="O2084" s="17"/>
      <c r="Q2084" s="22"/>
      <c r="R2084" s="23"/>
    </row>
    <row r="2085" spans="1:18" ht="12.75">
      <c r="A2085" s="22"/>
      <c r="D2085" s="19"/>
      <c r="H2085" s="18"/>
      <c r="J2085" s="18"/>
      <c r="N2085" s="16"/>
      <c r="O2085" s="17"/>
      <c r="Q2085" s="22"/>
      <c r="R2085" s="23"/>
    </row>
    <row r="2086" spans="1:18" ht="12.75">
      <c r="A2086" s="22"/>
      <c r="D2086" s="19"/>
      <c r="H2086" s="18"/>
      <c r="J2086" s="18"/>
      <c r="N2086" s="16"/>
      <c r="O2086" s="17"/>
      <c r="Q2086" s="22"/>
      <c r="R2086" s="23"/>
    </row>
    <row r="2087" spans="1:18" ht="12.75">
      <c r="A2087" s="22"/>
      <c r="D2087" s="19"/>
      <c r="H2087" s="18"/>
      <c r="J2087" s="18"/>
      <c r="N2087" s="16"/>
      <c r="O2087" s="17"/>
      <c r="Q2087" s="22"/>
      <c r="R2087" s="23"/>
    </row>
    <row r="2088" spans="1:18" ht="12.75">
      <c r="A2088" s="22"/>
      <c r="D2088" s="19"/>
      <c r="H2088" s="18"/>
      <c r="J2088" s="18"/>
      <c r="N2088" s="16"/>
      <c r="O2088" s="17"/>
      <c r="Q2088" s="22"/>
      <c r="R2088" s="23"/>
    </row>
    <row r="2089" spans="1:18" ht="12.75">
      <c r="A2089" s="22"/>
      <c r="D2089" s="19"/>
      <c r="H2089" s="18"/>
      <c r="J2089" s="18"/>
      <c r="N2089" s="16"/>
      <c r="O2089" s="17"/>
      <c r="Q2089" s="22"/>
      <c r="R2089" s="23"/>
    </row>
    <row r="2090" spans="1:18" ht="12.75">
      <c r="A2090" s="22"/>
      <c r="D2090" s="19"/>
      <c r="H2090" s="18"/>
      <c r="J2090" s="18"/>
      <c r="N2090" s="16"/>
      <c r="O2090" s="17"/>
      <c r="Q2090" s="22"/>
      <c r="R2090" s="23"/>
    </row>
    <row r="2091" spans="1:18" ht="12.75">
      <c r="A2091" s="22"/>
      <c r="D2091" s="19"/>
      <c r="H2091" s="18"/>
      <c r="J2091" s="18"/>
      <c r="N2091" s="16"/>
      <c r="O2091" s="17"/>
      <c r="Q2091" s="22"/>
      <c r="R2091" s="23"/>
    </row>
    <row r="2092" spans="1:18" ht="12.75">
      <c r="A2092" s="22"/>
      <c r="D2092" s="19"/>
      <c r="H2092" s="18"/>
      <c r="J2092" s="18"/>
      <c r="N2092" s="16"/>
      <c r="O2092" s="17"/>
      <c r="Q2092" s="22"/>
      <c r="R2092" s="23"/>
    </row>
    <row r="2093" spans="1:18" ht="12.75">
      <c r="A2093" s="22"/>
      <c r="D2093" s="19"/>
      <c r="H2093" s="18"/>
      <c r="J2093" s="18"/>
      <c r="N2093" s="16"/>
      <c r="O2093" s="17"/>
      <c r="Q2093" s="22"/>
      <c r="R2093" s="23"/>
    </row>
    <row r="2094" spans="1:18" ht="12.75">
      <c r="A2094" s="22"/>
      <c r="D2094" s="19"/>
      <c r="H2094" s="18"/>
      <c r="J2094" s="18"/>
      <c r="N2094" s="16"/>
      <c r="O2094" s="17"/>
      <c r="Q2094" s="22"/>
      <c r="R2094" s="23"/>
    </row>
    <row r="2095" spans="1:18" ht="12.75">
      <c r="A2095" s="22"/>
      <c r="D2095" s="19"/>
      <c r="H2095" s="18"/>
      <c r="J2095" s="18"/>
      <c r="N2095" s="16"/>
      <c r="O2095" s="17"/>
      <c r="Q2095" s="22"/>
      <c r="R2095" s="23"/>
    </row>
    <row r="2096" spans="1:18" ht="12.75">
      <c r="A2096" s="22"/>
      <c r="D2096" s="19"/>
      <c r="H2096" s="18"/>
      <c r="J2096" s="18"/>
      <c r="N2096" s="16"/>
      <c r="O2096" s="17"/>
      <c r="Q2096" s="22"/>
      <c r="R2096" s="23"/>
    </row>
    <row r="2097" spans="1:18" ht="12.75">
      <c r="A2097" s="22"/>
      <c r="D2097" s="19"/>
      <c r="H2097" s="18"/>
      <c r="J2097" s="18"/>
      <c r="N2097" s="16"/>
      <c r="O2097" s="17"/>
      <c r="Q2097" s="22"/>
      <c r="R2097" s="23"/>
    </row>
    <row r="2098" spans="1:18" ht="12.75">
      <c r="A2098" s="22"/>
      <c r="D2098" s="19"/>
      <c r="H2098" s="18"/>
      <c r="J2098" s="18"/>
      <c r="N2098" s="16"/>
      <c r="O2098" s="17"/>
      <c r="Q2098" s="22"/>
      <c r="R2098" s="23"/>
    </row>
    <row r="2099" spans="1:18" ht="12.75">
      <c r="A2099" s="22"/>
      <c r="D2099" s="19"/>
      <c r="H2099" s="18"/>
      <c r="J2099" s="18"/>
      <c r="N2099" s="16"/>
      <c r="O2099" s="17"/>
      <c r="Q2099" s="22"/>
      <c r="R2099" s="23"/>
    </row>
    <row r="2100" spans="1:18" ht="12.75">
      <c r="A2100" s="22"/>
      <c r="D2100" s="19"/>
      <c r="H2100" s="18"/>
      <c r="J2100" s="18"/>
      <c r="N2100" s="16"/>
      <c r="O2100" s="17"/>
      <c r="Q2100" s="22"/>
      <c r="R2100" s="23"/>
    </row>
    <row r="2101" spans="1:18" ht="12.75">
      <c r="A2101" s="22"/>
      <c r="D2101" s="19"/>
      <c r="H2101" s="18"/>
      <c r="J2101" s="18"/>
      <c r="N2101" s="16"/>
      <c r="O2101" s="17"/>
      <c r="Q2101" s="22"/>
      <c r="R2101" s="23"/>
    </row>
    <row r="2102" spans="1:18" ht="12.75">
      <c r="A2102" s="22"/>
      <c r="D2102" s="19"/>
      <c r="H2102" s="18"/>
      <c r="J2102" s="18"/>
      <c r="N2102" s="16"/>
      <c r="O2102" s="17"/>
      <c r="Q2102" s="22"/>
      <c r="R2102" s="23"/>
    </row>
    <row r="2103" spans="1:18" ht="12.75">
      <c r="A2103" s="22"/>
      <c r="D2103" s="19"/>
      <c r="H2103" s="18"/>
      <c r="J2103" s="18"/>
      <c r="N2103" s="16"/>
      <c r="O2103" s="17"/>
      <c r="Q2103" s="22"/>
      <c r="R2103" s="23"/>
    </row>
    <row r="2104" spans="1:18" ht="12.75">
      <c r="A2104" s="22"/>
      <c r="D2104" s="19"/>
      <c r="H2104" s="18"/>
      <c r="J2104" s="18"/>
      <c r="N2104" s="16"/>
      <c r="O2104" s="17"/>
      <c r="Q2104" s="22"/>
      <c r="R2104" s="23"/>
    </row>
    <row r="2105" spans="1:18" ht="12.75">
      <c r="A2105" s="22"/>
      <c r="D2105" s="19"/>
      <c r="H2105" s="18"/>
      <c r="J2105" s="18"/>
      <c r="N2105" s="16"/>
      <c r="O2105" s="17"/>
      <c r="Q2105" s="22"/>
      <c r="R2105" s="23"/>
    </row>
    <row r="2106" spans="1:18" ht="12.75">
      <c r="A2106" s="22"/>
      <c r="D2106" s="19"/>
      <c r="H2106" s="18"/>
      <c r="J2106" s="18"/>
      <c r="N2106" s="16"/>
      <c r="O2106" s="17"/>
      <c r="Q2106" s="22"/>
      <c r="R2106" s="23"/>
    </row>
    <row r="2107" spans="1:18" ht="12.75">
      <c r="A2107" s="22"/>
      <c r="D2107" s="19"/>
      <c r="H2107" s="18"/>
      <c r="J2107" s="18"/>
      <c r="N2107" s="16"/>
      <c r="O2107" s="17"/>
      <c r="Q2107" s="22"/>
      <c r="R2107" s="23"/>
    </row>
    <row r="2108" spans="1:18" ht="12.75">
      <c r="A2108" s="22"/>
      <c r="D2108" s="19"/>
      <c r="H2108" s="18"/>
      <c r="J2108" s="18"/>
      <c r="N2108" s="16"/>
      <c r="O2108" s="17"/>
      <c r="Q2108" s="22"/>
      <c r="R2108" s="23"/>
    </row>
    <row r="2109" spans="1:18" ht="12.75">
      <c r="A2109" s="22"/>
      <c r="D2109" s="19"/>
      <c r="H2109" s="18"/>
      <c r="J2109" s="18"/>
      <c r="N2109" s="16"/>
      <c r="O2109" s="17"/>
      <c r="Q2109" s="22"/>
      <c r="R2109" s="23"/>
    </row>
    <row r="2110" spans="1:18" ht="12.75">
      <c r="A2110" s="22"/>
      <c r="D2110" s="19"/>
      <c r="H2110" s="18"/>
      <c r="J2110" s="18"/>
      <c r="N2110" s="16"/>
      <c r="O2110" s="17"/>
      <c r="Q2110" s="22"/>
      <c r="R2110" s="23"/>
    </row>
    <row r="2111" spans="1:18" ht="12.75">
      <c r="A2111" s="22"/>
      <c r="D2111" s="19"/>
      <c r="H2111" s="18"/>
      <c r="J2111" s="18"/>
      <c r="N2111" s="16"/>
      <c r="O2111" s="17"/>
      <c r="Q2111" s="22"/>
      <c r="R2111" s="23"/>
    </row>
    <row r="2112" spans="1:18" ht="12.75">
      <c r="A2112" s="22"/>
      <c r="D2112" s="19"/>
      <c r="H2112" s="18"/>
      <c r="J2112" s="18"/>
      <c r="N2112" s="16"/>
      <c r="O2112" s="17"/>
      <c r="Q2112" s="22"/>
      <c r="R2112" s="23"/>
    </row>
    <row r="2113" spans="1:18" ht="12.75">
      <c r="A2113" s="22"/>
      <c r="D2113" s="19"/>
      <c r="H2113" s="18"/>
      <c r="J2113" s="18"/>
      <c r="N2113" s="16"/>
      <c r="O2113" s="17"/>
      <c r="Q2113" s="22"/>
      <c r="R2113" s="23"/>
    </row>
    <row r="2114" spans="1:18" ht="12.75">
      <c r="A2114" s="22"/>
      <c r="D2114" s="19"/>
      <c r="H2114" s="18"/>
      <c r="J2114" s="18"/>
      <c r="N2114" s="16"/>
      <c r="O2114" s="17"/>
      <c r="Q2114" s="22"/>
      <c r="R2114" s="23"/>
    </row>
    <row r="2115" spans="1:18" ht="12.75">
      <c r="A2115" s="22"/>
      <c r="D2115" s="19"/>
      <c r="H2115" s="18"/>
      <c r="J2115" s="18"/>
      <c r="N2115" s="16"/>
      <c r="O2115" s="17"/>
      <c r="Q2115" s="22"/>
      <c r="R2115" s="23"/>
    </row>
    <row r="2116" spans="1:18" ht="12.75">
      <c r="A2116" s="22"/>
      <c r="D2116" s="19"/>
      <c r="H2116" s="18"/>
      <c r="J2116" s="18"/>
      <c r="N2116" s="16"/>
      <c r="O2116" s="17"/>
      <c r="Q2116" s="22"/>
      <c r="R2116" s="23"/>
    </row>
    <row r="2117" spans="1:18" ht="12.75">
      <c r="A2117" s="22"/>
      <c r="D2117" s="19"/>
      <c r="H2117" s="18"/>
      <c r="J2117" s="18"/>
      <c r="N2117" s="16"/>
      <c r="O2117" s="17"/>
      <c r="Q2117" s="22"/>
      <c r="R2117" s="23"/>
    </row>
    <row r="2118" spans="1:18" ht="12.75">
      <c r="A2118" s="22"/>
      <c r="D2118" s="19"/>
      <c r="H2118" s="18"/>
      <c r="J2118" s="18"/>
      <c r="N2118" s="16"/>
      <c r="O2118" s="17"/>
      <c r="Q2118" s="22"/>
      <c r="R2118" s="23"/>
    </row>
    <row r="2119" spans="1:18" ht="12.75">
      <c r="A2119" s="22"/>
      <c r="D2119" s="19"/>
      <c r="H2119" s="18"/>
      <c r="J2119" s="18"/>
      <c r="N2119" s="16"/>
      <c r="O2119" s="17"/>
      <c r="Q2119" s="22"/>
      <c r="R2119" s="23"/>
    </row>
    <row r="2120" spans="1:18" ht="12.75">
      <c r="A2120" s="22"/>
      <c r="D2120" s="19"/>
      <c r="H2120" s="18"/>
      <c r="J2120" s="18"/>
      <c r="N2120" s="16"/>
      <c r="O2120" s="17"/>
      <c r="Q2120" s="22"/>
      <c r="R2120" s="23"/>
    </row>
    <row r="2121" spans="1:18" ht="12.75">
      <c r="A2121" s="22"/>
      <c r="D2121" s="19"/>
      <c r="H2121" s="18"/>
      <c r="J2121" s="18"/>
      <c r="N2121" s="16"/>
      <c r="O2121" s="17"/>
      <c r="Q2121" s="22"/>
      <c r="R2121" s="23"/>
    </row>
    <row r="2122" spans="1:18" ht="12.75">
      <c r="A2122" s="22"/>
      <c r="D2122" s="19"/>
      <c r="H2122" s="18"/>
      <c r="J2122" s="18"/>
      <c r="N2122" s="16"/>
      <c r="O2122" s="17"/>
      <c r="Q2122" s="22"/>
      <c r="R2122" s="23"/>
    </row>
    <row r="2123" spans="1:18" ht="12.75">
      <c r="A2123" s="22"/>
      <c r="D2123" s="19"/>
      <c r="H2123" s="18"/>
      <c r="J2123" s="18"/>
      <c r="N2123" s="16"/>
      <c r="O2123" s="17"/>
      <c r="Q2123" s="22"/>
      <c r="R2123" s="23"/>
    </row>
    <row r="2124" spans="1:18" ht="12.75">
      <c r="A2124" s="22"/>
      <c r="D2124" s="19"/>
      <c r="H2124" s="18"/>
      <c r="J2124" s="18"/>
      <c r="N2124" s="16"/>
      <c r="O2124" s="17"/>
      <c r="Q2124" s="22"/>
      <c r="R2124" s="23"/>
    </row>
    <row r="2125" spans="1:18" ht="12.75">
      <c r="A2125" s="22"/>
      <c r="D2125" s="19"/>
      <c r="H2125" s="18"/>
      <c r="J2125" s="18"/>
      <c r="N2125" s="16"/>
      <c r="O2125" s="17"/>
      <c r="Q2125" s="22"/>
      <c r="R2125" s="23"/>
    </row>
    <row r="2126" spans="1:18" ht="12.75">
      <c r="A2126" s="22"/>
      <c r="D2126" s="19"/>
      <c r="H2126" s="18"/>
      <c r="J2126" s="18"/>
      <c r="N2126" s="16"/>
      <c r="O2126" s="17"/>
      <c r="Q2126" s="22"/>
      <c r="R2126" s="23"/>
    </row>
    <row r="2127" spans="1:18" ht="12.75">
      <c r="A2127" s="22"/>
      <c r="D2127" s="19"/>
      <c r="H2127" s="18"/>
      <c r="J2127" s="18"/>
      <c r="N2127" s="16"/>
      <c r="O2127" s="17"/>
      <c r="Q2127" s="22"/>
      <c r="R2127" s="23"/>
    </row>
    <row r="2128" spans="1:18" ht="12.75">
      <c r="A2128" s="22"/>
      <c r="D2128" s="19"/>
      <c r="H2128" s="18"/>
      <c r="J2128" s="18"/>
      <c r="N2128" s="16"/>
      <c r="O2128" s="17"/>
      <c r="Q2128" s="22"/>
      <c r="R2128" s="23"/>
    </row>
    <row r="2129" spans="1:18" ht="12.75">
      <c r="A2129" s="22"/>
      <c r="D2129" s="19"/>
      <c r="H2129" s="18"/>
      <c r="J2129" s="18"/>
      <c r="N2129" s="16"/>
      <c r="O2129" s="17"/>
      <c r="Q2129" s="22"/>
      <c r="R2129" s="23"/>
    </row>
    <row r="2130" spans="1:18" ht="12.75">
      <c r="A2130" s="22"/>
      <c r="D2130" s="19"/>
      <c r="H2130" s="18"/>
      <c r="J2130" s="18"/>
      <c r="N2130" s="16"/>
      <c r="O2130" s="17"/>
      <c r="Q2130" s="22"/>
      <c r="R2130" s="23"/>
    </row>
    <row r="2131" spans="1:18" ht="12.75">
      <c r="A2131" s="22"/>
      <c r="D2131" s="19"/>
      <c r="H2131" s="18"/>
      <c r="J2131" s="18"/>
      <c r="N2131" s="16"/>
      <c r="O2131" s="17"/>
      <c r="Q2131" s="22"/>
      <c r="R2131" s="23"/>
    </row>
    <row r="2132" spans="1:18" ht="12.75">
      <c r="A2132" s="22"/>
      <c r="D2132" s="19"/>
      <c r="H2132" s="18"/>
      <c r="J2132" s="18"/>
      <c r="N2132" s="16"/>
      <c r="O2132" s="17"/>
      <c r="Q2132" s="22"/>
      <c r="R2132" s="23"/>
    </row>
    <row r="2133" spans="1:18" ht="12.75">
      <c r="A2133" s="22"/>
      <c r="D2133" s="19"/>
      <c r="H2133" s="18"/>
      <c r="J2133" s="18"/>
      <c r="N2133" s="16"/>
      <c r="O2133" s="17"/>
      <c r="Q2133" s="22"/>
      <c r="R2133" s="23"/>
    </row>
    <row r="2134" spans="1:18" ht="12.75">
      <c r="A2134" s="22"/>
      <c r="D2134" s="19"/>
      <c r="H2134" s="18"/>
      <c r="J2134" s="18"/>
      <c r="N2134" s="16"/>
      <c r="O2134" s="17"/>
      <c r="Q2134" s="22"/>
      <c r="R2134" s="23"/>
    </row>
    <row r="2135" spans="1:18" ht="12.75">
      <c r="A2135" s="22"/>
      <c r="D2135" s="19"/>
      <c r="H2135" s="18"/>
      <c r="J2135" s="18"/>
      <c r="N2135" s="16"/>
      <c r="O2135" s="17"/>
      <c r="Q2135" s="22"/>
      <c r="R2135" s="23"/>
    </row>
    <row r="2136" spans="1:18" ht="12.75">
      <c r="A2136" s="22"/>
      <c r="D2136" s="19"/>
      <c r="H2136" s="18"/>
      <c r="J2136" s="18"/>
      <c r="N2136" s="16"/>
      <c r="O2136" s="17"/>
      <c r="Q2136" s="22"/>
      <c r="R2136" s="23"/>
    </row>
    <row r="2137" spans="1:18" ht="12.75">
      <c r="A2137" s="22"/>
      <c r="D2137" s="19"/>
      <c r="H2137" s="18"/>
      <c r="J2137" s="18"/>
      <c r="N2137" s="16"/>
      <c r="O2137" s="17"/>
      <c r="Q2137" s="22"/>
      <c r="R2137" s="23"/>
    </row>
    <row r="2138" spans="1:18" ht="12.75">
      <c r="A2138" s="22"/>
      <c r="D2138" s="19"/>
      <c r="H2138" s="18"/>
      <c r="J2138" s="18"/>
      <c r="N2138" s="16"/>
      <c r="O2138" s="17"/>
      <c r="Q2138" s="22"/>
      <c r="R2138" s="23"/>
    </row>
    <row r="2139" spans="1:18" ht="12.75">
      <c r="A2139" s="22"/>
      <c r="D2139" s="19"/>
      <c r="H2139" s="18"/>
      <c r="J2139" s="18"/>
      <c r="N2139" s="16"/>
      <c r="O2139" s="17"/>
      <c r="Q2139" s="22"/>
      <c r="R2139" s="23"/>
    </row>
    <row r="2140" spans="1:18" ht="12.75">
      <c r="A2140" s="22"/>
      <c r="D2140" s="19"/>
      <c r="H2140" s="18"/>
      <c r="J2140" s="18"/>
      <c r="N2140" s="16"/>
      <c r="O2140" s="17"/>
      <c r="Q2140" s="22"/>
      <c r="R2140" s="23"/>
    </row>
    <row r="2141" spans="1:18" ht="12.75">
      <c r="A2141" s="22"/>
      <c r="D2141" s="19"/>
      <c r="H2141" s="18"/>
      <c r="J2141" s="18"/>
      <c r="N2141" s="16"/>
      <c r="O2141" s="17"/>
      <c r="Q2141" s="22"/>
      <c r="R2141" s="23"/>
    </row>
    <row r="2142" spans="1:18" ht="12.75">
      <c r="A2142" s="22"/>
      <c r="D2142" s="19"/>
      <c r="H2142" s="18"/>
      <c r="J2142" s="18"/>
      <c r="N2142" s="16"/>
      <c r="O2142" s="17"/>
      <c r="Q2142" s="22"/>
      <c r="R2142" s="23"/>
    </row>
    <row r="2143" spans="1:18" ht="12.75">
      <c r="A2143" s="22"/>
      <c r="D2143" s="19"/>
      <c r="H2143" s="18"/>
      <c r="J2143" s="18"/>
      <c r="N2143" s="16"/>
      <c r="O2143" s="17"/>
      <c r="Q2143" s="22"/>
      <c r="R2143" s="23"/>
    </row>
    <row r="2144" spans="1:18" ht="12.75">
      <c r="A2144" s="22"/>
      <c r="D2144" s="19"/>
      <c r="H2144" s="18"/>
      <c r="J2144" s="18"/>
      <c r="N2144" s="16"/>
      <c r="O2144" s="17"/>
      <c r="Q2144" s="22"/>
      <c r="R2144" s="23"/>
    </row>
    <row r="2145" spans="1:18" ht="12.75">
      <c r="A2145" s="22"/>
      <c r="D2145" s="19"/>
      <c r="H2145" s="18"/>
      <c r="J2145" s="18"/>
      <c r="N2145" s="16"/>
      <c r="O2145" s="17"/>
      <c r="Q2145" s="22"/>
      <c r="R2145" s="23"/>
    </row>
    <row r="2146" spans="1:18" ht="12.75">
      <c r="A2146" s="22"/>
      <c r="D2146" s="19"/>
      <c r="H2146" s="18"/>
      <c r="J2146" s="18"/>
      <c r="N2146" s="16"/>
      <c r="O2146" s="17"/>
      <c r="Q2146" s="22"/>
      <c r="R2146" s="23"/>
    </row>
    <row r="2147" spans="1:18" ht="12.75">
      <c r="A2147" s="22"/>
      <c r="D2147" s="19"/>
      <c r="H2147" s="18"/>
      <c r="J2147" s="18"/>
      <c r="N2147" s="16"/>
      <c r="O2147" s="17"/>
      <c r="Q2147" s="22"/>
      <c r="R2147" s="23"/>
    </row>
    <row r="2148" spans="1:18" ht="12.75">
      <c r="A2148" s="22"/>
      <c r="D2148" s="19"/>
      <c r="H2148" s="18"/>
      <c r="J2148" s="18"/>
      <c r="N2148" s="16"/>
      <c r="O2148" s="17"/>
      <c r="Q2148" s="22"/>
      <c r="R2148" s="23"/>
    </row>
    <row r="2149" spans="1:18" ht="12.75">
      <c r="A2149" s="22"/>
      <c r="D2149" s="19"/>
      <c r="H2149" s="18"/>
      <c r="J2149" s="18"/>
      <c r="N2149" s="16"/>
      <c r="O2149" s="17"/>
      <c r="Q2149" s="22"/>
      <c r="R2149" s="23"/>
    </row>
    <row r="2150" spans="1:18" ht="12.75">
      <c r="A2150" s="22"/>
      <c r="D2150" s="19"/>
      <c r="H2150" s="18"/>
      <c r="J2150" s="18"/>
      <c r="N2150" s="16"/>
      <c r="O2150" s="17"/>
      <c r="Q2150" s="22"/>
      <c r="R2150" s="23"/>
    </row>
    <row r="2151" spans="1:18" ht="12.75">
      <c r="A2151" s="22"/>
      <c r="D2151" s="19"/>
      <c r="H2151" s="18"/>
      <c r="J2151" s="18"/>
      <c r="N2151" s="16"/>
      <c r="O2151" s="17"/>
      <c r="Q2151" s="22"/>
      <c r="R2151" s="23"/>
    </row>
    <row r="2152" spans="1:18" ht="12.75">
      <c r="A2152" s="22"/>
      <c r="D2152" s="19"/>
      <c r="H2152" s="18"/>
      <c r="J2152" s="18"/>
      <c r="N2152" s="16"/>
      <c r="O2152" s="17"/>
      <c r="Q2152" s="22"/>
      <c r="R2152" s="23"/>
    </row>
    <row r="2153" spans="1:18" ht="12.75">
      <c r="A2153" s="22"/>
      <c r="D2153" s="19"/>
      <c r="H2153" s="18"/>
      <c r="J2153" s="18"/>
      <c r="N2153" s="16"/>
      <c r="O2153" s="17"/>
      <c r="Q2153" s="22"/>
      <c r="R2153" s="23"/>
    </row>
    <row r="2154" spans="1:18" ht="12.75">
      <c r="A2154" s="22"/>
      <c r="D2154" s="19"/>
      <c r="H2154" s="18"/>
      <c r="J2154" s="18"/>
      <c r="N2154" s="16"/>
      <c r="O2154" s="17"/>
      <c r="Q2154" s="22"/>
      <c r="R2154" s="23"/>
    </row>
    <row r="2155" spans="1:18" ht="12.75">
      <c r="A2155" s="22"/>
      <c r="D2155" s="19"/>
      <c r="H2155" s="18"/>
      <c r="J2155" s="18"/>
      <c r="N2155" s="16"/>
      <c r="O2155" s="17"/>
      <c r="Q2155" s="22"/>
      <c r="R2155" s="23"/>
    </row>
    <row r="2156" spans="1:18" ht="12.75">
      <c r="A2156" s="22"/>
      <c r="D2156" s="19"/>
      <c r="H2156" s="18"/>
      <c r="J2156" s="18"/>
      <c r="N2156" s="16"/>
      <c r="O2156" s="17"/>
      <c r="Q2156" s="22"/>
      <c r="R2156" s="23"/>
    </row>
    <row r="2157" spans="1:18" ht="12.75">
      <c r="A2157" s="22"/>
      <c r="D2157" s="19"/>
      <c r="H2157" s="18"/>
      <c r="J2157" s="18"/>
      <c r="N2157" s="16"/>
      <c r="O2157" s="17"/>
      <c r="Q2157" s="22"/>
      <c r="R2157" s="23"/>
    </row>
    <row r="2158" spans="1:18" ht="12.75">
      <c r="A2158" s="22"/>
      <c r="D2158" s="19"/>
      <c r="H2158" s="18"/>
      <c r="J2158" s="18"/>
      <c r="N2158" s="16"/>
      <c r="O2158" s="17"/>
      <c r="Q2158" s="22"/>
      <c r="R2158" s="23"/>
    </row>
    <row r="2159" spans="1:18" ht="12.75">
      <c r="A2159" s="22"/>
      <c r="D2159" s="19"/>
      <c r="H2159" s="18"/>
      <c r="J2159" s="18"/>
      <c r="N2159" s="16"/>
      <c r="O2159" s="17"/>
      <c r="Q2159" s="22"/>
      <c r="R2159" s="23"/>
    </row>
    <row r="2160" spans="1:18" ht="12.75">
      <c r="A2160" s="22"/>
      <c r="D2160" s="19"/>
      <c r="H2160" s="18"/>
      <c r="J2160" s="18"/>
      <c r="N2160" s="16"/>
      <c r="O2160" s="17"/>
      <c r="Q2160" s="22"/>
      <c r="R2160" s="23"/>
    </row>
    <row r="2161" spans="1:18" ht="12.75">
      <c r="A2161" s="22"/>
      <c r="D2161" s="19"/>
      <c r="H2161" s="18"/>
      <c r="J2161" s="18"/>
      <c r="N2161" s="16"/>
      <c r="O2161" s="17"/>
      <c r="Q2161" s="22"/>
      <c r="R2161" s="23"/>
    </row>
    <row r="2162" spans="1:18" ht="12.75">
      <c r="A2162" s="22"/>
      <c r="D2162" s="19"/>
      <c r="H2162" s="18"/>
      <c r="J2162" s="18"/>
      <c r="N2162" s="16"/>
      <c r="O2162" s="17"/>
      <c r="Q2162" s="22"/>
      <c r="R2162" s="23"/>
    </row>
    <row r="2163" spans="1:18" ht="12.75">
      <c r="A2163" s="22"/>
      <c r="D2163" s="19"/>
      <c r="H2163" s="18"/>
      <c r="J2163" s="18"/>
      <c r="N2163" s="16"/>
      <c r="O2163" s="17"/>
      <c r="Q2163" s="22"/>
      <c r="R2163" s="23"/>
    </row>
    <row r="2164" spans="1:18" ht="12.75">
      <c r="A2164" s="22"/>
      <c r="D2164" s="19"/>
      <c r="H2164" s="18"/>
      <c r="J2164" s="18"/>
      <c r="N2164" s="16"/>
      <c r="O2164" s="17"/>
      <c r="Q2164" s="22"/>
      <c r="R2164" s="23"/>
    </row>
    <row r="2165" spans="1:18" ht="12.75">
      <c r="A2165" s="22"/>
      <c r="D2165" s="19"/>
      <c r="H2165" s="18"/>
      <c r="J2165" s="18"/>
      <c r="N2165" s="16"/>
      <c r="O2165" s="17"/>
      <c r="Q2165" s="22"/>
      <c r="R2165" s="23"/>
    </row>
    <row r="2166" spans="1:18" ht="12.75">
      <c r="A2166" s="22"/>
      <c r="D2166" s="19"/>
      <c r="H2166" s="18"/>
      <c r="J2166" s="18"/>
      <c r="N2166" s="16"/>
      <c r="O2166" s="17"/>
      <c r="Q2166" s="22"/>
      <c r="R2166" s="23"/>
    </row>
    <row r="2167" spans="1:18" ht="12.75">
      <c r="A2167" s="22"/>
      <c r="D2167" s="19"/>
      <c r="H2167" s="18"/>
      <c r="J2167" s="18"/>
      <c r="N2167" s="16"/>
      <c r="O2167" s="17"/>
      <c r="Q2167" s="22"/>
      <c r="R2167" s="23"/>
    </row>
    <row r="2168" spans="1:18" ht="12.75">
      <c r="A2168" s="22"/>
      <c r="D2168" s="19"/>
      <c r="H2168" s="18"/>
      <c r="J2168" s="18"/>
      <c r="N2168" s="16"/>
      <c r="O2168" s="17"/>
      <c r="Q2168" s="22"/>
      <c r="R2168" s="23"/>
    </row>
    <row r="2169" spans="1:18" ht="12.75">
      <c r="A2169" s="22"/>
      <c r="D2169" s="19"/>
      <c r="H2169" s="18"/>
      <c r="J2169" s="18"/>
      <c r="N2169" s="16"/>
      <c r="O2169" s="17"/>
      <c r="Q2169" s="22"/>
      <c r="R2169" s="23"/>
    </row>
    <row r="2170" spans="1:18" ht="12.75">
      <c r="A2170" s="22"/>
      <c r="D2170" s="19"/>
      <c r="H2170" s="18"/>
      <c r="J2170" s="18"/>
      <c r="N2170" s="16"/>
      <c r="O2170" s="17"/>
      <c r="Q2170" s="22"/>
      <c r="R2170" s="23"/>
    </row>
    <row r="2171" spans="1:18" ht="12.75">
      <c r="A2171" s="22"/>
      <c r="D2171" s="19"/>
      <c r="H2171" s="18"/>
      <c r="J2171" s="18"/>
      <c r="N2171" s="16"/>
      <c r="O2171" s="17"/>
      <c r="Q2171" s="22"/>
      <c r="R2171" s="23"/>
    </row>
    <row r="2172" spans="1:18" ht="12.75">
      <c r="A2172" s="22"/>
      <c r="D2172" s="19"/>
      <c r="H2172" s="18"/>
      <c r="J2172" s="18"/>
      <c r="N2172" s="16"/>
      <c r="O2172" s="17"/>
      <c r="Q2172" s="22"/>
      <c r="R2172" s="23"/>
    </row>
    <row r="2173" spans="1:18" ht="12.75">
      <c r="A2173" s="22"/>
      <c r="D2173" s="19"/>
      <c r="H2173" s="18"/>
      <c r="J2173" s="18"/>
      <c r="N2173" s="16"/>
      <c r="O2173" s="17"/>
      <c r="Q2173" s="22"/>
      <c r="R2173" s="23"/>
    </row>
    <row r="2174" spans="1:18" ht="12.75">
      <c r="A2174" s="22"/>
      <c r="D2174" s="19"/>
      <c r="H2174" s="18"/>
      <c r="J2174" s="18"/>
      <c r="N2174" s="16"/>
      <c r="O2174" s="17"/>
      <c r="Q2174" s="22"/>
      <c r="R2174" s="23"/>
    </row>
    <row r="2175" spans="1:18" ht="12.75">
      <c r="A2175" s="22"/>
      <c r="D2175" s="19"/>
      <c r="H2175" s="18"/>
      <c r="J2175" s="18"/>
      <c r="N2175" s="16"/>
      <c r="O2175" s="17"/>
      <c r="Q2175" s="22"/>
      <c r="R2175" s="23"/>
    </row>
    <row r="2176" spans="1:18" ht="12.75">
      <c r="A2176" s="22"/>
      <c r="D2176" s="19"/>
      <c r="H2176" s="18"/>
      <c r="J2176" s="18"/>
      <c r="N2176" s="16"/>
      <c r="O2176" s="17"/>
      <c r="Q2176" s="22"/>
      <c r="R2176" s="23"/>
    </row>
    <row r="2177" spans="1:18" ht="12.75">
      <c r="A2177" s="22"/>
      <c r="D2177" s="19"/>
      <c r="H2177" s="18"/>
      <c r="J2177" s="18"/>
      <c r="N2177" s="16"/>
      <c r="O2177" s="17"/>
      <c r="Q2177" s="22"/>
      <c r="R2177" s="23"/>
    </row>
    <row r="2178" spans="1:18" ht="12.75">
      <c r="A2178" s="22"/>
      <c r="D2178" s="19"/>
      <c r="H2178" s="18"/>
      <c r="J2178" s="18"/>
      <c r="N2178" s="16"/>
      <c r="O2178" s="17"/>
      <c r="Q2178" s="22"/>
      <c r="R2178" s="23"/>
    </row>
    <row r="2179" spans="1:18" ht="12.75">
      <c r="A2179" s="22"/>
      <c r="D2179" s="19"/>
      <c r="H2179" s="18"/>
      <c r="J2179" s="18"/>
      <c r="N2179" s="16"/>
      <c r="O2179" s="17"/>
      <c r="Q2179" s="22"/>
      <c r="R2179" s="23"/>
    </row>
    <row r="2180" spans="1:18" ht="12.75">
      <c r="A2180" s="22"/>
      <c r="D2180" s="19"/>
      <c r="H2180" s="18"/>
      <c r="J2180" s="18"/>
      <c r="N2180" s="16"/>
      <c r="O2180" s="17"/>
      <c r="Q2180" s="22"/>
      <c r="R2180" s="23"/>
    </row>
    <row r="2181" spans="1:18" ht="12.75">
      <c r="A2181" s="22"/>
      <c r="D2181" s="19"/>
      <c r="H2181" s="18"/>
      <c r="J2181" s="18"/>
      <c r="N2181" s="16"/>
      <c r="O2181" s="17"/>
      <c r="Q2181" s="22"/>
      <c r="R2181" s="23"/>
    </row>
    <row r="2182" spans="1:18" ht="12.75">
      <c r="A2182" s="22"/>
      <c r="D2182" s="19"/>
      <c r="H2182" s="18"/>
      <c r="J2182" s="18"/>
      <c r="N2182" s="16"/>
      <c r="O2182" s="17"/>
      <c r="Q2182" s="22"/>
      <c r="R2182" s="23"/>
    </row>
    <row r="2183" spans="1:18" ht="12.75">
      <c r="A2183" s="22"/>
      <c r="D2183" s="19"/>
      <c r="H2183" s="18"/>
      <c r="J2183" s="18"/>
      <c r="N2183" s="16"/>
      <c r="O2183" s="17"/>
      <c r="Q2183" s="22"/>
      <c r="R2183" s="23"/>
    </row>
    <row r="2184" spans="1:18" ht="12.75">
      <c r="A2184" s="22"/>
      <c r="D2184" s="19"/>
      <c r="H2184" s="18"/>
      <c r="J2184" s="18"/>
      <c r="N2184" s="16"/>
      <c r="O2184" s="17"/>
      <c r="Q2184" s="22"/>
      <c r="R2184" s="23"/>
    </row>
    <row r="2185" spans="1:18" ht="12.75">
      <c r="A2185" s="22"/>
      <c r="D2185" s="19"/>
      <c r="H2185" s="18"/>
      <c r="J2185" s="18"/>
      <c r="N2185" s="16"/>
      <c r="O2185" s="17"/>
      <c r="Q2185" s="22"/>
      <c r="R2185" s="23"/>
    </row>
    <row r="2186" spans="1:18" ht="12.75">
      <c r="A2186" s="22"/>
      <c r="D2186" s="19"/>
      <c r="H2186" s="18"/>
      <c r="J2186" s="18"/>
      <c r="N2186" s="16"/>
      <c r="O2186" s="17"/>
      <c r="Q2186" s="22"/>
      <c r="R2186" s="23"/>
    </row>
    <row r="2187" spans="1:18" ht="12.75">
      <c r="A2187" s="22"/>
      <c r="D2187" s="19"/>
      <c r="H2187" s="18"/>
      <c r="J2187" s="18"/>
      <c r="N2187" s="16"/>
      <c r="O2187" s="17"/>
      <c r="Q2187" s="22"/>
      <c r="R2187" s="23"/>
    </row>
    <row r="2188" spans="1:18" ht="12.75">
      <c r="A2188" s="22"/>
      <c r="D2188" s="19"/>
      <c r="H2188" s="18"/>
      <c r="J2188" s="18"/>
      <c r="N2188" s="16"/>
      <c r="O2188" s="17"/>
      <c r="Q2188" s="22"/>
      <c r="R2188" s="23"/>
    </row>
    <row r="2189" spans="1:18" ht="12.75">
      <c r="A2189" s="22"/>
      <c r="D2189" s="19"/>
      <c r="H2189" s="18"/>
      <c r="J2189" s="18"/>
      <c r="N2189" s="16"/>
      <c r="O2189" s="17"/>
      <c r="Q2189" s="22"/>
      <c r="R2189" s="23"/>
    </row>
    <row r="2190" spans="1:18" ht="12.75">
      <c r="A2190" s="22"/>
      <c r="D2190" s="19"/>
      <c r="H2190" s="18"/>
      <c r="J2190" s="18"/>
      <c r="N2190" s="16"/>
      <c r="O2190" s="17"/>
      <c r="Q2190" s="22"/>
      <c r="R2190" s="23"/>
    </row>
    <row r="2191" spans="1:18" ht="12.75">
      <c r="A2191" s="22"/>
      <c r="D2191" s="19"/>
      <c r="H2191" s="18"/>
      <c r="J2191" s="18"/>
      <c r="N2191" s="16"/>
      <c r="O2191" s="17"/>
      <c r="Q2191" s="22"/>
      <c r="R2191" s="23"/>
    </row>
    <row r="2192" spans="1:18" ht="12.75">
      <c r="A2192" s="22"/>
      <c r="D2192" s="19"/>
      <c r="H2192" s="18"/>
      <c r="J2192" s="18"/>
      <c r="N2192" s="16"/>
      <c r="O2192" s="17"/>
      <c r="Q2192" s="22"/>
      <c r="R2192" s="23"/>
    </row>
    <row r="2193" spans="1:18" ht="12.75">
      <c r="A2193" s="22"/>
      <c r="D2193" s="19"/>
      <c r="H2193" s="18"/>
      <c r="J2193" s="18"/>
      <c r="N2193" s="16"/>
      <c r="O2193" s="17"/>
      <c r="Q2193" s="22"/>
      <c r="R2193" s="23"/>
    </row>
    <row r="2194" spans="1:18" ht="12.75">
      <c r="A2194" s="22"/>
      <c r="D2194" s="19"/>
      <c r="H2194" s="18"/>
      <c r="J2194" s="18"/>
      <c r="N2194" s="16"/>
      <c r="O2194" s="17"/>
      <c r="Q2194" s="22"/>
      <c r="R2194" s="23"/>
    </row>
    <row r="2195" spans="1:18" ht="12.75">
      <c r="A2195" s="22"/>
      <c r="D2195" s="19"/>
      <c r="H2195" s="18"/>
      <c r="J2195" s="18"/>
      <c r="N2195" s="16"/>
      <c r="O2195" s="17"/>
      <c r="Q2195" s="22"/>
      <c r="R2195" s="23"/>
    </row>
    <row r="2196" spans="1:18" ht="12.75">
      <c r="A2196" s="22"/>
      <c r="D2196" s="19"/>
      <c r="H2196" s="18"/>
      <c r="J2196" s="18"/>
      <c r="N2196" s="16"/>
      <c r="O2196" s="17"/>
      <c r="Q2196" s="22"/>
      <c r="R2196" s="23"/>
    </row>
    <row r="2197" spans="1:18" ht="12.75">
      <c r="A2197" s="22"/>
      <c r="D2197" s="19"/>
      <c r="H2197" s="18"/>
      <c r="J2197" s="18"/>
      <c r="N2197" s="16"/>
      <c r="O2197" s="17"/>
      <c r="Q2197" s="22"/>
      <c r="R2197" s="23"/>
    </row>
    <row r="2198" spans="1:18" ht="12.75">
      <c r="A2198" s="22"/>
      <c r="D2198" s="19"/>
      <c r="H2198" s="18"/>
      <c r="J2198" s="18"/>
      <c r="N2198" s="16"/>
      <c r="O2198" s="17"/>
      <c r="Q2198" s="22"/>
      <c r="R2198" s="23"/>
    </row>
    <row r="2199" spans="1:18" ht="12.75">
      <c r="A2199" s="22"/>
      <c r="D2199" s="19"/>
      <c r="H2199" s="18"/>
      <c r="J2199" s="18"/>
      <c r="N2199" s="16"/>
      <c r="O2199" s="17"/>
      <c r="Q2199" s="22"/>
      <c r="R2199" s="23"/>
    </row>
    <row r="2200" spans="1:18" ht="12.75">
      <c r="A2200" s="22"/>
      <c r="D2200" s="19"/>
      <c r="H2200" s="18"/>
      <c r="J2200" s="18"/>
      <c r="N2200" s="16"/>
      <c r="O2200" s="17"/>
      <c r="Q2200" s="22"/>
      <c r="R2200" s="23"/>
    </row>
    <row r="2201" spans="1:18" ht="12.75">
      <c r="A2201" s="22"/>
      <c r="D2201" s="19"/>
      <c r="H2201" s="18"/>
      <c r="J2201" s="18"/>
      <c r="N2201" s="16"/>
      <c r="O2201" s="17"/>
      <c r="Q2201" s="22"/>
      <c r="R2201" s="23"/>
    </row>
    <row r="2202" spans="1:18" ht="12.75">
      <c r="A2202" s="22"/>
      <c r="D2202" s="19"/>
      <c r="H2202" s="18"/>
      <c r="J2202" s="18"/>
      <c r="N2202" s="16"/>
      <c r="O2202" s="17"/>
      <c r="Q2202" s="22"/>
      <c r="R2202" s="23"/>
    </row>
    <row r="2203" spans="1:18" ht="12.75">
      <c r="A2203" s="22"/>
      <c r="D2203" s="19"/>
      <c r="H2203" s="18"/>
      <c r="J2203" s="18"/>
      <c r="N2203" s="16"/>
      <c r="O2203" s="17"/>
      <c r="Q2203" s="22"/>
      <c r="R2203" s="23"/>
    </row>
    <row r="2204" spans="1:18" ht="12.75">
      <c r="A2204" s="22"/>
      <c r="D2204" s="19"/>
      <c r="H2204" s="18"/>
      <c r="J2204" s="18"/>
      <c r="N2204" s="16"/>
      <c r="O2204" s="17"/>
      <c r="Q2204" s="22"/>
      <c r="R2204" s="23"/>
    </row>
    <row r="2205" spans="1:18" ht="12.75">
      <c r="A2205" s="22"/>
      <c r="D2205" s="19"/>
      <c r="H2205" s="18"/>
      <c r="J2205" s="18"/>
      <c r="N2205" s="16"/>
      <c r="O2205" s="17"/>
      <c r="Q2205" s="22"/>
      <c r="R2205" s="23"/>
    </row>
    <row r="2206" spans="1:18" ht="12.75">
      <c r="A2206" s="22"/>
      <c r="D2206" s="19"/>
      <c r="H2206" s="18"/>
      <c r="J2206" s="18"/>
      <c r="N2206" s="16"/>
      <c r="O2206" s="17"/>
      <c r="Q2206" s="22"/>
      <c r="R2206" s="23"/>
    </row>
    <row r="2207" spans="1:18" ht="12.75">
      <c r="A2207" s="22"/>
      <c r="D2207" s="19"/>
      <c r="H2207" s="18"/>
      <c r="J2207" s="18"/>
      <c r="N2207" s="16"/>
      <c r="O2207" s="17"/>
      <c r="Q2207" s="22"/>
      <c r="R2207" s="23"/>
    </row>
    <row r="2208" spans="1:18" ht="12.75">
      <c r="A2208" s="22"/>
      <c r="D2208" s="19"/>
      <c r="H2208" s="18"/>
      <c r="J2208" s="18"/>
      <c r="N2208" s="16"/>
      <c r="O2208" s="17"/>
      <c r="Q2208" s="22"/>
      <c r="R2208" s="23"/>
    </row>
    <row r="2209" spans="1:18" ht="12.75">
      <c r="A2209" s="22"/>
      <c r="D2209" s="19"/>
      <c r="H2209" s="18"/>
      <c r="J2209" s="18"/>
      <c r="N2209" s="16"/>
      <c r="O2209" s="17"/>
      <c r="Q2209" s="22"/>
      <c r="R2209" s="23"/>
    </row>
    <row r="2210" spans="1:18" ht="12.75">
      <c r="A2210" s="22"/>
      <c r="D2210" s="19"/>
      <c r="H2210" s="18"/>
      <c r="J2210" s="18"/>
      <c r="N2210" s="16"/>
      <c r="O2210" s="17"/>
      <c r="Q2210" s="22"/>
      <c r="R2210" s="23"/>
    </row>
    <row r="2211" spans="1:18" ht="12.75">
      <c r="A2211" s="22"/>
      <c r="D2211" s="19"/>
      <c r="H2211" s="18"/>
      <c r="J2211" s="18"/>
      <c r="N2211" s="16"/>
      <c r="O2211" s="17"/>
      <c r="Q2211" s="22"/>
      <c r="R2211" s="23"/>
    </row>
    <row r="2212" spans="1:18" ht="12.75">
      <c r="A2212" s="22"/>
      <c r="D2212" s="19"/>
      <c r="H2212" s="18"/>
      <c r="J2212" s="18"/>
      <c r="N2212" s="16"/>
      <c r="O2212" s="17"/>
      <c r="Q2212" s="22"/>
      <c r="R2212" s="23"/>
    </row>
    <row r="2213" spans="1:18" ht="12.75">
      <c r="A2213" s="22"/>
      <c r="D2213" s="19"/>
      <c r="H2213" s="18"/>
      <c r="J2213" s="18"/>
      <c r="N2213" s="16"/>
      <c r="O2213" s="17"/>
      <c r="Q2213" s="22"/>
      <c r="R2213" s="23"/>
    </row>
    <row r="2214" spans="1:18" ht="12.75">
      <c r="A2214" s="22"/>
      <c r="D2214" s="19"/>
      <c r="H2214" s="18"/>
      <c r="J2214" s="18"/>
      <c r="N2214" s="16"/>
      <c r="O2214" s="17"/>
      <c r="Q2214" s="22"/>
      <c r="R2214" s="23"/>
    </row>
    <row r="2215" spans="1:18" ht="12.75">
      <c r="A2215" s="22"/>
      <c r="D2215" s="19"/>
      <c r="H2215" s="18"/>
      <c r="J2215" s="18"/>
      <c r="N2215" s="16"/>
      <c r="O2215" s="17"/>
      <c r="Q2215" s="22"/>
      <c r="R2215" s="23"/>
    </row>
    <row r="2216" spans="1:18" ht="12.75">
      <c r="A2216" s="22"/>
      <c r="D2216" s="19"/>
      <c r="H2216" s="18"/>
      <c r="J2216" s="18"/>
      <c r="N2216" s="16"/>
      <c r="O2216" s="17"/>
      <c r="Q2216" s="22"/>
      <c r="R2216" s="23"/>
    </row>
    <row r="2217" spans="1:18" ht="12.75">
      <c r="A2217" s="22"/>
      <c r="D2217" s="19"/>
      <c r="H2217" s="18"/>
      <c r="J2217" s="18"/>
      <c r="N2217" s="16"/>
      <c r="O2217" s="17"/>
      <c r="Q2217" s="22"/>
      <c r="R2217" s="23"/>
    </row>
    <row r="2218" spans="1:18" ht="12.75">
      <c r="A2218" s="22"/>
      <c r="D2218" s="19"/>
      <c r="H2218" s="18"/>
      <c r="J2218" s="18"/>
      <c r="N2218" s="16"/>
      <c r="O2218" s="17"/>
      <c r="Q2218" s="22"/>
      <c r="R2218" s="23"/>
    </row>
    <row r="2219" spans="1:18" ht="12.75">
      <c r="A2219" s="22"/>
      <c r="D2219" s="19"/>
      <c r="H2219" s="18"/>
      <c r="J2219" s="18"/>
      <c r="N2219" s="16"/>
      <c r="O2219" s="17"/>
      <c r="Q2219" s="22"/>
      <c r="R2219" s="23"/>
    </row>
    <row r="2220" spans="1:18" ht="12.75">
      <c r="A2220" s="22"/>
      <c r="D2220" s="19"/>
      <c r="H2220" s="18"/>
      <c r="J2220" s="18"/>
      <c r="N2220" s="16"/>
      <c r="O2220" s="17"/>
      <c r="Q2220" s="22"/>
      <c r="R2220" s="23"/>
    </row>
    <row r="2221" spans="1:18" ht="12.75">
      <c r="A2221" s="22"/>
      <c r="D2221" s="19"/>
      <c r="H2221" s="18"/>
      <c r="J2221" s="18"/>
      <c r="N2221" s="16"/>
      <c r="O2221" s="17"/>
      <c r="Q2221" s="22"/>
      <c r="R2221" s="23"/>
    </row>
    <row r="2222" spans="1:18" ht="12.75">
      <c r="A2222" s="22"/>
      <c r="D2222" s="19"/>
      <c r="H2222" s="18"/>
      <c r="J2222" s="18"/>
      <c r="N2222" s="16"/>
      <c r="O2222" s="17"/>
      <c r="Q2222" s="22"/>
      <c r="R2222" s="23"/>
    </row>
    <row r="2223" spans="1:18" ht="12.75">
      <c r="A2223" s="22"/>
      <c r="D2223" s="19"/>
      <c r="H2223" s="18"/>
      <c r="J2223" s="18"/>
      <c r="N2223" s="16"/>
      <c r="O2223" s="17"/>
      <c r="Q2223" s="22"/>
      <c r="R2223" s="23"/>
    </row>
    <row r="2224" spans="1:18" ht="12.75">
      <c r="A2224" s="22"/>
      <c r="D2224" s="19"/>
      <c r="H2224" s="18"/>
      <c r="J2224" s="18"/>
      <c r="N2224" s="16"/>
      <c r="O2224" s="17"/>
      <c r="Q2224" s="22"/>
      <c r="R2224" s="23"/>
    </row>
    <row r="2225" spans="1:18" ht="12.75">
      <c r="A2225" s="22"/>
      <c r="D2225" s="19"/>
      <c r="H2225" s="18"/>
      <c r="J2225" s="18"/>
      <c r="N2225" s="16"/>
      <c r="O2225" s="17"/>
      <c r="Q2225" s="22"/>
      <c r="R2225" s="23"/>
    </row>
    <row r="2226" spans="1:18" ht="12.75">
      <c r="A2226" s="22"/>
      <c r="D2226" s="19"/>
      <c r="H2226" s="18"/>
      <c r="J2226" s="18"/>
      <c r="N2226" s="16"/>
      <c r="O2226" s="17"/>
      <c r="Q2226" s="22"/>
      <c r="R2226" s="23"/>
    </row>
    <row r="2227" spans="1:18" ht="12.75">
      <c r="A2227" s="22"/>
      <c r="D2227" s="19"/>
      <c r="H2227" s="18"/>
      <c r="J2227" s="18"/>
      <c r="N2227" s="16"/>
      <c r="O2227" s="17"/>
      <c r="Q2227" s="22"/>
      <c r="R2227" s="23"/>
    </row>
    <row r="2228" spans="1:18" ht="12.75">
      <c r="A2228" s="22"/>
      <c r="D2228" s="19"/>
      <c r="H2228" s="18"/>
      <c r="J2228" s="18"/>
      <c r="N2228" s="16"/>
      <c r="O2228" s="17"/>
      <c r="Q2228" s="22"/>
      <c r="R2228" s="23"/>
    </row>
    <row r="2229" spans="1:18" ht="12.75">
      <c r="A2229" s="22"/>
      <c r="D2229" s="19"/>
      <c r="H2229" s="18"/>
      <c r="J2229" s="18"/>
      <c r="N2229" s="16"/>
      <c r="O2229" s="17"/>
      <c r="Q2229" s="22"/>
      <c r="R2229" s="23"/>
    </row>
    <row r="2230" spans="1:18" ht="12.75">
      <c r="A2230" s="22"/>
      <c r="D2230" s="19"/>
      <c r="H2230" s="18"/>
      <c r="J2230" s="18"/>
      <c r="N2230" s="16"/>
      <c r="O2230" s="17"/>
      <c r="Q2230" s="22"/>
      <c r="R2230" s="23"/>
    </row>
    <row r="2231" spans="1:18" ht="12.75">
      <c r="A2231" s="22"/>
      <c r="D2231" s="19"/>
      <c r="H2231" s="18"/>
      <c r="J2231" s="18"/>
      <c r="N2231" s="16"/>
      <c r="O2231" s="17"/>
      <c r="Q2231" s="22"/>
      <c r="R2231" s="23"/>
    </row>
    <row r="2232" spans="1:18" ht="12.75">
      <c r="A2232" s="22"/>
      <c r="D2232" s="19"/>
      <c r="H2232" s="18"/>
      <c r="J2232" s="18"/>
      <c r="N2232" s="16"/>
      <c r="O2232" s="17"/>
      <c r="Q2232" s="22"/>
      <c r="R2232" s="23"/>
    </row>
    <row r="2233" spans="1:18" ht="12.75">
      <c r="A2233" s="22"/>
      <c r="D2233" s="19"/>
      <c r="H2233" s="18"/>
      <c r="J2233" s="18"/>
      <c r="N2233" s="16"/>
      <c r="O2233" s="17"/>
      <c r="Q2233" s="22"/>
      <c r="R2233" s="23"/>
    </row>
    <row r="2234" spans="1:18" ht="12.75">
      <c r="A2234" s="22"/>
      <c r="D2234" s="19"/>
      <c r="H2234" s="18"/>
      <c r="J2234" s="18"/>
      <c r="N2234" s="16"/>
      <c r="O2234" s="17"/>
      <c r="Q2234" s="22"/>
      <c r="R2234" s="23"/>
    </row>
    <row r="2235" spans="1:18" ht="12.75">
      <c r="A2235" s="22"/>
      <c r="D2235" s="19"/>
      <c r="H2235" s="18"/>
      <c r="J2235" s="18"/>
      <c r="N2235" s="16"/>
      <c r="O2235" s="17"/>
      <c r="Q2235" s="22"/>
      <c r="R2235" s="23"/>
    </row>
    <row r="2236" spans="1:18" ht="12.75">
      <c r="A2236" s="22"/>
      <c r="D2236" s="19"/>
      <c r="H2236" s="18"/>
      <c r="J2236" s="18"/>
      <c r="N2236" s="16"/>
      <c r="O2236" s="17"/>
      <c r="Q2236" s="22"/>
      <c r="R2236" s="23"/>
    </row>
    <row r="2237" spans="1:18" ht="12.75">
      <c r="A2237" s="22"/>
      <c r="D2237" s="19"/>
      <c r="H2237" s="18"/>
      <c r="J2237" s="18"/>
      <c r="N2237" s="16"/>
      <c r="O2237" s="17"/>
      <c r="Q2237" s="22"/>
      <c r="R2237" s="23"/>
    </row>
    <row r="2238" spans="1:18" ht="12.75">
      <c r="A2238" s="22"/>
      <c r="D2238" s="19"/>
      <c r="H2238" s="18"/>
      <c r="J2238" s="18"/>
      <c r="N2238" s="16"/>
      <c r="O2238" s="17"/>
      <c r="Q2238" s="22"/>
      <c r="R2238" s="23"/>
    </row>
    <row r="2239" spans="1:18" ht="12.75">
      <c r="A2239" s="22"/>
      <c r="D2239" s="19"/>
      <c r="H2239" s="18"/>
      <c r="J2239" s="18"/>
      <c r="N2239" s="16"/>
      <c r="O2239" s="17"/>
      <c r="Q2239" s="22"/>
      <c r="R2239" s="23"/>
    </row>
    <row r="2240" spans="1:18" ht="12.75">
      <c r="A2240" s="22"/>
      <c r="D2240" s="19"/>
      <c r="H2240" s="18"/>
      <c r="J2240" s="18"/>
      <c r="N2240" s="16"/>
      <c r="O2240" s="17"/>
      <c r="Q2240" s="22"/>
      <c r="R2240" s="23"/>
    </row>
    <row r="2241" spans="1:18" ht="12.75">
      <c r="A2241" s="22"/>
      <c r="D2241" s="19"/>
      <c r="H2241" s="18"/>
      <c r="J2241" s="18"/>
      <c r="N2241" s="16"/>
      <c r="O2241" s="17"/>
      <c r="Q2241" s="22"/>
      <c r="R2241" s="23"/>
    </row>
    <row r="2242" spans="1:18" ht="12.75">
      <c r="A2242" s="22"/>
      <c r="D2242" s="19"/>
      <c r="H2242" s="18"/>
      <c r="J2242" s="18"/>
      <c r="N2242" s="16"/>
      <c r="O2242" s="17"/>
      <c r="Q2242" s="22"/>
      <c r="R2242" s="23"/>
    </row>
    <row r="2243" spans="1:18" ht="12.75">
      <c r="A2243" s="22"/>
      <c r="D2243" s="19"/>
      <c r="H2243" s="18"/>
      <c r="J2243" s="18"/>
      <c r="N2243" s="16"/>
      <c r="O2243" s="17"/>
      <c r="Q2243" s="22"/>
      <c r="R2243" s="23"/>
    </row>
    <row r="2244" spans="1:18" ht="12.75">
      <c r="A2244" s="22"/>
      <c r="D2244" s="19"/>
      <c r="H2244" s="18"/>
      <c r="J2244" s="18"/>
      <c r="N2244" s="16"/>
      <c r="O2244" s="17"/>
      <c r="Q2244" s="22"/>
      <c r="R2244" s="23"/>
    </row>
    <row r="2245" spans="1:18" ht="12.75">
      <c r="A2245" s="22"/>
      <c r="D2245" s="19"/>
      <c r="H2245" s="18"/>
      <c r="J2245" s="18"/>
      <c r="N2245" s="16"/>
      <c r="O2245" s="17"/>
      <c r="Q2245" s="22"/>
      <c r="R2245" s="23"/>
    </row>
    <row r="2246" spans="1:18" ht="12.75">
      <c r="A2246" s="22"/>
      <c r="D2246" s="19"/>
      <c r="H2246" s="18"/>
      <c r="J2246" s="18"/>
      <c r="N2246" s="16"/>
      <c r="O2246" s="17"/>
      <c r="Q2246" s="22"/>
      <c r="R2246" s="23"/>
    </row>
    <row r="2247" spans="1:18" ht="12.75">
      <c r="A2247" s="22"/>
      <c r="D2247" s="19"/>
      <c r="H2247" s="18"/>
      <c r="J2247" s="18"/>
      <c r="N2247" s="16"/>
      <c r="O2247" s="17"/>
      <c r="Q2247" s="22"/>
      <c r="R2247" s="23"/>
    </row>
    <row r="2248" spans="1:18" ht="12.75">
      <c r="A2248" s="22"/>
      <c r="D2248" s="19"/>
      <c r="H2248" s="18"/>
      <c r="J2248" s="18"/>
      <c r="N2248" s="16"/>
      <c r="O2248" s="17"/>
      <c r="Q2248" s="22"/>
      <c r="R2248" s="23"/>
    </row>
    <row r="2249" spans="1:18" ht="12.75">
      <c r="A2249" s="22"/>
      <c r="D2249" s="19"/>
      <c r="H2249" s="18"/>
      <c r="J2249" s="18"/>
      <c r="N2249" s="16"/>
      <c r="O2249" s="17"/>
      <c r="Q2249" s="22"/>
      <c r="R2249" s="23"/>
    </row>
    <row r="2250" spans="1:18" ht="12.75">
      <c r="A2250" s="22"/>
      <c r="D2250" s="19"/>
      <c r="H2250" s="18"/>
      <c r="J2250" s="18"/>
      <c r="N2250" s="16"/>
      <c r="O2250" s="17"/>
      <c r="Q2250" s="22"/>
      <c r="R2250" s="23"/>
    </row>
    <row r="2251" spans="1:18" ht="12.75">
      <c r="A2251" s="22"/>
      <c r="D2251" s="19"/>
      <c r="H2251" s="18"/>
      <c r="J2251" s="18"/>
      <c r="N2251" s="16"/>
      <c r="O2251" s="17"/>
      <c r="Q2251" s="22"/>
      <c r="R2251" s="23"/>
    </row>
    <row r="2252" spans="1:18" ht="12.75">
      <c r="A2252" s="22"/>
      <c r="D2252" s="19"/>
      <c r="H2252" s="18"/>
      <c r="J2252" s="18"/>
      <c r="N2252" s="16"/>
      <c r="O2252" s="17"/>
      <c r="Q2252" s="22"/>
      <c r="R2252" s="23"/>
    </row>
    <row r="2253" spans="1:18" ht="12.75">
      <c r="A2253" s="22"/>
      <c r="D2253" s="19"/>
      <c r="H2253" s="18"/>
      <c r="J2253" s="18"/>
      <c r="N2253" s="16"/>
      <c r="O2253" s="17"/>
      <c r="Q2253" s="22"/>
      <c r="R2253" s="23"/>
    </row>
    <row r="2254" spans="1:18" ht="12.75">
      <c r="A2254" s="22"/>
      <c r="D2254" s="19"/>
      <c r="H2254" s="18"/>
      <c r="J2254" s="18"/>
      <c r="N2254" s="16"/>
      <c r="O2254" s="17"/>
      <c r="Q2254" s="22"/>
      <c r="R2254" s="23"/>
    </row>
    <row r="2255" spans="1:18" ht="12.75">
      <c r="A2255" s="22"/>
      <c r="D2255" s="19"/>
      <c r="H2255" s="18"/>
      <c r="J2255" s="18"/>
      <c r="N2255" s="16"/>
      <c r="O2255" s="17"/>
      <c r="Q2255" s="22"/>
      <c r="R2255" s="23"/>
    </row>
    <row r="2256" spans="1:18" ht="12.75">
      <c r="A2256" s="22"/>
      <c r="D2256" s="19"/>
      <c r="H2256" s="18"/>
      <c r="J2256" s="18"/>
      <c r="N2256" s="16"/>
      <c r="O2256" s="17"/>
      <c r="Q2256" s="22"/>
      <c r="R2256" s="23"/>
    </row>
    <row r="2257" spans="1:18" ht="12.75">
      <c r="A2257" s="22"/>
      <c r="D2257" s="19"/>
      <c r="H2257" s="18"/>
      <c r="J2257" s="18"/>
      <c r="N2257" s="16"/>
      <c r="O2257" s="17"/>
      <c r="Q2257" s="22"/>
      <c r="R2257" s="23"/>
    </row>
    <row r="2258" spans="1:18" ht="12.75">
      <c r="A2258" s="22"/>
      <c r="D2258" s="19"/>
      <c r="H2258" s="18"/>
      <c r="J2258" s="18"/>
      <c r="N2258" s="16"/>
      <c r="O2258" s="17"/>
      <c r="Q2258" s="22"/>
      <c r="R2258" s="23"/>
    </row>
    <row r="2259" spans="1:18" ht="12.75">
      <c r="A2259" s="22"/>
      <c r="D2259" s="19"/>
      <c r="H2259" s="18"/>
      <c r="J2259" s="18"/>
      <c r="N2259" s="16"/>
      <c r="O2259" s="17"/>
      <c r="Q2259" s="22"/>
      <c r="R2259" s="23"/>
    </row>
    <row r="2260" spans="1:18" ht="12.75">
      <c r="A2260" s="22"/>
      <c r="D2260" s="19"/>
      <c r="H2260" s="18"/>
      <c r="J2260" s="18"/>
      <c r="N2260" s="16"/>
      <c r="O2260" s="17"/>
      <c r="Q2260" s="22"/>
      <c r="R2260" s="23"/>
    </row>
    <row r="2261" spans="1:18" ht="12.75">
      <c r="A2261" s="22"/>
      <c r="D2261" s="19"/>
      <c r="H2261" s="18"/>
      <c r="J2261" s="18"/>
      <c r="N2261" s="16"/>
      <c r="O2261" s="17"/>
      <c r="Q2261" s="22"/>
      <c r="R2261" s="23"/>
    </row>
    <row r="2262" spans="1:18" ht="12.75">
      <c r="A2262" s="22"/>
      <c r="D2262" s="19"/>
      <c r="H2262" s="18"/>
      <c r="J2262" s="18"/>
      <c r="N2262" s="16"/>
      <c r="O2262" s="17"/>
      <c r="Q2262" s="22"/>
      <c r="R2262" s="23"/>
    </row>
    <row r="2263" spans="1:18" ht="12.75">
      <c r="A2263" s="22"/>
      <c r="D2263" s="19"/>
      <c r="H2263" s="18"/>
      <c r="J2263" s="18"/>
      <c r="N2263" s="16"/>
      <c r="O2263" s="17"/>
      <c r="Q2263" s="22"/>
      <c r="R2263" s="23"/>
    </row>
    <row r="2264" spans="1:18" ht="12.75">
      <c r="A2264" s="22"/>
      <c r="D2264" s="19"/>
      <c r="H2264" s="18"/>
      <c r="J2264" s="18"/>
      <c r="N2264" s="16"/>
      <c r="O2264" s="17"/>
      <c r="Q2264" s="22"/>
      <c r="R2264" s="23"/>
    </row>
    <row r="2265" spans="1:18" ht="12.75">
      <c r="A2265" s="22"/>
      <c r="D2265" s="19"/>
      <c r="H2265" s="18"/>
      <c r="J2265" s="18"/>
      <c r="N2265" s="16"/>
      <c r="O2265" s="17"/>
      <c r="Q2265" s="22"/>
      <c r="R2265" s="23"/>
    </row>
    <row r="2266" spans="1:18" ht="12.75">
      <c r="A2266" s="22"/>
      <c r="D2266" s="19"/>
      <c r="H2266" s="18"/>
      <c r="J2266" s="18"/>
      <c r="N2266" s="16"/>
      <c r="O2266" s="17"/>
      <c r="Q2266" s="22"/>
      <c r="R2266" s="23"/>
    </row>
    <row r="2267" spans="1:18" ht="12.75">
      <c r="A2267" s="22"/>
      <c r="D2267" s="19"/>
      <c r="H2267" s="18"/>
      <c r="J2267" s="18"/>
      <c r="N2267" s="16"/>
      <c r="O2267" s="17"/>
      <c r="Q2267" s="22"/>
      <c r="R2267" s="23"/>
    </row>
    <row r="2268" spans="1:18" ht="12.75">
      <c r="A2268" s="22"/>
      <c r="D2268" s="19"/>
      <c r="H2268" s="18"/>
      <c r="J2268" s="18"/>
      <c r="N2268" s="16"/>
      <c r="O2268" s="17"/>
      <c r="Q2268" s="22"/>
      <c r="R2268" s="23"/>
    </row>
    <row r="2269" spans="1:18" ht="12.75">
      <c r="A2269" s="22"/>
      <c r="D2269" s="19"/>
      <c r="H2269" s="18"/>
      <c r="J2269" s="18"/>
      <c r="N2269" s="16"/>
      <c r="O2269" s="17"/>
      <c r="Q2269" s="22"/>
      <c r="R2269" s="23"/>
    </row>
    <row r="2270" spans="1:18" ht="12.75">
      <c r="A2270" s="22"/>
      <c r="D2270" s="19"/>
      <c r="H2270" s="18"/>
      <c r="J2270" s="18"/>
      <c r="N2270" s="16"/>
      <c r="O2270" s="17"/>
      <c r="Q2270" s="22"/>
      <c r="R2270" s="23"/>
    </row>
    <row r="2271" spans="1:18" ht="12.75">
      <c r="A2271" s="22"/>
      <c r="D2271" s="19"/>
      <c r="H2271" s="18"/>
      <c r="J2271" s="18"/>
      <c r="N2271" s="16"/>
      <c r="O2271" s="17"/>
      <c r="Q2271" s="22"/>
      <c r="R2271" s="23"/>
    </row>
    <row r="2272" spans="1:18" ht="12.75">
      <c r="A2272" s="22"/>
      <c r="D2272" s="19"/>
      <c r="H2272" s="18"/>
      <c r="J2272" s="18"/>
      <c r="N2272" s="16"/>
      <c r="O2272" s="17"/>
      <c r="Q2272" s="22"/>
      <c r="R2272" s="23"/>
    </row>
    <row r="2273" spans="1:18" ht="12.75">
      <c r="A2273" s="22"/>
      <c r="D2273" s="19"/>
      <c r="H2273" s="18"/>
      <c r="J2273" s="18"/>
      <c r="N2273" s="16"/>
      <c r="O2273" s="17"/>
      <c r="Q2273" s="22"/>
      <c r="R2273" s="23"/>
    </row>
    <row r="2274" spans="1:18" ht="12.75">
      <c r="A2274" s="22"/>
      <c r="D2274" s="19"/>
      <c r="H2274" s="18"/>
      <c r="J2274" s="18"/>
      <c r="N2274" s="16"/>
      <c r="O2274" s="17"/>
      <c r="Q2274" s="22"/>
      <c r="R2274" s="23"/>
    </row>
    <row r="2275" spans="1:18" ht="12.75">
      <c r="A2275" s="22"/>
      <c r="D2275" s="19"/>
      <c r="H2275" s="18"/>
      <c r="J2275" s="18"/>
      <c r="N2275" s="16"/>
      <c r="O2275" s="17"/>
      <c r="Q2275" s="22"/>
      <c r="R2275" s="23"/>
    </row>
    <row r="2276" spans="1:18" ht="12.75">
      <c r="A2276" s="22"/>
      <c r="D2276" s="19"/>
      <c r="H2276" s="18"/>
      <c r="J2276" s="18"/>
      <c r="N2276" s="16"/>
      <c r="O2276" s="17"/>
      <c r="Q2276" s="22"/>
      <c r="R2276" s="23"/>
    </row>
    <row r="2277" spans="1:18" ht="12.75">
      <c r="A2277" s="22"/>
      <c r="D2277" s="19"/>
      <c r="H2277" s="18"/>
      <c r="J2277" s="18"/>
      <c r="N2277" s="16"/>
      <c r="O2277" s="17"/>
      <c r="Q2277" s="22"/>
      <c r="R2277" s="23"/>
    </row>
    <row r="2278" spans="1:18" ht="12.75">
      <c r="A2278" s="22"/>
      <c r="D2278" s="19"/>
      <c r="H2278" s="18"/>
      <c r="J2278" s="18"/>
      <c r="N2278" s="16"/>
      <c r="O2278" s="17"/>
      <c r="Q2278" s="22"/>
      <c r="R2278" s="23"/>
    </row>
    <row r="2279" spans="1:18" ht="12.75">
      <c r="A2279" s="22"/>
      <c r="D2279" s="19"/>
      <c r="H2279" s="18"/>
      <c r="J2279" s="18"/>
      <c r="N2279" s="16"/>
      <c r="O2279" s="17"/>
      <c r="Q2279" s="22"/>
      <c r="R2279" s="23"/>
    </row>
    <row r="2280" spans="1:18" ht="12.75">
      <c r="A2280" s="22"/>
      <c r="D2280" s="19"/>
      <c r="H2280" s="18"/>
      <c r="J2280" s="18"/>
      <c r="N2280" s="16"/>
      <c r="O2280" s="17"/>
      <c r="Q2280" s="22"/>
      <c r="R2280" s="23"/>
    </row>
    <row r="2281" spans="1:18" ht="12.75">
      <c r="A2281" s="22"/>
      <c r="D2281" s="19"/>
      <c r="H2281" s="18"/>
      <c r="J2281" s="18"/>
      <c r="N2281" s="16"/>
      <c r="O2281" s="17"/>
      <c r="Q2281" s="22"/>
      <c r="R2281" s="23"/>
    </row>
    <row r="2282" spans="1:18" ht="12.75">
      <c r="A2282" s="22"/>
      <c r="D2282" s="19"/>
      <c r="H2282" s="18"/>
      <c r="J2282" s="18"/>
      <c r="N2282" s="16"/>
      <c r="O2282" s="17"/>
      <c r="Q2282" s="22"/>
      <c r="R2282" s="23"/>
    </row>
    <row r="2283" spans="1:18" ht="12.75">
      <c r="A2283" s="22"/>
      <c r="D2283" s="19"/>
      <c r="H2283" s="18"/>
      <c r="J2283" s="18"/>
      <c r="N2283" s="16"/>
      <c r="O2283" s="17"/>
      <c r="Q2283" s="22"/>
      <c r="R2283" s="23"/>
    </row>
    <row r="2284" spans="1:18" ht="12.75">
      <c r="A2284" s="22"/>
      <c r="D2284" s="19"/>
      <c r="H2284" s="18"/>
      <c r="J2284" s="18"/>
      <c r="N2284" s="16"/>
      <c r="O2284" s="17"/>
      <c r="Q2284" s="22"/>
      <c r="R2284" s="23"/>
    </row>
    <row r="2285" spans="1:18" ht="12.75">
      <c r="A2285" s="22"/>
      <c r="D2285" s="19"/>
      <c r="H2285" s="18"/>
      <c r="J2285" s="18"/>
      <c r="N2285" s="16"/>
      <c r="O2285" s="17"/>
      <c r="Q2285" s="22"/>
      <c r="R2285" s="23"/>
    </row>
    <row r="2286" spans="1:18" ht="12.75">
      <c r="A2286" s="22"/>
      <c r="D2286" s="19"/>
      <c r="H2286" s="18"/>
      <c r="J2286" s="18"/>
      <c r="N2286" s="16"/>
      <c r="O2286" s="17"/>
      <c r="Q2286" s="22"/>
      <c r="R2286" s="23"/>
    </row>
    <row r="2287" spans="1:18" ht="12.75">
      <c r="A2287" s="22"/>
      <c r="D2287" s="19"/>
      <c r="H2287" s="18"/>
      <c r="J2287" s="18"/>
      <c r="N2287" s="16"/>
      <c r="O2287" s="17"/>
      <c r="Q2287" s="22"/>
      <c r="R2287" s="23"/>
    </row>
    <row r="2288" spans="1:18" ht="12.75">
      <c r="A2288" s="22"/>
      <c r="D2288" s="19"/>
      <c r="H2288" s="18"/>
      <c r="J2288" s="18"/>
      <c r="N2288" s="16"/>
      <c r="O2288" s="17"/>
      <c r="Q2288" s="22"/>
      <c r="R2288" s="23"/>
    </row>
    <row r="2289" spans="1:18" ht="12.75">
      <c r="A2289" s="22"/>
      <c r="D2289" s="19"/>
      <c r="H2289" s="18"/>
      <c r="J2289" s="18"/>
      <c r="N2289" s="16"/>
      <c r="O2289" s="17"/>
      <c r="Q2289" s="22"/>
      <c r="R2289" s="23"/>
    </row>
    <row r="2290" spans="1:18" ht="12.75">
      <c r="A2290" s="22"/>
      <c r="D2290" s="19"/>
      <c r="H2290" s="18"/>
      <c r="J2290" s="18"/>
      <c r="N2290" s="16"/>
      <c r="O2290" s="17"/>
      <c r="Q2290" s="22"/>
      <c r="R2290" s="23"/>
    </row>
    <row r="2291" spans="1:18" ht="12.75">
      <c r="A2291" s="22"/>
      <c r="D2291" s="19"/>
      <c r="H2291" s="18"/>
      <c r="J2291" s="18"/>
      <c r="N2291" s="16"/>
      <c r="O2291" s="17"/>
      <c r="Q2291" s="22"/>
      <c r="R2291" s="23"/>
    </row>
    <row r="2292" spans="1:18" ht="12.75">
      <c r="A2292" s="22"/>
      <c r="D2292" s="19"/>
      <c r="H2292" s="18"/>
      <c r="J2292" s="18"/>
      <c r="N2292" s="16"/>
      <c r="O2292" s="17"/>
      <c r="Q2292" s="22"/>
      <c r="R2292" s="23"/>
    </row>
    <row r="2293" spans="1:18" ht="12.75">
      <c r="A2293" s="22"/>
      <c r="D2293" s="19"/>
      <c r="H2293" s="18"/>
      <c r="J2293" s="18"/>
      <c r="N2293" s="16"/>
      <c r="O2293" s="17"/>
      <c r="Q2293" s="22"/>
      <c r="R2293" s="23"/>
    </row>
    <row r="2294" spans="1:18" ht="12.75">
      <c r="A2294" s="22"/>
      <c r="D2294" s="19"/>
      <c r="H2294" s="18"/>
      <c r="J2294" s="18"/>
      <c r="N2294" s="16"/>
      <c r="O2294" s="17"/>
      <c r="Q2294" s="22"/>
      <c r="R2294" s="23"/>
    </row>
    <row r="2295" spans="1:18" ht="12.75">
      <c r="A2295" s="22"/>
      <c r="D2295" s="19"/>
      <c r="H2295" s="18"/>
      <c r="J2295" s="18"/>
      <c r="N2295" s="16"/>
      <c r="O2295" s="17"/>
      <c r="Q2295" s="22"/>
      <c r="R2295" s="23"/>
    </row>
    <row r="2296" spans="1:18" ht="12.75">
      <c r="A2296" s="22"/>
      <c r="D2296" s="19"/>
      <c r="H2296" s="18"/>
      <c r="J2296" s="18"/>
      <c r="N2296" s="16"/>
      <c r="O2296" s="17"/>
      <c r="Q2296" s="22"/>
      <c r="R2296" s="23"/>
    </row>
    <row r="2297" spans="1:18" ht="12.75">
      <c r="A2297" s="22"/>
      <c r="D2297" s="19"/>
      <c r="H2297" s="18"/>
      <c r="J2297" s="18"/>
      <c r="N2297" s="16"/>
      <c r="O2297" s="17"/>
      <c r="Q2297" s="22"/>
      <c r="R2297" s="23"/>
    </row>
    <row r="2298" spans="1:18" ht="12.75">
      <c r="A2298" s="22"/>
      <c r="D2298" s="19"/>
      <c r="H2298" s="18"/>
      <c r="J2298" s="18"/>
      <c r="N2298" s="16"/>
      <c r="O2298" s="17"/>
      <c r="Q2298" s="22"/>
      <c r="R2298" s="23"/>
    </row>
    <row r="2299" spans="1:18" ht="12.75">
      <c r="A2299" s="22"/>
      <c r="D2299" s="19"/>
      <c r="H2299" s="18"/>
      <c r="J2299" s="18"/>
      <c r="N2299" s="16"/>
      <c r="O2299" s="17"/>
      <c r="Q2299" s="22"/>
      <c r="R2299" s="23"/>
    </row>
    <row r="2300" spans="1:18" ht="12.75">
      <c r="A2300" s="22"/>
      <c r="D2300" s="19"/>
      <c r="H2300" s="18"/>
      <c r="J2300" s="18"/>
      <c r="N2300" s="16"/>
      <c r="O2300" s="17"/>
      <c r="Q2300" s="22"/>
      <c r="R2300" s="23"/>
    </row>
    <row r="2301" spans="1:18" ht="12.75">
      <c r="A2301" s="22"/>
      <c r="D2301" s="19"/>
      <c r="H2301" s="18"/>
      <c r="J2301" s="18"/>
      <c r="N2301" s="16"/>
      <c r="O2301" s="17"/>
      <c r="Q2301" s="22"/>
      <c r="R2301" s="23"/>
    </row>
    <row r="2302" spans="1:18" ht="12.75">
      <c r="A2302" s="22"/>
      <c r="D2302" s="19"/>
      <c r="H2302" s="18"/>
      <c r="J2302" s="18"/>
      <c r="N2302" s="16"/>
      <c r="O2302" s="17"/>
      <c r="Q2302" s="22"/>
      <c r="R2302" s="23"/>
    </row>
    <row r="2303" spans="1:18" ht="12.75">
      <c r="A2303" s="22"/>
      <c r="D2303" s="19"/>
      <c r="H2303" s="18"/>
      <c r="J2303" s="18"/>
      <c r="N2303" s="16"/>
      <c r="O2303" s="17"/>
      <c r="Q2303" s="22"/>
      <c r="R2303" s="23"/>
    </row>
    <row r="2304" spans="1:18" ht="12.75">
      <c r="A2304" s="22"/>
      <c r="D2304" s="19"/>
      <c r="H2304" s="18"/>
      <c r="J2304" s="18"/>
      <c r="N2304" s="16"/>
      <c r="O2304" s="17"/>
      <c r="Q2304" s="22"/>
      <c r="R2304" s="23"/>
    </row>
    <row r="2305" spans="1:18" ht="12.75">
      <c r="A2305" s="22"/>
      <c r="D2305" s="19"/>
      <c r="H2305" s="18"/>
      <c r="J2305" s="18"/>
      <c r="N2305" s="16"/>
      <c r="O2305" s="17"/>
      <c r="Q2305" s="22"/>
      <c r="R2305" s="23"/>
    </row>
    <row r="2306" spans="1:18" ht="12.75">
      <c r="A2306" s="22"/>
      <c r="D2306" s="19"/>
      <c r="H2306" s="18"/>
      <c r="J2306" s="18"/>
      <c r="N2306" s="16"/>
      <c r="O2306" s="17"/>
      <c r="Q2306" s="22"/>
      <c r="R2306" s="23"/>
    </row>
    <row r="2307" spans="1:18" ht="12.75">
      <c r="A2307" s="22"/>
      <c r="D2307" s="19"/>
      <c r="H2307" s="18"/>
      <c r="J2307" s="18"/>
      <c r="N2307" s="16"/>
      <c r="O2307" s="17"/>
      <c r="Q2307" s="22"/>
      <c r="R2307" s="23"/>
    </row>
    <row r="2308" spans="1:18" ht="12.75">
      <c r="A2308" s="22"/>
      <c r="D2308" s="19"/>
      <c r="H2308" s="18"/>
      <c r="J2308" s="18"/>
      <c r="N2308" s="16"/>
      <c r="O2308" s="17"/>
      <c r="Q2308" s="22"/>
      <c r="R2308" s="23"/>
    </row>
    <row r="2309" spans="1:18" ht="12.75">
      <c r="A2309" s="22"/>
      <c r="D2309" s="19"/>
      <c r="H2309" s="18"/>
      <c r="J2309" s="18"/>
      <c r="N2309" s="16"/>
      <c r="O2309" s="17"/>
      <c r="Q2309" s="22"/>
      <c r="R2309" s="23"/>
    </row>
    <row r="2310" spans="1:18" ht="12.75">
      <c r="A2310" s="22"/>
      <c r="D2310" s="19"/>
      <c r="H2310" s="18"/>
      <c r="J2310" s="18"/>
      <c r="N2310" s="16"/>
      <c r="O2310" s="17"/>
      <c r="Q2310" s="22"/>
      <c r="R2310" s="23"/>
    </row>
    <row r="2311" spans="1:18" ht="12.75">
      <c r="A2311" s="22"/>
      <c r="D2311" s="19"/>
      <c r="H2311" s="18"/>
      <c r="J2311" s="18"/>
      <c r="N2311" s="16"/>
      <c r="O2311" s="17"/>
      <c r="Q2311" s="22"/>
      <c r="R2311" s="23"/>
    </row>
    <row r="2312" spans="1:18" ht="12.75">
      <c r="A2312" s="22"/>
      <c r="D2312" s="19"/>
      <c r="H2312" s="18"/>
      <c r="J2312" s="18"/>
      <c r="N2312" s="16"/>
      <c r="O2312" s="17"/>
      <c r="Q2312" s="22"/>
      <c r="R2312" s="23"/>
    </row>
    <row r="2313" spans="1:18" ht="12.75">
      <c r="A2313" s="22"/>
      <c r="D2313" s="19"/>
      <c r="H2313" s="18"/>
      <c r="J2313" s="18"/>
      <c r="N2313" s="16"/>
      <c r="O2313" s="17"/>
      <c r="Q2313" s="22"/>
      <c r="R2313" s="23"/>
    </row>
    <row r="2314" spans="1:18" ht="12.75">
      <c r="A2314" s="22"/>
      <c r="D2314" s="19"/>
      <c r="H2314" s="18"/>
      <c r="J2314" s="18"/>
      <c r="N2314" s="16"/>
      <c r="O2314" s="17"/>
      <c r="Q2314" s="22"/>
      <c r="R2314" s="23"/>
    </row>
    <row r="2315" spans="1:18" ht="12.75">
      <c r="A2315" s="22"/>
      <c r="D2315" s="19"/>
      <c r="H2315" s="18"/>
      <c r="J2315" s="18"/>
      <c r="N2315" s="16"/>
      <c r="O2315" s="17"/>
      <c r="Q2315" s="22"/>
      <c r="R2315" s="23"/>
    </row>
    <row r="2316" spans="1:18" ht="12.75">
      <c r="A2316" s="22"/>
      <c r="D2316" s="19"/>
      <c r="H2316" s="18"/>
      <c r="J2316" s="18"/>
      <c r="N2316" s="16"/>
      <c r="O2316" s="17"/>
      <c r="Q2316" s="22"/>
      <c r="R2316" s="23"/>
    </row>
    <row r="2317" spans="1:18" ht="12.75">
      <c r="A2317" s="22"/>
      <c r="D2317" s="19"/>
      <c r="H2317" s="18"/>
      <c r="J2317" s="18"/>
      <c r="N2317" s="16"/>
      <c r="O2317" s="17"/>
      <c r="Q2317" s="22"/>
      <c r="R2317" s="23"/>
    </row>
    <row r="2318" spans="1:18" ht="12.75">
      <c r="A2318" s="22"/>
      <c r="D2318" s="19"/>
      <c r="H2318" s="18"/>
      <c r="J2318" s="18"/>
      <c r="N2318" s="16"/>
      <c r="O2318" s="17"/>
      <c r="Q2318" s="22"/>
      <c r="R2318" s="23"/>
    </row>
    <row r="2319" spans="1:18" ht="12.75">
      <c r="A2319" s="22"/>
      <c r="D2319" s="19"/>
      <c r="H2319" s="18"/>
      <c r="J2319" s="18"/>
      <c r="N2319" s="16"/>
      <c r="O2319" s="17"/>
      <c r="Q2319" s="22"/>
      <c r="R2319" s="23"/>
    </row>
    <row r="2320" spans="1:18" ht="12.75">
      <c r="A2320" s="22"/>
      <c r="D2320" s="19"/>
      <c r="H2320" s="18"/>
      <c r="J2320" s="18"/>
      <c r="N2320" s="16"/>
      <c r="O2320" s="17"/>
      <c r="Q2320" s="22"/>
      <c r="R2320" s="23"/>
    </row>
    <row r="2321" spans="1:18" ht="12.75">
      <c r="A2321" s="22"/>
      <c r="D2321" s="19"/>
      <c r="H2321" s="18"/>
      <c r="J2321" s="18"/>
      <c r="N2321" s="16"/>
      <c r="O2321" s="17"/>
      <c r="Q2321" s="22"/>
      <c r="R2321" s="23"/>
    </row>
    <row r="2322" spans="1:18" ht="12.75">
      <c r="A2322" s="22"/>
      <c r="D2322" s="19"/>
      <c r="H2322" s="18"/>
      <c r="J2322" s="18"/>
      <c r="N2322" s="16"/>
      <c r="O2322" s="17"/>
      <c r="Q2322" s="22"/>
      <c r="R2322" s="23"/>
    </row>
    <row r="2323" spans="1:18" ht="12.75">
      <c r="A2323" s="22"/>
      <c r="D2323" s="19"/>
      <c r="H2323" s="18"/>
      <c r="J2323" s="18"/>
      <c r="N2323" s="16"/>
      <c r="O2323" s="17"/>
      <c r="Q2323" s="22"/>
      <c r="R2323" s="23"/>
    </row>
    <row r="2324" spans="1:18" ht="12.75">
      <c r="A2324" s="22"/>
      <c r="D2324" s="19"/>
      <c r="H2324" s="18"/>
      <c r="J2324" s="18"/>
      <c r="N2324" s="16"/>
      <c r="O2324" s="17"/>
      <c r="Q2324" s="22"/>
      <c r="R2324" s="23"/>
    </row>
    <row r="2325" spans="1:18" ht="12.75">
      <c r="A2325" s="22"/>
      <c r="D2325" s="19"/>
      <c r="H2325" s="18"/>
      <c r="J2325" s="18"/>
      <c r="N2325" s="16"/>
      <c r="O2325" s="17"/>
      <c r="Q2325" s="22"/>
      <c r="R2325" s="23"/>
    </row>
    <row r="2326" spans="1:18" ht="12.75">
      <c r="A2326" s="22"/>
      <c r="D2326" s="19"/>
      <c r="H2326" s="18"/>
      <c r="J2326" s="18"/>
      <c r="N2326" s="16"/>
      <c r="O2326" s="17"/>
      <c r="Q2326" s="22"/>
      <c r="R2326" s="23"/>
    </row>
    <row r="2327" spans="1:18" ht="12.75">
      <c r="A2327" s="22"/>
      <c r="D2327" s="19"/>
      <c r="H2327" s="18"/>
      <c r="J2327" s="18"/>
      <c r="N2327" s="16"/>
      <c r="O2327" s="17"/>
      <c r="Q2327" s="22"/>
      <c r="R2327" s="23"/>
    </row>
    <row r="2328" spans="1:18" ht="12.75">
      <c r="A2328" s="22"/>
      <c r="D2328" s="19"/>
      <c r="H2328" s="18"/>
      <c r="J2328" s="18"/>
      <c r="N2328" s="16"/>
      <c r="O2328" s="17"/>
      <c r="Q2328" s="22"/>
      <c r="R2328" s="23"/>
    </row>
    <row r="2329" spans="1:18" ht="12.75">
      <c r="A2329" s="22"/>
      <c r="D2329" s="19"/>
      <c r="H2329" s="18"/>
      <c r="J2329" s="18"/>
      <c r="N2329" s="16"/>
      <c r="O2329" s="17"/>
      <c r="Q2329" s="22"/>
      <c r="R2329" s="23"/>
    </row>
    <row r="2330" spans="1:18" ht="12.75">
      <c r="A2330" s="22"/>
      <c r="D2330" s="19"/>
      <c r="H2330" s="18"/>
      <c r="J2330" s="18"/>
      <c r="N2330" s="16"/>
      <c r="O2330" s="17"/>
      <c r="Q2330" s="22"/>
      <c r="R2330" s="23"/>
    </row>
    <row r="2331" spans="1:18" ht="12.75">
      <c r="A2331" s="22"/>
      <c r="D2331" s="19"/>
      <c r="H2331" s="18"/>
      <c r="J2331" s="18"/>
      <c r="N2331" s="16"/>
      <c r="O2331" s="17"/>
      <c r="Q2331" s="22"/>
      <c r="R2331" s="23"/>
    </row>
    <row r="2332" spans="1:18" ht="12.75">
      <c r="A2332" s="22"/>
      <c r="D2332" s="19"/>
      <c r="H2332" s="18"/>
      <c r="J2332" s="18"/>
      <c r="N2332" s="16"/>
      <c r="O2332" s="17"/>
      <c r="Q2332" s="22"/>
      <c r="R2332" s="23"/>
    </row>
    <row r="2333" spans="1:18" ht="12.75">
      <c r="A2333" s="22"/>
      <c r="D2333" s="19"/>
      <c r="H2333" s="18"/>
      <c r="J2333" s="18"/>
      <c r="N2333" s="16"/>
      <c r="O2333" s="17"/>
      <c r="Q2333" s="22"/>
      <c r="R2333" s="23"/>
    </row>
    <row r="2334" spans="1:18" ht="12.75">
      <c r="A2334" s="22"/>
      <c r="D2334" s="19"/>
      <c r="H2334" s="18"/>
      <c r="J2334" s="18"/>
      <c r="N2334" s="16"/>
      <c r="O2334" s="17"/>
      <c r="Q2334" s="22"/>
      <c r="R2334" s="23"/>
    </row>
    <row r="2335" spans="1:18" ht="12.75">
      <c r="A2335" s="22"/>
      <c r="D2335" s="19"/>
      <c r="H2335" s="18"/>
      <c r="J2335" s="18"/>
      <c r="N2335" s="16"/>
      <c r="O2335" s="17"/>
      <c r="Q2335" s="22"/>
      <c r="R2335" s="23"/>
    </row>
    <row r="2336" spans="1:18" ht="12.75">
      <c r="A2336" s="22"/>
      <c r="D2336" s="19"/>
      <c r="H2336" s="18"/>
      <c r="J2336" s="18"/>
      <c r="N2336" s="16"/>
      <c r="O2336" s="17"/>
      <c r="Q2336" s="22"/>
      <c r="R2336" s="23"/>
    </row>
    <row r="2337" spans="1:18" ht="12.75">
      <c r="A2337" s="22"/>
      <c r="D2337" s="19"/>
      <c r="H2337" s="18"/>
      <c r="J2337" s="18"/>
      <c r="N2337" s="16"/>
      <c r="O2337" s="17"/>
      <c r="Q2337" s="22"/>
      <c r="R2337" s="23"/>
    </row>
    <row r="2338" spans="1:18" ht="12.75">
      <c r="A2338" s="22"/>
      <c r="D2338" s="19"/>
      <c r="H2338" s="18"/>
      <c r="J2338" s="18"/>
      <c r="N2338" s="16"/>
      <c r="O2338" s="17"/>
      <c r="Q2338" s="22"/>
      <c r="R2338" s="23"/>
    </row>
    <row r="2339" spans="1:18" ht="12.75">
      <c r="A2339" s="22"/>
      <c r="D2339" s="19"/>
      <c r="H2339" s="18"/>
      <c r="J2339" s="18"/>
      <c r="N2339" s="16"/>
      <c r="O2339" s="17"/>
      <c r="Q2339" s="22"/>
      <c r="R2339" s="23"/>
    </row>
    <row r="2340" spans="1:18" ht="12.75">
      <c r="A2340" s="22"/>
      <c r="D2340" s="19"/>
      <c r="H2340" s="18"/>
      <c r="J2340" s="18"/>
      <c r="N2340" s="16"/>
      <c r="O2340" s="17"/>
      <c r="Q2340" s="22"/>
      <c r="R2340" s="23"/>
    </row>
    <row r="2341" spans="1:18" ht="12.75">
      <c r="A2341" s="22"/>
      <c r="D2341" s="19"/>
      <c r="H2341" s="18"/>
      <c r="J2341" s="18"/>
      <c r="N2341" s="16"/>
      <c r="O2341" s="17"/>
      <c r="Q2341" s="22"/>
      <c r="R2341" s="23"/>
    </row>
    <row r="2342" spans="1:18" ht="12.75">
      <c r="A2342" s="22"/>
      <c r="D2342" s="19"/>
      <c r="H2342" s="18"/>
      <c r="J2342" s="18"/>
      <c r="N2342" s="16"/>
      <c r="O2342" s="17"/>
      <c r="Q2342" s="22"/>
      <c r="R2342" s="23"/>
    </row>
    <row r="2343" spans="1:18" ht="12.75">
      <c r="A2343" s="22"/>
      <c r="D2343" s="19"/>
      <c r="H2343" s="18"/>
      <c r="J2343" s="18"/>
      <c r="N2343" s="16"/>
      <c r="O2343" s="17"/>
      <c r="Q2343" s="22"/>
      <c r="R2343" s="23"/>
    </row>
    <row r="2344" spans="1:18" ht="12.75">
      <c r="A2344" s="22"/>
      <c r="D2344" s="19"/>
      <c r="H2344" s="18"/>
      <c r="J2344" s="18"/>
      <c r="N2344" s="16"/>
      <c r="O2344" s="17"/>
      <c r="Q2344" s="22"/>
      <c r="R2344" s="23"/>
    </row>
    <row r="2345" spans="1:18" ht="12.75">
      <c r="A2345" s="22"/>
      <c r="D2345" s="19"/>
      <c r="H2345" s="18"/>
      <c r="J2345" s="18"/>
      <c r="N2345" s="16"/>
      <c r="O2345" s="17"/>
      <c r="Q2345" s="22"/>
      <c r="R2345" s="23"/>
    </row>
    <row r="2346" spans="1:18" ht="12.75">
      <c r="A2346" s="22"/>
      <c r="D2346" s="19"/>
      <c r="H2346" s="18"/>
      <c r="J2346" s="18"/>
      <c r="N2346" s="16"/>
      <c r="O2346" s="17"/>
      <c r="Q2346" s="22"/>
      <c r="R2346" s="23"/>
    </row>
    <row r="2347" spans="1:18" ht="12.75">
      <c r="A2347" s="22"/>
      <c r="D2347" s="19"/>
      <c r="H2347" s="18"/>
      <c r="J2347" s="18"/>
      <c r="N2347" s="16"/>
      <c r="O2347" s="17"/>
      <c r="Q2347" s="22"/>
      <c r="R2347" s="23"/>
    </row>
    <row r="2348" spans="1:18" ht="12.75">
      <c r="A2348" s="22"/>
      <c r="D2348" s="19"/>
      <c r="H2348" s="18"/>
      <c r="J2348" s="18"/>
      <c r="N2348" s="16"/>
      <c r="O2348" s="17"/>
      <c r="Q2348" s="22"/>
      <c r="R2348" s="23"/>
    </row>
    <row r="2349" spans="1:18" ht="12.75">
      <c r="A2349" s="22"/>
      <c r="D2349" s="19"/>
      <c r="H2349" s="18"/>
      <c r="J2349" s="18"/>
      <c r="N2349" s="16"/>
      <c r="O2349" s="17"/>
      <c r="Q2349" s="22"/>
      <c r="R2349" s="23"/>
    </row>
    <row r="2350" spans="1:18" ht="12.75">
      <c r="A2350" s="22"/>
      <c r="D2350" s="19"/>
      <c r="H2350" s="18"/>
      <c r="J2350" s="18"/>
      <c r="N2350" s="16"/>
      <c r="O2350" s="17"/>
      <c r="Q2350" s="22"/>
      <c r="R2350" s="23"/>
    </row>
    <row r="2351" spans="1:18" ht="12.75">
      <c r="A2351" s="22"/>
      <c r="D2351" s="19"/>
      <c r="H2351" s="18"/>
      <c r="J2351" s="18"/>
      <c r="N2351" s="16"/>
      <c r="O2351" s="17"/>
      <c r="Q2351" s="22"/>
      <c r="R2351" s="23"/>
    </row>
    <row r="2352" spans="1:18" ht="12.75">
      <c r="A2352" s="22"/>
      <c r="D2352" s="19"/>
      <c r="H2352" s="18"/>
      <c r="J2352" s="18"/>
      <c r="N2352" s="16"/>
      <c r="O2352" s="17"/>
      <c r="Q2352" s="22"/>
      <c r="R2352" s="23"/>
    </row>
    <row r="2353" spans="1:18" ht="12.75">
      <c r="A2353" s="22"/>
      <c r="D2353" s="19"/>
      <c r="H2353" s="18"/>
      <c r="J2353" s="18"/>
      <c r="N2353" s="16"/>
      <c r="O2353" s="17"/>
      <c r="Q2353" s="22"/>
      <c r="R2353" s="23"/>
    </row>
    <row r="2354" spans="1:18" ht="12.75">
      <c r="A2354" s="22"/>
      <c r="D2354" s="19"/>
      <c r="H2354" s="18"/>
      <c r="J2354" s="18"/>
      <c r="N2354" s="16"/>
      <c r="O2354" s="17"/>
      <c r="Q2354" s="22"/>
      <c r="R2354" s="23"/>
    </row>
    <row r="2355" spans="1:18" ht="12.75">
      <c r="A2355" s="22"/>
      <c r="D2355" s="19"/>
      <c r="H2355" s="18"/>
      <c r="J2355" s="18"/>
      <c r="N2355" s="16"/>
      <c r="O2355" s="17"/>
      <c r="Q2355" s="22"/>
      <c r="R2355" s="23"/>
    </row>
    <row r="2356" spans="1:18" ht="12.75">
      <c r="A2356" s="22"/>
      <c r="D2356" s="19"/>
      <c r="H2356" s="18"/>
      <c r="J2356" s="18"/>
      <c r="N2356" s="16"/>
      <c r="O2356" s="17"/>
      <c r="Q2356" s="22"/>
      <c r="R2356" s="23"/>
    </row>
    <row r="2357" spans="1:18" ht="12.75">
      <c r="A2357" s="22"/>
      <c r="D2357" s="19"/>
      <c r="H2357" s="18"/>
      <c r="J2357" s="18"/>
      <c r="N2357" s="16"/>
      <c r="O2357" s="17"/>
      <c r="Q2357" s="22"/>
      <c r="R2357" s="23"/>
    </row>
    <row r="2358" spans="1:18" ht="12.75">
      <c r="A2358" s="22"/>
      <c r="D2358" s="19"/>
      <c r="H2358" s="18"/>
      <c r="J2358" s="18"/>
      <c r="N2358" s="16"/>
      <c r="O2358" s="17"/>
      <c r="Q2358" s="22"/>
      <c r="R2358" s="23"/>
    </row>
    <row r="2359" spans="1:18" ht="12.75">
      <c r="A2359" s="22"/>
      <c r="D2359" s="19"/>
      <c r="H2359" s="18"/>
      <c r="J2359" s="18"/>
      <c r="N2359" s="16"/>
      <c r="O2359" s="17"/>
      <c r="Q2359" s="22"/>
      <c r="R2359" s="23"/>
    </row>
    <row r="2360" spans="1:18" ht="12.75">
      <c r="A2360" s="22"/>
      <c r="D2360" s="19"/>
      <c r="H2360" s="18"/>
      <c r="J2360" s="18"/>
      <c r="N2360" s="16"/>
      <c r="O2360" s="17"/>
      <c r="Q2360" s="22"/>
      <c r="R2360" s="23"/>
    </row>
    <row r="2361" spans="1:18" ht="12.75">
      <c r="A2361" s="22"/>
      <c r="D2361" s="19"/>
      <c r="H2361" s="18"/>
      <c r="J2361" s="18"/>
      <c r="N2361" s="16"/>
      <c r="O2361" s="17"/>
      <c r="Q2361" s="22"/>
      <c r="R2361" s="23"/>
    </row>
    <row r="2362" spans="1:18" ht="12.75">
      <c r="A2362" s="22"/>
      <c r="D2362" s="19"/>
      <c r="H2362" s="18"/>
      <c r="J2362" s="18"/>
      <c r="N2362" s="16"/>
      <c r="O2362" s="17"/>
      <c r="Q2362" s="22"/>
      <c r="R2362" s="23"/>
    </row>
    <row r="2363" spans="1:18" ht="12.75">
      <c r="A2363" s="22"/>
      <c r="D2363" s="19"/>
      <c r="H2363" s="18"/>
      <c r="J2363" s="18"/>
      <c r="N2363" s="16"/>
      <c r="O2363" s="17"/>
      <c r="Q2363" s="22"/>
      <c r="R2363" s="23"/>
    </row>
    <row r="2364" spans="1:18" ht="12.75">
      <c r="A2364" s="22"/>
      <c r="D2364" s="19"/>
      <c r="H2364" s="18"/>
      <c r="J2364" s="18"/>
      <c r="N2364" s="16"/>
      <c r="O2364" s="17"/>
      <c r="Q2364" s="22"/>
      <c r="R2364" s="23"/>
    </row>
    <row r="2365" spans="1:18" ht="12.75">
      <c r="A2365" s="22"/>
      <c r="D2365" s="19"/>
      <c r="H2365" s="18"/>
      <c r="J2365" s="18"/>
      <c r="N2365" s="16"/>
      <c r="O2365" s="17"/>
      <c r="Q2365" s="22"/>
      <c r="R2365" s="23"/>
    </row>
    <row r="2366" spans="1:18" ht="12.75">
      <c r="A2366" s="22"/>
      <c r="D2366" s="19"/>
      <c r="H2366" s="18"/>
      <c r="J2366" s="18"/>
      <c r="N2366" s="16"/>
      <c r="O2366" s="17"/>
      <c r="Q2366" s="22"/>
      <c r="R2366" s="23"/>
    </row>
    <row r="2367" spans="1:18" ht="12.75">
      <c r="A2367" s="22"/>
      <c r="D2367" s="19"/>
      <c r="H2367" s="18"/>
      <c r="J2367" s="18"/>
      <c r="N2367" s="16"/>
      <c r="O2367" s="17"/>
      <c r="Q2367" s="22"/>
      <c r="R2367" s="23"/>
    </row>
    <row r="2368" spans="1:18" ht="12.75">
      <c r="A2368" s="22"/>
      <c r="D2368" s="19"/>
      <c r="H2368" s="18"/>
      <c r="J2368" s="18"/>
      <c r="N2368" s="16"/>
      <c r="O2368" s="17"/>
      <c r="Q2368" s="22"/>
      <c r="R2368" s="23"/>
    </row>
    <row r="2369" spans="1:18" ht="12.75">
      <c r="A2369" s="22"/>
      <c r="D2369" s="19"/>
      <c r="H2369" s="18"/>
      <c r="J2369" s="18"/>
      <c r="N2369" s="16"/>
      <c r="O2369" s="17"/>
      <c r="Q2369" s="22"/>
      <c r="R2369" s="23"/>
    </row>
    <row r="2370" spans="1:18" ht="12.75">
      <c r="A2370" s="22"/>
      <c r="D2370" s="19"/>
      <c r="H2370" s="18"/>
      <c r="J2370" s="18"/>
      <c r="N2370" s="16"/>
      <c r="O2370" s="17"/>
      <c r="Q2370" s="22"/>
      <c r="R2370" s="23"/>
    </row>
    <row r="2371" spans="1:18" ht="12.75">
      <c r="A2371" s="22"/>
      <c r="D2371" s="19"/>
      <c r="H2371" s="18"/>
      <c r="J2371" s="18"/>
      <c r="N2371" s="16"/>
      <c r="O2371" s="17"/>
      <c r="Q2371" s="22"/>
      <c r="R2371" s="23"/>
    </row>
    <row r="2372" spans="1:18" ht="12.75">
      <c r="A2372" s="22"/>
      <c r="D2372" s="19"/>
      <c r="H2372" s="18"/>
      <c r="J2372" s="18"/>
      <c r="N2372" s="16"/>
      <c r="O2372" s="17"/>
      <c r="Q2372" s="22"/>
      <c r="R2372" s="23"/>
    </row>
    <row r="2373" spans="1:18" ht="12.75">
      <c r="A2373" s="22"/>
      <c r="D2373" s="19"/>
      <c r="H2373" s="18"/>
      <c r="J2373" s="18"/>
      <c r="N2373" s="16"/>
      <c r="O2373" s="17"/>
      <c r="Q2373" s="22"/>
      <c r="R2373" s="23"/>
    </row>
    <row r="2374" spans="1:18" ht="12.75">
      <c r="A2374" s="22"/>
      <c r="D2374" s="19"/>
      <c r="H2374" s="18"/>
      <c r="J2374" s="18"/>
      <c r="N2374" s="16"/>
      <c r="O2374" s="17"/>
      <c r="Q2374" s="22"/>
      <c r="R2374" s="23"/>
    </row>
    <row r="2375" spans="1:18" ht="12.75">
      <c r="A2375" s="22"/>
      <c r="D2375" s="19"/>
      <c r="H2375" s="18"/>
      <c r="J2375" s="18"/>
      <c r="N2375" s="16"/>
      <c r="O2375" s="17"/>
      <c r="Q2375" s="22"/>
      <c r="R2375" s="23"/>
    </row>
    <row r="2376" spans="1:18" ht="12.75">
      <c r="A2376" s="22"/>
      <c r="D2376" s="19"/>
      <c r="H2376" s="18"/>
      <c r="J2376" s="18"/>
      <c r="N2376" s="16"/>
      <c r="O2376" s="17"/>
      <c r="Q2376" s="22"/>
      <c r="R2376" s="23"/>
    </row>
    <row r="2377" spans="1:18" ht="12.75">
      <c r="A2377" s="22"/>
      <c r="D2377" s="19"/>
      <c r="H2377" s="18"/>
      <c r="J2377" s="18"/>
      <c r="N2377" s="16"/>
      <c r="O2377" s="17"/>
      <c r="Q2377" s="22"/>
      <c r="R2377" s="23"/>
    </row>
    <row r="2378" spans="1:18" ht="12.75">
      <c r="A2378" s="22"/>
      <c r="D2378" s="19"/>
      <c r="H2378" s="18"/>
      <c r="J2378" s="18"/>
      <c r="N2378" s="16"/>
      <c r="O2378" s="17"/>
      <c r="Q2378" s="22"/>
      <c r="R2378" s="23"/>
    </row>
    <row r="2379" spans="1:18" ht="12.75">
      <c r="A2379" s="22"/>
      <c r="D2379" s="19"/>
      <c r="H2379" s="18"/>
      <c r="J2379" s="18"/>
      <c r="N2379" s="16"/>
      <c r="O2379" s="17"/>
      <c r="Q2379" s="22"/>
      <c r="R2379" s="23"/>
    </row>
    <row r="2380" spans="1:18" ht="12.75">
      <c r="A2380" s="22"/>
      <c r="D2380" s="19"/>
      <c r="H2380" s="18"/>
      <c r="J2380" s="18"/>
      <c r="N2380" s="16"/>
      <c r="O2380" s="17"/>
      <c r="Q2380" s="22"/>
      <c r="R2380" s="23"/>
    </row>
    <row r="2381" spans="1:18" ht="12.75">
      <c r="A2381" s="22"/>
      <c r="D2381" s="19"/>
      <c r="H2381" s="18"/>
      <c r="J2381" s="18"/>
      <c r="N2381" s="16"/>
      <c r="O2381" s="17"/>
      <c r="Q2381" s="22"/>
      <c r="R2381" s="23"/>
    </row>
    <row r="2382" spans="1:18" ht="12.75">
      <c r="A2382" s="22"/>
      <c r="D2382" s="19"/>
      <c r="H2382" s="18"/>
      <c r="J2382" s="18"/>
      <c r="N2382" s="16"/>
      <c r="O2382" s="17"/>
      <c r="Q2382" s="22"/>
      <c r="R2382" s="23"/>
    </row>
    <row r="2383" spans="1:18" ht="12.75">
      <c r="A2383" s="22"/>
      <c r="D2383" s="19"/>
      <c r="H2383" s="18"/>
      <c r="J2383" s="18"/>
      <c r="N2383" s="16"/>
      <c r="O2383" s="17"/>
      <c r="Q2383" s="22"/>
      <c r="R2383" s="23"/>
    </row>
    <row r="2384" spans="1:18" ht="12.75">
      <c r="A2384" s="22"/>
      <c r="D2384" s="19"/>
      <c r="H2384" s="18"/>
      <c r="J2384" s="18"/>
      <c r="N2384" s="16"/>
      <c r="O2384" s="17"/>
      <c r="Q2384" s="22"/>
      <c r="R2384" s="23"/>
    </row>
    <row r="2385" spans="1:18" ht="12.75">
      <c r="A2385" s="22"/>
      <c r="D2385" s="19"/>
      <c r="H2385" s="18"/>
      <c r="J2385" s="18"/>
      <c r="N2385" s="16"/>
      <c r="O2385" s="17"/>
      <c r="Q2385" s="22"/>
      <c r="R2385" s="23"/>
    </row>
    <row r="2386" spans="1:18" ht="12.75">
      <c r="A2386" s="22"/>
      <c r="D2386" s="19"/>
      <c r="H2386" s="18"/>
      <c r="J2386" s="18"/>
      <c r="N2386" s="16"/>
      <c r="O2386" s="17"/>
      <c r="Q2386" s="22"/>
      <c r="R2386" s="23"/>
    </row>
    <row r="2387" spans="1:18" ht="12.75">
      <c r="A2387" s="22"/>
      <c r="D2387" s="19"/>
      <c r="H2387" s="18"/>
      <c r="J2387" s="18"/>
      <c r="N2387" s="16"/>
      <c r="O2387" s="17"/>
      <c r="Q2387" s="22"/>
      <c r="R2387" s="23"/>
    </row>
    <row r="2388" spans="1:18" ht="12.75">
      <c r="A2388" s="22"/>
      <c r="D2388" s="19"/>
      <c r="H2388" s="18"/>
      <c r="J2388" s="18"/>
      <c r="N2388" s="16"/>
      <c r="O2388" s="17"/>
      <c r="Q2388" s="22"/>
      <c r="R2388" s="23"/>
    </row>
    <row r="2389" spans="1:18" ht="12.75">
      <c r="A2389" s="22"/>
      <c r="D2389" s="19"/>
      <c r="H2389" s="18"/>
      <c r="J2389" s="18"/>
      <c r="N2389" s="16"/>
      <c r="O2389" s="17"/>
      <c r="Q2389" s="22"/>
      <c r="R2389" s="23"/>
    </row>
    <row r="2390" spans="1:18" ht="12.75">
      <c r="A2390" s="22"/>
      <c r="D2390" s="19"/>
      <c r="H2390" s="18"/>
      <c r="J2390" s="18"/>
      <c r="N2390" s="16"/>
      <c r="O2390" s="17"/>
      <c r="Q2390" s="22"/>
      <c r="R2390" s="23"/>
    </row>
    <row r="2391" spans="1:18" ht="12.75">
      <c r="A2391" s="22"/>
      <c r="D2391" s="19"/>
      <c r="H2391" s="18"/>
      <c r="J2391" s="18"/>
      <c r="N2391" s="16"/>
      <c r="O2391" s="17"/>
      <c r="Q2391" s="22"/>
      <c r="R2391" s="23"/>
    </row>
    <row r="2392" spans="1:18" ht="12.75">
      <c r="A2392" s="22"/>
      <c r="D2392" s="19"/>
      <c r="H2392" s="18"/>
      <c r="J2392" s="18"/>
      <c r="N2392" s="16"/>
      <c r="O2392" s="17"/>
      <c r="Q2392" s="22"/>
      <c r="R2392" s="23"/>
    </row>
    <row r="2393" spans="1:18" ht="12.75">
      <c r="A2393" s="22"/>
      <c r="D2393" s="19"/>
      <c r="H2393" s="18"/>
      <c r="J2393" s="18"/>
      <c r="N2393" s="16"/>
      <c r="O2393" s="17"/>
      <c r="Q2393" s="22"/>
      <c r="R2393" s="23"/>
    </row>
    <row r="2394" spans="1:18" ht="12.75">
      <c r="A2394" s="22"/>
      <c r="D2394" s="19"/>
      <c r="H2394" s="18"/>
      <c r="J2394" s="18"/>
      <c r="N2394" s="16"/>
      <c r="O2394" s="17"/>
      <c r="Q2394" s="22"/>
      <c r="R2394" s="23"/>
    </row>
    <row r="2395" spans="1:18" ht="12.75">
      <c r="A2395" s="22"/>
      <c r="D2395" s="19"/>
      <c r="H2395" s="18"/>
      <c r="J2395" s="18"/>
      <c r="N2395" s="16"/>
      <c r="O2395" s="17"/>
      <c r="Q2395" s="22"/>
      <c r="R2395" s="23"/>
    </row>
    <row r="2396" spans="1:18" ht="12.75">
      <c r="A2396" s="22"/>
      <c r="D2396" s="19"/>
      <c r="H2396" s="18"/>
      <c r="J2396" s="18"/>
      <c r="N2396" s="16"/>
      <c r="O2396" s="17"/>
      <c r="Q2396" s="22"/>
      <c r="R2396" s="23"/>
    </row>
    <row r="2397" spans="1:18" ht="12.75">
      <c r="A2397" s="22"/>
      <c r="D2397" s="19"/>
      <c r="H2397" s="18"/>
      <c r="J2397" s="18"/>
      <c r="N2397" s="16"/>
      <c r="O2397" s="17"/>
      <c r="Q2397" s="22"/>
      <c r="R2397" s="23"/>
    </row>
    <row r="2398" spans="1:18" ht="12.75">
      <c r="A2398" s="22"/>
      <c r="D2398" s="19"/>
      <c r="H2398" s="18"/>
      <c r="J2398" s="18"/>
      <c r="N2398" s="16"/>
      <c r="O2398" s="17"/>
      <c r="Q2398" s="22"/>
      <c r="R2398" s="23"/>
    </row>
    <row r="2399" spans="1:18" ht="12.75">
      <c r="A2399" s="22"/>
      <c r="D2399" s="19"/>
      <c r="H2399" s="18"/>
      <c r="J2399" s="18"/>
      <c r="N2399" s="16"/>
      <c r="O2399" s="17"/>
      <c r="Q2399" s="22"/>
      <c r="R2399" s="23"/>
    </row>
    <row r="2400" spans="1:18" ht="12.75">
      <c r="A2400" s="22"/>
      <c r="D2400" s="19"/>
      <c r="H2400" s="18"/>
      <c r="J2400" s="18"/>
      <c r="N2400" s="16"/>
      <c r="O2400" s="17"/>
      <c r="Q2400" s="22"/>
      <c r="R2400" s="23"/>
    </row>
    <row r="2401" spans="1:18" ht="12.75">
      <c r="A2401" s="22"/>
      <c r="D2401" s="19"/>
      <c r="H2401" s="18"/>
      <c r="J2401" s="18"/>
      <c r="N2401" s="16"/>
      <c r="O2401" s="17"/>
      <c r="Q2401" s="22"/>
      <c r="R2401" s="23"/>
    </row>
    <row r="2402" spans="1:18" ht="12.75">
      <c r="A2402" s="22"/>
      <c r="D2402" s="19"/>
      <c r="H2402" s="18"/>
      <c r="J2402" s="18"/>
      <c r="N2402" s="16"/>
      <c r="O2402" s="17"/>
      <c r="Q2402" s="22"/>
      <c r="R2402" s="23"/>
    </row>
    <row r="2403" spans="1:18" ht="12.75">
      <c r="A2403" s="22"/>
      <c r="D2403" s="19"/>
      <c r="H2403" s="18"/>
      <c r="J2403" s="18"/>
      <c r="N2403" s="16"/>
      <c r="O2403" s="17"/>
      <c r="Q2403" s="22"/>
      <c r="R2403" s="23"/>
    </row>
    <row r="2404" spans="1:18" ht="12.75">
      <c r="A2404" s="22"/>
      <c r="D2404" s="19"/>
      <c r="H2404" s="18"/>
      <c r="J2404" s="18"/>
      <c r="N2404" s="16"/>
      <c r="O2404" s="17"/>
      <c r="Q2404" s="22"/>
      <c r="R2404" s="23"/>
    </row>
    <row r="2405" spans="1:18" ht="12.75">
      <c r="A2405" s="22"/>
      <c r="D2405" s="19"/>
      <c r="H2405" s="18"/>
      <c r="J2405" s="18"/>
      <c r="N2405" s="16"/>
      <c r="O2405" s="17"/>
      <c r="Q2405" s="22"/>
      <c r="R2405" s="23"/>
    </row>
    <row r="2406" spans="1:18" ht="12.75">
      <c r="A2406" s="22"/>
      <c r="D2406" s="19"/>
      <c r="H2406" s="18"/>
      <c r="J2406" s="18"/>
      <c r="N2406" s="16"/>
      <c r="O2406" s="17"/>
      <c r="Q2406" s="22"/>
      <c r="R2406" s="23"/>
    </row>
    <row r="2407" spans="1:18" ht="12.75">
      <c r="A2407" s="22"/>
      <c r="D2407" s="19"/>
      <c r="H2407" s="18"/>
      <c r="J2407" s="18"/>
      <c r="N2407" s="16"/>
      <c r="O2407" s="17"/>
      <c r="Q2407" s="22"/>
      <c r="R2407" s="23"/>
    </row>
    <row r="2408" spans="1:18" ht="12.75">
      <c r="A2408" s="22"/>
      <c r="D2408" s="19"/>
      <c r="H2408" s="18"/>
      <c r="J2408" s="18"/>
      <c r="N2408" s="16"/>
      <c r="O2408" s="17"/>
      <c r="Q2408" s="22"/>
      <c r="R2408" s="23"/>
    </row>
    <row r="2409" spans="1:18" ht="12.75">
      <c r="A2409" s="22"/>
      <c r="D2409" s="19"/>
      <c r="H2409" s="18"/>
      <c r="J2409" s="18"/>
      <c r="N2409" s="16"/>
      <c r="O2409" s="17"/>
      <c r="Q2409" s="22"/>
      <c r="R2409" s="23"/>
    </row>
    <row r="2410" spans="1:18" ht="12.75">
      <c r="A2410" s="22"/>
      <c r="D2410" s="19"/>
      <c r="H2410" s="18"/>
      <c r="J2410" s="18"/>
      <c r="N2410" s="16"/>
      <c r="O2410" s="17"/>
      <c r="Q2410" s="22"/>
      <c r="R2410" s="23"/>
    </row>
    <row r="2411" spans="1:18" ht="12.75">
      <c r="A2411" s="22"/>
      <c r="D2411" s="19"/>
      <c r="H2411" s="18"/>
      <c r="J2411" s="18"/>
      <c r="N2411" s="16"/>
      <c r="O2411" s="17"/>
      <c r="Q2411" s="22"/>
      <c r="R2411" s="23"/>
    </row>
    <row r="2412" spans="1:18" ht="12.75">
      <c r="A2412" s="22"/>
      <c r="D2412" s="19"/>
      <c r="H2412" s="18"/>
      <c r="J2412" s="18"/>
      <c r="N2412" s="16"/>
      <c r="O2412" s="17"/>
      <c r="Q2412" s="22"/>
      <c r="R2412" s="23"/>
    </row>
    <row r="2413" spans="1:18" ht="12.75">
      <c r="A2413" s="22"/>
      <c r="D2413" s="19"/>
      <c r="H2413" s="18"/>
      <c r="J2413" s="18"/>
      <c r="N2413" s="16"/>
      <c r="O2413" s="17"/>
      <c r="Q2413" s="22"/>
      <c r="R2413" s="23"/>
    </row>
    <row r="2414" spans="1:18" ht="12.75">
      <c r="A2414" s="22"/>
      <c r="D2414" s="19"/>
      <c r="H2414" s="18"/>
      <c r="J2414" s="18"/>
      <c r="N2414" s="16"/>
      <c r="O2414" s="17"/>
      <c r="Q2414" s="22"/>
      <c r="R2414" s="23"/>
    </row>
    <row r="2415" spans="1:18" ht="12.75">
      <c r="A2415" s="22"/>
      <c r="D2415" s="19"/>
      <c r="H2415" s="18"/>
      <c r="J2415" s="18"/>
      <c r="N2415" s="16"/>
      <c r="O2415" s="17"/>
      <c r="Q2415" s="22"/>
      <c r="R2415" s="23"/>
    </row>
    <row r="2416" spans="1:18" ht="12.75">
      <c r="A2416" s="22"/>
      <c r="D2416" s="19"/>
      <c r="H2416" s="18"/>
      <c r="J2416" s="18"/>
      <c r="N2416" s="16"/>
      <c r="O2416" s="17"/>
      <c r="Q2416" s="22"/>
      <c r="R2416" s="23"/>
    </row>
    <row r="2417" spans="1:18" ht="12.75">
      <c r="A2417" s="22"/>
      <c r="D2417" s="19"/>
      <c r="H2417" s="18"/>
      <c r="J2417" s="18"/>
      <c r="N2417" s="16"/>
      <c r="O2417" s="17"/>
      <c r="Q2417" s="22"/>
      <c r="R2417" s="23"/>
    </row>
    <row r="2418" spans="1:18" ht="12.75">
      <c r="A2418" s="22"/>
      <c r="D2418" s="19"/>
      <c r="H2418" s="18"/>
      <c r="J2418" s="18"/>
      <c r="N2418" s="16"/>
      <c r="O2418" s="17"/>
      <c r="Q2418" s="22"/>
      <c r="R2418" s="23"/>
    </row>
    <row r="2419" spans="1:18" ht="12.75">
      <c r="A2419" s="22"/>
      <c r="D2419" s="19"/>
      <c r="H2419" s="18"/>
      <c r="J2419" s="18"/>
      <c r="N2419" s="16"/>
      <c r="O2419" s="17"/>
      <c r="Q2419" s="22"/>
      <c r="R2419" s="23"/>
    </row>
    <row r="2420" spans="1:18" ht="12.75">
      <c r="A2420" s="22"/>
      <c r="D2420" s="19"/>
      <c r="H2420" s="18"/>
      <c r="J2420" s="18"/>
      <c r="N2420" s="16"/>
      <c r="O2420" s="17"/>
      <c r="Q2420" s="22"/>
      <c r="R2420" s="23"/>
    </row>
    <row r="2421" spans="1:18" ht="12.75">
      <c r="A2421" s="22"/>
      <c r="D2421" s="19"/>
      <c r="H2421" s="18"/>
      <c r="J2421" s="18"/>
      <c r="N2421" s="16"/>
      <c r="O2421" s="17"/>
      <c r="Q2421" s="22"/>
      <c r="R2421" s="23"/>
    </row>
    <row r="2422" spans="1:18" ht="12.75">
      <c r="A2422" s="22"/>
      <c r="D2422" s="19"/>
      <c r="H2422" s="18"/>
      <c r="J2422" s="18"/>
      <c r="N2422" s="16"/>
      <c r="O2422" s="17"/>
      <c r="Q2422" s="22"/>
      <c r="R2422" s="23"/>
    </row>
    <row r="2423" spans="1:18" ht="12.75">
      <c r="A2423" s="22"/>
      <c r="D2423" s="19"/>
      <c r="H2423" s="18"/>
      <c r="J2423" s="18"/>
      <c r="N2423" s="16"/>
      <c r="O2423" s="17"/>
      <c r="Q2423" s="22"/>
      <c r="R2423" s="23"/>
    </row>
    <row r="2424" spans="1:18" ht="12.75">
      <c r="A2424" s="22"/>
      <c r="D2424" s="19"/>
      <c r="H2424" s="18"/>
      <c r="J2424" s="18"/>
      <c r="N2424" s="16"/>
      <c r="O2424" s="17"/>
      <c r="Q2424" s="22"/>
      <c r="R2424" s="23"/>
    </row>
    <row r="2425" spans="1:18" ht="12.75">
      <c r="A2425" s="22"/>
      <c r="D2425" s="19"/>
      <c r="H2425" s="18"/>
      <c r="J2425" s="18"/>
      <c r="N2425" s="16"/>
      <c r="O2425" s="17"/>
      <c r="Q2425" s="22"/>
      <c r="R2425" s="23"/>
    </row>
    <row r="2426" spans="1:18" ht="12.75">
      <c r="A2426" s="22"/>
      <c r="D2426" s="19"/>
      <c r="H2426" s="18"/>
      <c r="J2426" s="18"/>
      <c r="N2426" s="16"/>
      <c r="O2426" s="17"/>
      <c r="Q2426" s="22"/>
      <c r="R2426" s="23"/>
    </row>
    <row r="2427" spans="1:18" ht="12.75">
      <c r="A2427" s="22"/>
      <c r="D2427" s="19"/>
      <c r="H2427" s="18"/>
      <c r="J2427" s="18"/>
      <c r="N2427" s="16"/>
      <c r="O2427" s="17"/>
      <c r="Q2427" s="22"/>
      <c r="R2427" s="23"/>
    </row>
    <row r="2428" spans="1:18" ht="12.75">
      <c r="A2428" s="22"/>
      <c r="D2428" s="19"/>
      <c r="H2428" s="18"/>
      <c r="J2428" s="18"/>
      <c r="N2428" s="16"/>
      <c r="O2428" s="17"/>
      <c r="Q2428" s="22"/>
      <c r="R2428" s="23"/>
    </row>
    <row r="2429" spans="1:18" ht="12.75">
      <c r="A2429" s="22"/>
      <c r="D2429" s="19"/>
      <c r="H2429" s="18"/>
      <c r="J2429" s="18"/>
      <c r="N2429" s="16"/>
      <c r="O2429" s="17"/>
      <c r="Q2429" s="22"/>
      <c r="R2429" s="23"/>
    </row>
    <row r="2430" spans="1:18" ht="12.75">
      <c r="A2430" s="22"/>
      <c r="D2430" s="19"/>
      <c r="H2430" s="18"/>
      <c r="J2430" s="18"/>
      <c r="N2430" s="16"/>
      <c r="O2430" s="17"/>
      <c r="Q2430" s="22"/>
      <c r="R2430" s="23"/>
    </row>
    <row r="2431" spans="1:18" ht="12.75">
      <c r="A2431" s="22"/>
      <c r="D2431" s="19"/>
      <c r="H2431" s="18"/>
      <c r="J2431" s="18"/>
      <c r="N2431" s="16"/>
      <c r="O2431" s="17"/>
      <c r="Q2431" s="22"/>
      <c r="R2431" s="23"/>
    </row>
    <row r="2432" spans="1:18" ht="12.75">
      <c r="A2432" s="22"/>
      <c r="D2432" s="19"/>
      <c r="H2432" s="18"/>
      <c r="J2432" s="18"/>
      <c r="N2432" s="16"/>
      <c r="O2432" s="17"/>
      <c r="Q2432" s="22"/>
      <c r="R2432" s="23"/>
    </row>
    <row r="2433" spans="1:18" ht="12.75">
      <c r="A2433" s="22"/>
      <c r="D2433" s="19"/>
      <c r="H2433" s="18"/>
      <c r="J2433" s="18"/>
      <c r="N2433" s="16"/>
      <c r="O2433" s="17"/>
      <c r="Q2433" s="22"/>
      <c r="R2433" s="23"/>
    </row>
    <row r="2434" spans="1:18" ht="12.75">
      <c r="A2434" s="22"/>
      <c r="D2434" s="19"/>
      <c r="H2434" s="18"/>
      <c r="J2434" s="18"/>
      <c r="N2434" s="16"/>
      <c r="O2434" s="17"/>
      <c r="Q2434" s="22"/>
      <c r="R2434" s="23"/>
    </row>
    <row r="2435" spans="1:18" ht="12.75">
      <c r="A2435" s="22"/>
      <c r="D2435" s="19"/>
      <c r="H2435" s="18"/>
      <c r="J2435" s="18"/>
      <c r="N2435" s="16"/>
      <c r="O2435" s="17"/>
      <c r="Q2435" s="22"/>
      <c r="R2435" s="23"/>
    </row>
    <row r="2436" spans="1:18" ht="12.75">
      <c r="A2436" s="22"/>
      <c r="D2436" s="19"/>
      <c r="H2436" s="18"/>
      <c r="J2436" s="18"/>
      <c r="N2436" s="16"/>
      <c r="O2436" s="17"/>
      <c r="Q2436" s="22"/>
      <c r="R2436" s="23"/>
    </row>
    <row r="2437" spans="1:18" ht="12.75">
      <c r="A2437" s="22"/>
      <c r="D2437" s="19"/>
      <c r="H2437" s="18"/>
      <c r="J2437" s="18"/>
      <c r="N2437" s="16"/>
      <c r="O2437" s="17"/>
      <c r="Q2437" s="22"/>
      <c r="R2437" s="23"/>
    </row>
    <row r="2438" spans="1:18" ht="12.75">
      <c r="A2438" s="22"/>
      <c r="D2438" s="19"/>
      <c r="H2438" s="18"/>
      <c r="J2438" s="18"/>
      <c r="N2438" s="16"/>
      <c r="O2438" s="17"/>
      <c r="Q2438" s="22"/>
      <c r="R2438" s="23"/>
    </row>
    <row r="2439" spans="1:18" ht="12.75">
      <c r="A2439" s="22"/>
      <c r="D2439" s="19"/>
      <c r="H2439" s="18"/>
      <c r="J2439" s="18"/>
      <c r="N2439" s="16"/>
      <c r="O2439" s="17"/>
      <c r="Q2439" s="22"/>
      <c r="R2439" s="23"/>
    </row>
    <row r="2440" spans="1:18" ht="12.75">
      <c r="A2440" s="22"/>
      <c r="D2440" s="19"/>
      <c r="H2440" s="18"/>
      <c r="J2440" s="18"/>
      <c r="N2440" s="16"/>
      <c r="O2440" s="17"/>
      <c r="Q2440" s="22"/>
      <c r="R2440" s="23"/>
    </row>
    <row r="2441" spans="1:18" ht="12.75">
      <c r="A2441" s="22"/>
      <c r="D2441" s="19"/>
      <c r="H2441" s="18"/>
      <c r="J2441" s="18"/>
      <c r="N2441" s="16"/>
      <c r="O2441" s="17"/>
      <c r="Q2441" s="22"/>
      <c r="R2441" s="23"/>
    </row>
    <row r="2442" spans="1:18" ht="12.75">
      <c r="A2442" s="22"/>
      <c r="D2442" s="19"/>
      <c r="H2442" s="18"/>
      <c r="J2442" s="18"/>
      <c r="N2442" s="16"/>
      <c r="O2442" s="17"/>
      <c r="Q2442" s="22"/>
      <c r="R2442" s="23"/>
    </row>
    <row r="2443" spans="1:18" ht="12.75">
      <c r="A2443" s="22"/>
      <c r="D2443" s="19"/>
      <c r="H2443" s="18"/>
      <c r="J2443" s="18"/>
      <c r="N2443" s="16"/>
      <c r="O2443" s="17"/>
      <c r="Q2443" s="22"/>
      <c r="R2443" s="23"/>
    </row>
    <row r="2444" spans="1:18" ht="12.75">
      <c r="A2444" s="22"/>
      <c r="D2444" s="19"/>
      <c r="H2444" s="18"/>
      <c r="J2444" s="18"/>
      <c r="N2444" s="16"/>
      <c r="O2444" s="17"/>
      <c r="Q2444" s="22"/>
      <c r="R2444" s="23"/>
    </row>
    <row r="2445" spans="1:18" ht="12.75">
      <c r="A2445" s="22"/>
      <c r="D2445" s="19"/>
      <c r="H2445" s="18"/>
      <c r="J2445" s="18"/>
      <c r="N2445" s="16"/>
      <c r="O2445" s="17"/>
      <c r="Q2445" s="22"/>
      <c r="R2445" s="23"/>
    </row>
    <row r="2446" spans="1:18" ht="12.75">
      <c r="A2446" s="22"/>
      <c r="D2446" s="19"/>
      <c r="H2446" s="18"/>
      <c r="J2446" s="18"/>
      <c r="N2446" s="16"/>
      <c r="O2446" s="17"/>
      <c r="Q2446" s="22"/>
      <c r="R2446" s="23"/>
    </row>
    <row r="2447" spans="1:18" ht="12.75">
      <c r="A2447" s="22"/>
      <c r="D2447" s="19"/>
      <c r="H2447" s="18"/>
      <c r="J2447" s="18"/>
      <c r="N2447" s="16"/>
      <c r="O2447" s="17"/>
      <c r="Q2447" s="22"/>
      <c r="R2447" s="23"/>
    </row>
    <row r="2448" spans="1:18" ht="12.75">
      <c r="A2448" s="22"/>
      <c r="D2448" s="19"/>
      <c r="H2448" s="18"/>
      <c r="J2448" s="18"/>
      <c r="N2448" s="16"/>
      <c r="O2448" s="17"/>
      <c r="Q2448" s="22"/>
      <c r="R2448" s="23"/>
    </row>
    <row r="2449" spans="1:18" ht="12.75">
      <c r="A2449" s="22"/>
      <c r="D2449" s="19"/>
      <c r="H2449" s="18"/>
      <c r="J2449" s="18"/>
      <c r="N2449" s="16"/>
      <c r="O2449" s="17"/>
      <c r="Q2449" s="22"/>
      <c r="R2449" s="23"/>
    </row>
    <row r="2450" spans="1:18" ht="12.75">
      <c r="A2450" s="22"/>
      <c r="D2450" s="19"/>
      <c r="H2450" s="18"/>
      <c r="J2450" s="18"/>
      <c r="N2450" s="16"/>
      <c r="O2450" s="17"/>
      <c r="Q2450" s="22"/>
      <c r="R2450" s="23"/>
    </row>
    <row r="2451" spans="1:18" ht="12.75">
      <c r="A2451" s="22"/>
      <c r="D2451" s="19"/>
      <c r="H2451" s="18"/>
      <c r="J2451" s="18"/>
      <c r="N2451" s="16"/>
      <c r="O2451" s="17"/>
      <c r="Q2451" s="22"/>
      <c r="R2451" s="23"/>
    </row>
    <row r="2452" spans="1:18" ht="12.75">
      <c r="A2452" s="22"/>
      <c r="D2452" s="19"/>
      <c r="H2452" s="18"/>
      <c r="J2452" s="18"/>
      <c r="N2452" s="16"/>
      <c r="O2452" s="17"/>
      <c r="Q2452" s="22"/>
      <c r="R2452" s="23"/>
    </row>
    <row r="2453" spans="1:18" ht="12.75">
      <c r="A2453" s="22"/>
      <c r="D2453" s="19"/>
      <c r="H2453" s="18"/>
      <c r="J2453" s="18"/>
      <c r="N2453" s="16"/>
      <c r="O2453" s="17"/>
      <c r="Q2453" s="22"/>
      <c r="R2453" s="23"/>
    </row>
    <row r="2454" spans="1:18" ht="12.75">
      <c r="A2454" s="22"/>
      <c r="D2454" s="19"/>
      <c r="H2454" s="18"/>
      <c r="J2454" s="18"/>
      <c r="N2454" s="16"/>
      <c r="O2454" s="17"/>
      <c r="Q2454" s="22"/>
      <c r="R2454" s="23"/>
    </row>
    <row r="2455" spans="1:18" ht="12.75">
      <c r="A2455" s="22"/>
      <c r="D2455" s="19"/>
      <c r="H2455" s="18"/>
      <c r="J2455" s="18"/>
      <c r="N2455" s="16"/>
      <c r="O2455" s="17"/>
      <c r="Q2455" s="22"/>
      <c r="R2455" s="23"/>
    </row>
    <row r="2456" spans="1:18" ht="12.75">
      <c r="A2456" s="22"/>
      <c r="D2456" s="19"/>
      <c r="H2456" s="18"/>
      <c r="J2456" s="18"/>
      <c r="N2456" s="16"/>
      <c r="O2456" s="17"/>
      <c r="Q2456" s="22"/>
      <c r="R2456" s="23"/>
    </row>
    <row r="2457" spans="1:18" ht="12.75">
      <c r="A2457" s="22"/>
      <c r="D2457" s="19"/>
      <c r="H2457" s="18"/>
      <c r="J2457" s="18"/>
      <c r="N2457" s="16"/>
      <c r="O2457" s="17"/>
      <c r="Q2457" s="22"/>
      <c r="R2457" s="23"/>
    </row>
    <row r="2458" spans="1:18" ht="12.75">
      <c r="A2458" s="22"/>
      <c r="D2458" s="19"/>
      <c r="H2458" s="18"/>
      <c r="J2458" s="18"/>
      <c r="N2458" s="16"/>
      <c r="O2458" s="17"/>
      <c r="Q2458" s="22"/>
      <c r="R2458" s="23"/>
    </row>
    <row r="2459" spans="1:18" ht="12.75">
      <c r="A2459" s="22"/>
      <c r="D2459" s="19"/>
      <c r="H2459" s="18"/>
      <c r="J2459" s="18"/>
      <c r="N2459" s="16"/>
      <c r="O2459" s="17"/>
      <c r="Q2459" s="22"/>
      <c r="R2459" s="23"/>
    </row>
    <row r="2460" spans="1:18" ht="12.75">
      <c r="A2460" s="22"/>
      <c r="D2460" s="19"/>
      <c r="H2460" s="18"/>
      <c r="J2460" s="18"/>
      <c r="N2460" s="16"/>
      <c r="O2460" s="17"/>
      <c r="Q2460" s="22"/>
      <c r="R2460" s="23"/>
    </row>
    <row r="2461" spans="1:18" ht="12.75">
      <c r="A2461" s="22"/>
      <c r="D2461" s="19"/>
      <c r="H2461" s="18"/>
      <c r="J2461" s="18"/>
      <c r="N2461" s="16"/>
      <c r="O2461" s="17"/>
      <c r="Q2461" s="22"/>
      <c r="R2461" s="23"/>
    </row>
    <row r="2462" spans="1:18" ht="12.75">
      <c r="A2462" s="22"/>
      <c r="D2462" s="19"/>
      <c r="H2462" s="18"/>
      <c r="J2462" s="18"/>
      <c r="N2462" s="16"/>
      <c r="O2462" s="17"/>
      <c r="Q2462" s="22"/>
      <c r="R2462" s="23"/>
    </row>
    <row r="2463" spans="1:18" ht="12.75">
      <c r="A2463" s="22"/>
      <c r="D2463" s="19"/>
      <c r="H2463" s="18"/>
      <c r="J2463" s="18"/>
      <c r="N2463" s="16"/>
      <c r="O2463" s="17"/>
      <c r="Q2463" s="22"/>
      <c r="R2463" s="23"/>
    </row>
    <row r="2464" spans="1:18" ht="12.75">
      <c r="A2464" s="22"/>
      <c r="D2464" s="19"/>
      <c r="H2464" s="18"/>
      <c r="J2464" s="18"/>
      <c r="N2464" s="16"/>
      <c r="O2464" s="17"/>
      <c r="Q2464" s="22"/>
      <c r="R2464" s="23"/>
    </row>
    <row r="2465" spans="1:18" ht="12.75">
      <c r="A2465" s="22"/>
      <c r="D2465" s="19"/>
      <c r="H2465" s="18"/>
      <c r="J2465" s="18"/>
      <c r="N2465" s="16"/>
      <c r="O2465" s="17"/>
      <c r="Q2465" s="22"/>
      <c r="R2465" s="23"/>
    </row>
    <row r="2466" spans="1:18" ht="12.75">
      <c r="A2466" s="22"/>
      <c r="D2466" s="19"/>
      <c r="H2466" s="18"/>
      <c r="J2466" s="18"/>
      <c r="N2466" s="16"/>
      <c r="O2466" s="17"/>
      <c r="Q2466" s="22"/>
      <c r="R2466" s="23"/>
    </row>
    <row r="2467" spans="1:18" ht="12.75">
      <c r="A2467" s="22"/>
      <c r="D2467" s="19"/>
      <c r="H2467" s="18"/>
      <c r="J2467" s="18"/>
      <c r="N2467" s="16"/>
      <c r="O2467" s="17"/>
      <c r="Q2467" s="22"/>
      <c r="R2467" s="23"/>
    </row>
    <row r="2468" spans="1:18" ht="12.75">
      <c r="A2468" s="22"/>
      <c r="D2468" s="19"/>
      <c r="H2468" s="18"/>
      <c r="J2468" s="18"/>
      <c r="N2468" s="16"/>
      <c r="O2468" s="17"/>
      <c r="Q2468" s="22"/>
      <c r="R2468" s="23"/>
    </row>
    <row r="2469" spans="1:18" ht="12.75">
      <c r="A2469" s="22"/>
      <c r="D2469" s="19"/>
      <c r="H2469" s="18"/>
      <c r="J2469" s="18"/>
      <c r="N2469" s="16"/>
      <c r="O2469" s="17"/>
      <c r="Q2469" s="22"/>
      <c r="R2469" s="23"/>
    </row>
    <row r="2470" spans="1:18" ht="12.75">
      <c r="A2470" s="22"/>
      <c r="D2470" s="19"/>
      <c r="H2470" s="18"/>
      <c r="J2470" s="18"/>
      <c r="N2470" s="16"/>
      <c r="O2470" s="17"/>
      <c r="Q2470" s="22"/>
      <c r="R2470" s="23"/>
    </row>
    <row r="2471" spans="1:18" ht="12.75">
      <c r="A2471" s="22"/>
      <c r="D2471" s="19"/>
      <c r="H2471" s="18"/>
      <c r="J2471" s="18"/>
      <c r="N2471" s="16"/>
      <c r="O2471" s="17"/>
      <c r="Q2471" s="22"/>
      <c r="R2471" s="23"/>
    </row>
    <row r="2472" spans="1:18" ht="12.75">
      <c r="A2472" s="22"/>
      <c r="D2472" s="19"/>
      <c r="H2472" s="18"/>
      <c r="J2472" s="18"/>
      <c r="N2472" s="16"/>
      <c r="O2472" s="17"/>
      <c r="Q2472" s="22"/>
      <c r="R2472" s="23"/>
    </row>
    <row r="2473" spans="1:18" ht="12.75">
      <c r="A2473" s="22"/>
      <c r="D2473" s="19"/>
      <c r="H2473" s="18"/>
      <c r="J2473" s="18"/>
      <c r="N2473" s="16"/>
      <c r="O2473" s="17"/>
      <c r="Q2473" s="22"/>
      <c r="R2473" s="23"/>
    </row>
    <row r="2474" spans="1:18" ht="12.75">
      <c r="A2474" s="22"/>
      <c r="D2474" s="19"/>
      <c r="H2474" s="18"/>
      <c r="J2474" s="18"/>
      <c r="N2474" s="16"/>
      <c r="O2474" s="17"/>
      <c r="Q2474" s="22"/>
      <c r="R2474" s="23"/>
    </row>
    <row r="2475" spans="1:18" ht="12.75">
      <c r="A2475" s="22"/>
      <c r="D2475" s="19"/>
      <c r="H2475" s="18"/>
      <c r="J2475" s="18"/>
      <c r="N2475" s="16"/>
      <c r="O2475" s="17"/>
      <c r="Q2475" s="22"/>
      <c r="R2475" s="23"/>
    </row>
    <row r="2476" spans="1:18" ht="12.75">
      <c r="A2476" s="22"/>
      <c r="D2476" s="19"/>
      <c r="H2476" s="18"/>
      <c r="J2476" s="18"/>
      <c r="N2476" s="16"/>
      <c r="O2476" s="17"/>
      <c r="Q2476" s="22"/>
      <c r="R2476" s="23"/>
    </row>
    <row r="2477" spans="1:18" ht="12.75">
      <c r="A2477" s="22"/>
      <c r="D2477" s="19"/>
      <c r="H2477" s="18"/>
      <c r="J2477" s="18"/>
      <c r="N2477" s="16"/>
      <c r="O2477" s="17"/>
      <c r="Q2477" s="22"/>
      <c r="R2477" s="23"/>
    </row>
    <row r="2478" spans="1:18" ht="12.75">
      <c r="A2478" s="22"/>
      <c r="D2478" s="19"/>
      <c r="H2478" s="18"/>
      <c r="J2478" s="18"/>
      <c r="N2478" s="16"/>
      <c r="O2478" s="17"/>
      <c r="Q2478" s="22"/>
      <c r="R2478" s="23"/>
    </row>
    <row r="2479" spans="1:18" ht="12.75">
      <c r="A2479" s="22"/>
      <c r="D2479" s="19"/>
      <c r="H2479" s="18"/>
      <c r="J2479" s="18"/>
      <c r="N2479" s="16"/>
      <c r="O2479" s="17"/>
      <c r="Q2479" s="22"/>
      <c r="R2479" s="23"/>
    </row>
    <row r="2480" spans="1:18" ht="12.75">
      <c r="A2480" s="22"/>
      <c r="D2480" s="19"/>
      <c r="H2480" s="18"/>
      <c r="J2480" s="18"/>
      <c r="N2480" s="16"/>
      <c r="O2480" s="17"/>
      <c r="Q2480" s="22"/>
      <c r="R2480" s="23"/>
    </row>
    <row r="2481" spans="1:18" ht="12.75">
      <c r="A2481" s="22"/>
      <c r="D2481" s="19"/>
      <c r="H2481" s="18"/>
      <c r="J2481" s="18"/>
      <c r="N2481" s="16"/>
      <c r="O2481" s="17"/>
      <c r="Q2481" s="22"/>
      <c r="R2481" s="23"/>
    </row>
    <row r="2482" spans="1:18" ht="12.75">
      <c r="A2482" s="22"/>
      <c r="D2482" s="19"/>
      <c r="H2482" s="18"/>
      <c r="J2482" s="18"/>
      <c r="N2482" s="16"/>
      <c r="O2482" s="17"/>
      <c r="Q2482" s="22"/>
      <c r="R2482" s="23"/>
    </row>
    <row r="2483" spans="1:18" ht="12.75">
      <c r="A2483" s="22"/>
      <c r="D2483" s="19"/>
      <c r="H2483" s="18"/>
      <c r="J2483" s="18"/>
      <c r="N2483" s="16"/>
      <c r="O2483" s="17"/>
      <c r="Q2483" s="22"/>
      <c r="R2483" s="23"/>
    </row>
    <row r="2484" spans="1:18" ht="12.75">
      <c r="A2484" s="22"/>
      <c r="D2484" s="19"/>
      <c r="H2484" s="18"/>
      <c r="J2484" s="18"/>
      <c r="N2484" s="16"/>
      <c r="O2484" s="17"/>
      <c r="Q2484" s="22"/>
      <c r="R2484" s="23"/>
    </row>
    <row r="2485" spans="1:18" ht="12.75">
      <c r="A2485" s="22"/>
      <c r="D2485" s="19"/>
      <c r="H2485" s="18"/>
      <c r="J2485" s="18"/>
      <c r="N2485" s="16"/>
      <c r="O2485" s="17"/>
      <c r="Q2485" s="22"/>
      <c r="R2485" s="23"/>
    </row>
    <row r="2486" spans="1:18" ht="12.75">
      <c r="A2486" s="22"/>
      <c r="D2486" s="19"/>
      <c r="H2486" s="18"/>
      <c r="J2486" s="18"/>
      <c r="N2486" s="16"/>
      <c r="O2486" s="17"/>
      <c r="Q2486" s="22"/>
      <c r="R2486" s="23"/>
    </row>
    <row r="2487" spans="1:18" ht="12.75">
      <c r="A2487" s="22"/>
      <c r="D2487" s="19"/>
      <c r="H2487" s="18"/>
      <c r="J2487" s="18"/>
      <c r="N2487" s="16"/>
      <c r="O2487" s="17"/>
      <c r="Q2487" s="22"/>
      <c r="R2487" s="23"/>
    </row>
    <row r="2488" spans="1:18" ht="12.75">
      <c r="A2488" s="22"/>
      <c r="D2488" s="19"/>
      <c r="H2488" s="18"/>
      <c r="J2488" s="18"/>
      <c r="N2488" s="16"/>
      <c r="O2488" s="17"/>
      <c r="Q2488" s="22"/>
      <c r="R2488" s="23"/>
    </row>
    <row r="2489" spans="1:18" ht="12.75">
      <c r="A2489" s="22"/>
      <c r="D2489" s="19"/>
      <c r="H2489" s="18"/>
      <c r="J2489" s="18"/>
      <c r="N2489" s="16"/>
      <c r="O2489" s="17"/>
      <c r="Q2489" s="22"/>
      <c r="R2489" s="23"/>
    </row>
    <row r="2490" spans="1:18" ht="12.75">
      <c r="A2490" s="22"/>
      <c r="D2490" s="19"/>
      <c r="H2490" s="18"/>
      <c r="J2490" s="18"/>
      <c r="N2490" s="16"/>
      <c r="O2490" s="17"/>
      <c r="Q2490" s="22"/>
      <c r="R2490" s="23"/>
    </row>
    <row r="2491" spans="1:18" ht="12.75">
      <c r="A2491" s="22"/>
      <c r="D2491" s="19"/>
      <c r="H2491" s="18"/>
      <c r="J2491" s="18"/>
      <c r="N2491" s="16"/>
      <c r="O2491" s="17"/>
      <c r="Q2491" s="22"/>
      <c r="R2491" s="23"/>
    </row>
    <row r="2492" spans="1:18" ht="12.75">
      <c r="A2492" s="22"/>
      <c r="D2492" s="19"/>
      <c r="H2492" s="18"/>
      <c r="J2492" s="18"/>
      <c r="N2492" s="16"/>
      <c r="O2492" s="17"/>
      <c r="Q2492" s="22"/>
      <c r="R2492" s="23"/>
    </row>
    <row r="2493" spans="1:18" ht="12.75">
      <c r="A2493" s="22"/>
      <c r="D2493" s="19"/>
      <c r="H2493" s="18"/>
      <c r="J2493" s="18"/>
      <c r="N2493" s="16"/>
      <c r="O2493" s="17"/>
      <c r="Q2493" s="22"/>
      <c r="R2493" s="23"/>
    </row>
    <row r="2494" spans="1:18" ht="12.75">
      <c r="A2494" s="22"/>
      <c r="D2494" s="19"/>
      <c r="H2494" s="18"/>
      <c r="J2494" s="18"/>
      <c r="N2494" s="16"/>
      <c r="O2494" s="17"/>
      <c r="Q2494" s="22"/>
      <c r="R2494" s="23"/>
    </row>
    <row r="2495" spans="1:18" ht="12.75">
      <c r="A2495" s="22"/>
      <c r="D2495" s="19"/>
      <c r="H2495" s="18"/>
      <c r="J2495" s="18"/>
      <c r="N2495" s="16"/>
      <c r="O2495" s="17"/>
      <c r="Q2495" s="22"/>
      <c r="R2495" s="23"/>
    </row>
    <row r="2496" spans="1:18" ht="12.75">
      <c r="A2496" s="22"/>
      <c r="D2496" s="19"/>
      <c r="H2496" s="18"/>
      <c r="J2496" s="18"/>
      <c r="N2496" s="16"/>
      <c r="O2496" s="17"/>
      <c r="Q2496" s="22"/>
      <c r="R2496" s="23"/>
    </row>
    <row r="2497" spans="1:18" ht="12.75">
      <c r="A2497" s="22"/>
      <c r="D2497" s="19"/>
      <c r="H2497" s="18"/>
      <c r="J2497" s="18"/>
      <c r="N2497" s="16"/>
      <c r="O2497" s="17"/>
      <c r="Q2497" s="22"/>
      <c r="R2497" s="23"/>
    </row>
    <row r="2498" spans="1:18" ht="12.75">
      <c r="A2498" s="22"/>
      <c r="D2498" s="19"/>
      <c r="H2498" s="18"/>
      <c r="J2498" s="18"/>
      <c r="N2498" s="16"/>
      <c r="O2498" s="17"/>
      <c r="Q2498" s="22"/>
      <c r="R2498" s="23"/>
    </row>
    <row r="2499" spans="1:18" ht="12.75">
      <c r="A2499" s="22"/>
      <c r="D2499" s="19"/>
      <c r="H2499" s="18"/>
      <c r="J2499" s="18"/>
      <c r="N2499" s="16"/>
      <c r="O2499" s="17"/>
      <c r="Q2499" s="22"/>
      <c r="R2499" s="23"/>
    </row>
    <row r="2500" spans="1:18" ht="12.75">
      <c r="A2500" s="22"/>
      <c r="D2500" s="19"/>
      <c r="H2500" s="18"/>
      <c r="J2500" s="18"/>
      <c r="N2500" s="16"/>
      <c r="O2500" s="17"/>
      <c r="Q2500" s="22"/>
      <c r="R2500" s="23"/>
    </row>
    <row r="2501" spans="1:18" ht="12.75">
      <c r="A2501" s="22"/>
      <c r="D2501" s="19"/>
      <c r="H2501" s="18"/>
      <c r="J2501" s="18"/>
      <c r="N2501" s="16"/>
      <c r="O2501" s="17"/>
      <c r="Q2501" s="22"/>
      <c r="R2501" s="23"/>
    </row>
    <row r="2502" spans="1:18" ht="12.75">
      <c r="A2502" s="22"/>
      <c r="D2502" s="19"/>
      <c r="H2502" s="18"/>
      <c r="J2502" s="18"/>
      <c r="N2502" s="16"/>
      <c r="O2502" s="17"/>
      <c r="Q2502" s="22"/>
      <c r="R2502" s="23"/>
    </row>
    <row r="2503" spans="1:18" ht="12.75">
      <c r="A2503" s="22"/>
      <c r="D2503" s="19"/>
      <c r="H2503" s="18"/>
      <c r="J2503" s="18"/>
      <c r="N2503" s="16"/>
      <c r="O2503" s="17"/>
      <c r="Q2503" s="22"/>
      <c r="R2503" s="23"/>
    </row>
    <row r="2504" spans="1:18" ht="12.75">
      <c r="A2504" s="22"/>
      <c r="D2504" s="19"/>
      <c r="H2504" s="18"/>
      <c r="J2504" s="18"/>
      <c r="N2504" s="16"/>
      <c r="O2504" s="17"/>
      <c r="Q2504" s="22"/>
      <c r="R2504" s="23"/>
    </row>
    <row r="2505" spans="1:18" ht="12.75">
      <c r="A2505" s="22"/>
      <c r="D2505" s="19"/>
      <c r="H2505" s="18"/>
      <c r="J2505" s="18"/>
      <c r="N2505" s="16"/>
      <c r="O2505" s="17"/>
      <c r="Q2505" s="22"/>
      <c r="R2505" s="23"/>
    </row>
    <row r="2506" spans="1:18" ht="12.75">
      <c r="A2506" s="22"/>
      <c r="D2506" s="19"/>
      <c r="H2506" s="18"/>
      <c r="J2506" s="18"/>
      <c r="N2506" s="16"/>
      <c r="O2506" s="17"/>
      <c r="Q2506" s="22"/>
      <c r="R2506" s="23"/>
    </row>
    <row r="2507" spans="1:18" ht="12.75">
      <c r="A2507" s="22"/>
      <c r="D2507" s="19"/>
      <c r="H2507" s="18"/>
      <c r="J2507" s="18"/>
      <c r="N2507" s="16"/>
      <c r="O2507" s="17"/>
      <c r="Q2507" s="22"/>
      <c r="R2507" s="23"/>
    </row>
    <row r="2508" spans="1:18" ht="12.75">
      <c r="A2508" s="22"/>
      <c r="D2508" s="19"/>
      <c r="H2508" s="18"/>
      <c r="J2508" s="18"/>
      <c r="N2508" s="16"/>
      <c r="O2508" s="17"/>
      <c r="Q2508" s="22"/>
      <c r="R2508" s="23"/>
    </row>
    <row r="2509" spans="1:18" ht="12.75">
      <c r="A2509" s="22"/>
      <c r="D2509" s="19"/>
      <c r="H2509" s="18"/>
      <c r="J2509" s="18"/>
      <c r="N2509" s="16"/>
      <c r="O2509" s="17"/>
      <c r="Q2509" s="22"/>
      <c r="R2509" s="23"/>
    </row>
    <row r="2510" spans="1:18" ht="12.75">
      <c r="A2510" s="22"/>
      <c r="D2510" s="19"/>
      <c r="H2510" s="18"/>
      <c r="J2510" s="18"/>
      <c r="N2510" s="16"/>
      <c r="O2510" s="17"/>
      <c r="Q2510" s="22"/>
      <c r="R2510" s="23"/>
    </row>
    <row r="2511" spans="1:18" ht="12.75">
      <c r="A2511" s="22"/>
      <c r="D2511" s="19"/>
      <c r="H2511" s="18"/>
      <c r="J2511" s="18"/>
      <c r="N2511" s="16"/>
      <c r="O2511" s="17"/>
      <c r="Q2511" s="22"/>
      <c r="R2511" s="23"/>
    </row>
    <row r="2512" spans="1:18" ht="12.75">
      <c r="A2512" s="22"/>
      <c r="D2512" s="19"/>
      <c r="H2512" s="18"/>
      <c r="J2512" s="18"/>
      <c r="N2512" s="16"/>
      <c r="O2512" s="17"/>
      <c r="Q2512" s="22"/>
      <c r="R2512" s="23"/>
    </row>
    <row r="2513" spans="1:18" ht="12.75">
      <c r="A2513" s="22"/>
      <c r="D2513" s="19"/>
      <c r="H2513" s="18"/>
      <c r="J2513" s="18"/>
      <c r="N2513" s="16"/>
      <c r="O2513" s="17"/>
      <c r="Q2513" s="22"/>
      <c r="R2513" s="23"/>
    </row>
    <row r="2514" spans="1:18" ht="12.75">
      <c r="A2514" s="22"/>
      <c r="D2514" s="19"/>
      <c r="H2514" s="18"/>
      <c r="J2514" s="18"/>
      <c r="N2514" s="16"/>
      <c r="O2514" s="17"/>
      <c r="Q2514" s="22"/>
      <c r="R2514" s="23"/>
    </row>
    <row r="2515" spans="1:18" ht="12.75">
      <c r="A2515" s="22"/>
      <c r="D2515" s="19"/>
      <c r="H2515" s="18"/>
      <c r="J2515" s="18"/>
      <c r="N2515" s="16"/>
      <c r="O2515" s="17"/>
      <c r="Q2515" s="22"/>
      <c r="R2515" s="23"/>
    </row>
    <row r="2516" spans="1:18" ht="12.75">
      <c r="A2516" s="22"/>
      <c r="D2516" s="19"/>
      <c r="H2516" s="18"/>
      <c r="J2516" s="18"/>
      <c r="N2516" s="16"/>
      <c r="O2516" s="17"/>
      <c r="Q2516" s="22"/>
      <c r="R2516" s="23"/>
    </row>
    <row r="2517" spans="1:18" ht="12.75">
      <c r="A2517" s="22"/>
      <c r="D2517" s="19"/>
      <c r="H2517" s="18"/>
      <c r="J2517" s="18"/>
      <c r="N2517" s="16"/>
      <c r="O2517" s="17"/>
      <c r="Q2517" s="22"/>
      <c r="R2517" s="23"/>
    </row>
    <row r="2518" spans="1:18" ht="12.75">
      <c r="A2518" s="22"/>
      <c r="D2518" s="19"/>
      <c r="H2518" s="18"/>
      <c r="J2518" s="18"/>
      <c r="N2518" s="16"/>
      <c r="O2518" s="17"/>
      <c r="Q2518" s="22"/>
      <c r="R2518" s="23"/>
    </row>
    <row r="2519" spans="1:18" ht="12.75">
      <c r="A2519" s="22"/>
      <c r="D2519" s="19"/>
      <c r="H2519" s="18"/>
      <c r="J2519" s="18"/>
      <c r="N2519" s="16"/>
      <c r="O2519" s="17"/>
      <c r="Q2519" s="22"/>
      <c r="R2519" s="23"/>
    </row>
    <row r="2520" spans="1:18" ht="12.75">
      <c r="A2520" s="22"/>
      <c r="D2520" s="19"/>
      <c r="H2520" s="18"/>
      <c r="J2520" s="18"/>
      <c r="N2520" s="16"/>
      <c r="O2520" s="17"/>
      <c r="Q2520" s="22"/>
      <c r="R2520" s="23"/>
    </row>
    <row r="2521" spans="1:18" ht="12.75">
      <c r="A2521" s="22"/>
      <c r="D2521" s="19"/>
      <c r="H2521" s="18"/>
      <c r="J2521" s="18"/>
      <c r="N2521" s="16"/>
      <c r="O2521" s="17"/>
      <c r="Q2521" s="22"/>
      <c r="R2521" s="23"/>
    </row>
    <row r="2522" spans="1:18" ht="12.75">
      <c r="A2522" s="22"/>
      <c r="D2522" s="19"/>
      <c r="H2522" s="18"/>
      <c r="J2522" s="18"/>
      <c r="N2522" s="16"/>
      <c r="O2522" s="17"/>
      <c r="Q2522" s="22"/>
      <c r="R2522" s="23"/>
    </row>
    <row r="2523" spans="1:18" ht="12.75">
      <c r="A2523" s="22"/>
      <c r="D2523" s="19"/>
      <c r="H2523" s="18"/>
      <c r="J2523" s="18"/>
      <c r="N2523" s="16"/>
      <c r="O2523" s="17"/>
      <c r="Q2523" s="22"/>
      <c r="R2523" s="23"/>
    </row>
    <row r="2524" spans="1:18" ht="12.75">
      <c r="A2524" s="22"/>
      <c r="D2524" s="19"/>
      <c r="H2524" s="18"/>
      <c r="J2524" s="18"/>
      <c r="N2524" s="16"/>
      <c r="O2524" s="17"/>
      <c r="Q2524" s="22"/>
      <c r="R2524" s="23"/>
    </row>
    <row r="2525" spans="1:18" ht="12.75">
      <c r="A2525" s="22"/>
      <c r="D2525" s="19"/>
      <c r="H2525" s="18"/>
      <c r="J2525" s="18"/>
      <c r="N2525" s="16"/>
      <c r="O2525" s="17"/>
      <c r="Q2525" s="22"/>
      <c r="R2525" s="23"/>
    </row>
    <row r="2526" spans="1:18" ht="12.75">
      <c r="A2526" s="22"/>
      <c r="D2526" s="19"/>
      <c r="H2526" s="18"/>
      <c r="J2526" s="18"/>
      <c r="N2526" s="16"/>
      <c r="O2526" s="17"/>
      <c r="Q2526" s="22"/>
      <c r="R2526" s="23"/>
    </row>
    <row r="2527" spans="1:18" ht="12.75">
      <c r="A2527" s="22"/>
      <c r="D2527" s="19"/>
      <c r="H2527" s="18"/>
      <c r="J2527" s="18"/>
      <c r="N2527" s="16"/>
      <c r="O2527" s="17"/>
      <c r="Q2527" s="22"/>
      <c r="R2527" s="23"/>
    </row>
    <row r="2528" spans="1:18" ht="12.75">
      <c r="A2528" s="22"/>
      <c r="D2528" s="19"/>
      <c r="H2528" s="18"/>
      <c r="J2528" s="18"/>
      <c r="N2528" s="16"/>
      <c r="O2528" s="17"/>
      <c r="Q2528" s="22"/>
      <c r="R2528" s="23"/>
    </row>
    <row r="2529" spans="1:18" ht="12.75">
      <c r="A2529" s="22"/>
      <c r="D2529" s="19"/>
      <c r="H2529" s="18"/>
      <c r="J2529" s="18"/>
      <c r="N2529" s="16"/>
      <c r="O2529" s="17"/>
      <c r="Q2529" s="22"/>
      <c r="R2529" s="23"/>
    </row>
    <row r="2530" spans="1:18" ht="12.75">
      <c r="A2530" s="22"/>
      <c r="D2530" s="19"/>
      <c r="H2530" s="18"/>
      <c r="J2530" s="18"/>
      <c r="N2530" s="16"/>
      <c r="O2530" s="17"/>
      <c r="Q2530" s="22"/>
      <c r="R2530" s="23"/>
    </row>
    <row r="2531" spans="1:18" ht="12.75">
      <c r="A2531" s="22"/>
      <c r="D2531" s="19"/>
      <c r="H2531" s="18"/>
      <c r="J2531" s="18"/>
      <c r="N2531" s="16"/>
      <c r="O2531" s="17"/>
      <c r="Q2531" s="22"/>
      <c r="R2531" s="23"/>
    </row>
    <row r="2532" spans="1:18" ht="12.75">
      <c r="A2532" s="22"/>
      <c r="D2532" s="19"/>
      <c r="H2532" s="18"/>
      <c r="J2532" s="18"/>
      <c r="N2532" s="16"/>
      <c r="O2532" s="17"/>
      <c r="Q2532" s="22"/>
      <c r="R2532" s="23"/>
    </row>
    <row r="2533" spans="1:18" ht="12.75">
      <c r="A2533" s="22"/>
      <c r="D2533" s="19"/>
      <c r="H2533" s="18"/>
      <c r="J2533" s="18"/>
      <c r="N2533" s="16"/>
      <c r="O2533" s="17"/>
      <c r="Q2533" s="22"/>
      <c r="R2533" s="23"/>
    </row>
    <row r="2534" spans="1:18" ht="12.75">
      <c r="A2534" s="22"/>
      <c r="D2534" s="19"/>
      <c r="H2534" s="18"/>
      <c r="J2534" s="18"/>
      <c r="N2534" s="16"/>
      <c r="O2534" s="17"/>
      <c r="Q2534" s="22"/>
      <c r="R2534" s="23"/>
    </row>
    <row r="2535" spans="1:18" ht="12.75">
      <c r="A2535" s="22"/>
      <c r="D2535" s="19"/>
      <c r="H2535" s="18"/>
      <c r="J2535" s="18"/>
      <c r="N2535" s="16"/>
      <c r="O2535" s="17"/>
      <c r="Q2535" s="22"/>
      <c r="R2535" s="23"/>
    </row>
    <row r="2536" spans="1:18" ht="12.75">
      <c r="A2536" s="22"/>
      <c r="D2536" s="19"/>
      <c r="H2536" s="18"/>
      <c r="J2536" s="18"/>
      <c r="N2536" s="16"/>
      <c r="O2536" s="17"/>
      <c r="Q2536" s="22"/>
      <c r="R2536" s="23"/>
    </row>
    <row r="2537" spans="1:18" ht="12.75">
      <c r="A2537" s="22"/>
      <c r="D2537" s="19"/>
      <c r="H2537" s="18"/>
      <c r="J2537" s="18"/>
      <c r="N2537" s="16"/>
      <c r="O2537" s="17"/>
      <c r="Q2537" s="22"/>
      <c r="R2537" s="23"/>
    </row>
    <row r="2538" spans="1:18" ht="12.75">
      <c r="A2538" s="22"/>
      <c r="D2538" s="19"/>
      <c r="H2538" s="18"/>
      <c r="J2538" s="18"/>
      <c r="N2538" s="16"/>
      <c r="O2538" s="17"/>
      <c r="Q2538" s="22"/>
      <c r="R2538" s="23"/>
    </row>
    <row r="2539" spans="1:18" ht="12.75">
      <c r="A2539" s="22"/>
      <c r="D2539" s="19"/>
      <c r="H2539" s="18"/>
      <c r="J2539" s="18"/>
      <c r="N2539" s="16"/>
      <c r="O2539" s="17"/>
      <c r="Q2539" s="22"/>
      <c r="R2539" s="23"/>
    </row>
    <row r="2540" spans="1:18" ht="12.75">
      <c r="A2540" s="22"/>
      <c r="D2540" s="19"/>
      <c r="H2540" s="18"/>
      <c r="J2540" s="18"/>
      <c r="N2540" s="16"/>
      <c r="O2540" s="17"/>
      <c r="Q2540" s="22"/>
      <c r="R2540" s="23"/>
    </row>
    <row r="2541" spans="1:18" ht="12.75">
      <c r="A2541" s="22"/>
      <c r="D2541" s="19"/>
      <c r="H2541" s="18"/>
      <c r="J2541" s="18"/>
      <c r="N2541" s="16"/>
      <c r="O2541" s="17"/>
      <c r="Q2541" s="22"/>
      <c r="R2541" s="23"/>
    </row>
    <row r="2542" spans="1:18" ht="12.75">
      <c r="A2542" s="22"/>
      <c r="D2542" s="19"/>
      <c r="H2542" s="18"/>
      <c r="J2542" s="18"/>
      <c r="N2542" s="16"/>
      <c r="O2542" s="17"/>
      <c r="Q2542" s="22"/>
      <c r="R2542" s="23"/>
    </row>
    <row r="2543" spans="1:18" ht="12.75">
      <c r="A2543" s="22"/>
      <c r="D2543" s="19"/>
      <c r="H2543" s="18"/>
      <c r="J2543" s="18"/>
      <c r="N2543" s="16"/>
      <c r="O2543" s="17"/>
      <c r="Q2543" s="22"/>
      <c r="R2543" s="23"/>
    </row>
    <row r="2544" spans="1:18" ht="12.75">
      <c r="A2544" s="22"/>
      <c r="D2544" s="19"/>
      <c r="H2544" s="18"/>
      <c r="J2544" s="18"/>
      <c r="N2544" s="16"/>
      <c r="O2544" s="17"/>
      <c r="Q2544" s="22"/>
      <c r="R2544" s="23"/>
    </row>
    <row r="2545" spans="1:18" ht="12.75">
      <c r="A2545" s="22"/>
      <c r="D2545" s="19"/>
      <c r="H2545" s="18"/>
      <c r="J2545" s="18"/>
      <c r="N2545" s="16"/>
      <c r="O2545" s="17"/>
      <c r="Q2545" s="22"/>
      <c r="R2545" s="23"/>
    </row>
    <row r="2546" spans="1:18" ht="12.75">
      <c r="A2546" s="22"/>
      <c r="D2546" s="19"/>
      <c r="H2546" s="18"/>
      <c r="J2546" s="18"/>
      <c r="N2546" s="16"/>
      <c r="O2546" s="17"/>
      <c r="Q2546" s="22"/>
      <c r="R2546" s="23"/>
    </row>
    <row r="2547" spans="1:18" ht="12.75">
      <c r="A2547" s="22"/>
      <c r="D2547" s="19"/>
      <c r="H2547" s="18"/>
      <c r="J2547" s="18"/>
      <c r="N2547" s="16"/>
      <c r="O2547" s="17"/>
      <c r="Q2547" s="22"/>
      <c r="R2547" s="23"/>
    </row>
    <row r="2548" spans="1:18" ht="12.75">
      <c r="A2548" s="22"/>
      <c r="D2548" s="19"/>
      <c r="H2548" s="18"/>
      <c r="J2548" s="18"/>
      <c r="N2548" s="16"/>
      <c r="O2548" s="17"/>
      <c r="Q2548" s="22"/>
      <c r="R2548" s="23"/>
    </row>
    <row r="2549" spans="1:18" ht="12.75">
      <c r="A2549" s="22"/>
      <c r="D2549" s="19"/>
      <c r="H2549" s="18"/>
      <c r="J2549" s="18"/>
      <c r="N2549" s="16"/>
      <c r="O2549" s="17"/>
      <c r="Q2549" s="22"/>
      <c r="R2549" s="23"/>
    </row>
    <row r="2550" spans="1:18" ht="12.75">
      <c r="A2550" s="22"/>
      <c r="D2550" s="19"/>
      <c r="H2550" s="18"/>
      <c r="J2550" s="18"/>
      <c r="N2550" s="16"/>
      <c r="O2550" s="17"/>
      <c r="Q2550" s="22"/>
      <c r="R2550" s="23"/>
    </row>
    <row r="2551" spans="1:18" ht="12.75">
      <c r="A2551" s="22"/>
      <c r="D2551" s="19"/>
      <c r="H2551" s="18"/>
      <c r="J2551" s="18"/>
      <c r="N2551" s="16"/>
      <c r="O2551" s="17"/>
      <c r="Q2551" s="22"/>
      <c r="R2551" s="23"/>
    </row>
    <row r="2552" spans="1:18" ht="12.75">
      <c r="A2552" s="22"/>
      <c r="D2552" s="19"/>
      <c r="H2552" s="18"/>
      <c r="J2552" s="18"/>
      <c r="N2552" s="16"/>
      <c r="O2552" s="17"/>
      <c r="Q2552" s="22"/>
      <c r="R2552" s="23"/>
    </row>
    <row r="2553" spans="1:18" ht="12.75">
      <c r="A2553" s="22"/>
      <c r="D2553" s="19"/>
      <c r="H2553" s="18"/>
      <c r="J2553" s="18"/>
      <c r="N2553" s="16"/>
      <c r="O2553" s="17"/>
      <c r="Q2553" s="22"/>
      <c r="R2553" s="23"/>
    </row>
    <row r="2554" spans="1:18" ht="12.75">
      <c r="A2554" s="22"/>
      <c r="D2554" s="19"/>
      <c r="H2554" s="18"/>
      <c r="J2554" s="18"/>
      <c r="N2554" s="16"/>
      <c r="O2554" s="17"/>
      <c r="Q2554" s="22"/>
      <c r="R2554" s="23"/>
    </row>
    <row r="2555" spans="1:18" ht="12.75">
      <c r="A2555" s="22"/>
      <c r="D2555" s="19"/>
      <c r="H2555" s="18"/>
      <c r="J2555" s="18"/>
      <c r="N2555" s="16"/>
      <c r="O2555" s="17"/>
      <c r="Q2555" s="22"/>
      <c r="R2555" s="23"/>
    </row>
    <row r="2556" spans="1:18" ht="12.75">
      <c r="A2556" s="22"/>
      <c r="D2556" s="19"/>
      <c r="H2556" s="18"/>
      <c r="J2556" s="18"/>
      <c r="N2556" s="16"/>
      <c r="O2556" s="17"/>
      <c r="Q2556" s="22"/>
      <c r="R2556" s="23"/>
    </row>
    <row r="2557" spans="1:18" ht="12.75">
      <c r="A2557" s="22"/>
      <c r="D2557" s="19"/>
      <c r="H2557" s="18"/>
      <c r="J2557" s="18"/>
      <c r="N2557" s="16"/>
      <c r="O2557" s="17"/>
      <c r="Q2557" s="22"/>
      <c r="R2557" s="23"/>
    </row>
    <row r="2558" spans="1:18" ht="12.75">
      <c r="A2558" s="22"/>
      <c r="D2558" s="19"/>
      <c r="H2558" s="18"/>
      <c r="J2558" s="18"/>
      <c r="N2558" s="16"/>
      <c r="O2558" s="17"/>
      <c r="Q2558" s="22"/>
      <c r="R2558" s="23"/>
    </row>
    <row r="2559" spans="1:18" ht="12.75">
      <c r="A2559" s="22"/>
      <c r="D2559" s="19"/>
      <c r="H2559" s="18"/>
      <c r="J2559" s="18"/>
      <c r="N2559" s="16"/>
      <c r="O2559" s="17"/>
      <c r="Q2559" s="22"/>
      <c r="R2559" s="23"/>
    </row>
    <row r="2560" spans="1:18" ht="12.75">
      <c r="A2560" s="22"/>
      <c r="D2560" s="19"/>
      <c r="H2560" s="18"/>
      <c r="J2560" s="18"/>
      <c r="N2560" s="16"/>
      <c r="O2560" s="17"/>
      <c r="Q2560" s="22"/>
      <c r="R2560" s="23"/>
    </row>
    <row r="2561" spans="1:18" ht="12.75">
      <c r="A2561" s="22"/>
      <c r="D2561" s="19"/>
      <c r="H2561" s="18"/>
      <c r="J2561" s="18"/>
      <c r="N2561" s="16"/>
      <c r="O2561" s="17"/>
      <c r="Q2561" s="22"/>
      <c r="R2561" s="23"/>
    </row>
    <row r="2562" spans="1:18" ht="12.75">
      <c r="A2562" s="22"/>
      <c r="D2562" s="19"/>
      <c r="H2562" s="18"/>
      <c r="J2562" s="18"/>
      <c r="N2562" s="16"/>
      <c r="O2562" s="17"/>
      <c r="Q2562" s="22"/>
      <c r="R2562" s="23"/>
    </row>
    <row r="2563" spans="1:18" ht="12.75">
      <c r="A2563" s="22"/>
      <c r="D2563" s="19"/>
      <c r="H2563" s="18"/>
      <c r="J2563" s="18"/>
      <c r="N2563" s="16"/>
      <c r="O2563" s="17"/>
      <c r="Q2563" s="22"/>
      <c r="R2563" s="23"/>
    </row>
    <row r="2564" spans="1:18" ht="12.75">
      <c r="A2564" s="22"/>
      <c r="D2564" s="19"/>
      <c r="H2564" s="18"/>
      <c r="J2564" s="18"/>
      <c r="N2564" s="16"/>
      <c r="O2564" s="17"/>
      <c r="Q2564" s="22"/>
      <c r="R2564" s="23"/>
    </row>
    <row r="2565" spans="1:18" ht="12.75">
      <c r="A2565" s="22"/>
      <c r="D2565" s="19"/>
      <c r="H2565" s="18"/>
      <c r="J2565" s="18"/>
      <c r="N2565" s="16"/>
      <c r="O2565" s="17"/>
      <c r="Q2565" s="22"/>
      <c r="R2565" s="23"/>
    </row>
    <row r="2566" spans="1:18" ht="12.75">
      <c r="A2566" s="22"/>
      <c r="D2566" s="19"/>
      <c r="H2566" s="18"/>
      <c r="J2566" s="18"/>
      <c r="N2566" s="16"/>
      <c r="O2566" s="17"/>
      <c r="Q2566" s="22"/>
      <c r="R2566" s="23"/>
    </row>
    <row r="2567" spans="1:18" ht="12.75">
      <c r="A2567" s="22"/>
      <c r="D2567" s="19"/>
      <c r="H2567" s="18"/>
      <c r="J2567" s="18"/>
      <c r="N2567" s="16"/>
      <c r="O2567" s="17"/>
      <c r="Q2567" s="22"/>
      <c r="R2567" s="23"/>
    </row>
    <row r="2568" spans="1:18" ht="12.75">
      <c r="A2568" s="22"/>
      <c r="D2568" s="19"/>
      <c r="H2568" s="18"/>
      <c r="J2568" s="18"/>
      <c r="N2568" s="16"/>
      <c r="O2568" s="17"/>
      <c r="Q2568" s="22"/>
      <c r="R2568" s="23"/>
    </row>
    <row r="2569" spans="1:18" ht="12.75">
      <c r="A2569" s="22"/>
      <c r="D2569" s="19"/>
      <c r="H2569" s="18"/>
      <c r="J2569" s="18"/>
      <c r="N2569" s="16"/>
      <c r="O2569" s="17"/>
      <c r="Q2569" s="22"/>
      <c r="R2569" s="23"/>
    </row>
    <row r="2570" spans="1:18" ht="12.75">
      <c r="A2570" s="22"/>
      <c r="D2570" s="19"/>
      <c r="H2570" s="18"/>
      <c r="J2570" s="18"/>
      <c r="N2570" s="16"/>
      <c r="O2570" s="17"/>
      <c r="Q2570" s="22"/>
      <c r="R2570" s="23"/>
    </row>
    <row r="2571" spans="1:18" ht="12.75">
      <c r="A2571" s="22"/>
      <c r="D2571" s="19"/>
      <c r="H2571" s="18"/>
      <c r="J2571" s="18"/>
      <c r="N2571" s="16"/>
      <c r="O2571" s="17"/>
      <c r="Q2571" s="22"/>
      <c r="R2571" s="23"/>
    </row>
    <row r="2572" spans="1:18" ht="12.75">
      <c r="A2572" s="22"/>
      <c r="D2572" s="19"/>
      <c r="H2572" s="18"/>
      <c r="J2572" s="18"/>
      <c r="N2572" s="16"/>
      <c r="O2572" s="17"/>
      <c r="Q2572" s="22"/>
      <c r="R2572" s="23"/>
    </row>
    <row r="2573" spans="1:18" ht="12.75">
      <c r="A2573" s="22"/>
      <c r="D2573" s="19"/>
      <c r="H2573" s="18"/>
      <c r="J2573" s="18"/>
      <c r="N2573" s="16"/>
      <c r="O2573" s="17"/>
      <c r="Q2573" s="22"/>
      <c r="R2573" s="23"/>
    </row>
    <row r="2574" spans="1:18" ht="12.75">
      <c r="A2574" s="22"/>
      <c r="D2574" s="19"/>
      <c r="H2574" s="18"/>
      <c r="J2574" s="18"/>
      <c r="N2574" s="16"/>
      <c r="O2574" s="17"/>
      <c r="Q2574" s="22"/>
      <c r="R2574" s="23"/>
    </row>
    <row r="2575" spans="1:18" ht="12.75">
      <c r="A2575" s="22"/>
      <c r="D2575" s="19"/>
      <c r="H2575" s="18"/>
      <c r="J2575" s="18"/>
      <c r="N2575" s="16"/>
      <c r="O2575" s="17"/>
      <c r="Q2575" s="22"/>
      <c r="R2575" s="23"/>
    </row>
    <row r="2576" spans="1:18" ht="12.75">
      <c r="A2576" s="22"/>
      <c r="D2576" s="19"/>
      <c r="H2576" s="18"/>
      <c r="J2576" s="18"/>
      <c r="N2576" s="16"/>
      <c r="O2576" s="17"/>
      <c r="Q2576" s="22"/>
      <c r="R2576" s="23"/>
    </row>
    <row r="2577" spans="1:18" ht="12.75">
      <c r="A2577" s="22"/>
      <c r="D2577" s="19"/>
      <c r="H2577" s="18"/>
      <c r="J2577" s="18"/>
      <c r="N2577" s="16"/>
      <c r="O2577" s="17"/>
      <c r="Q2577" s="22"/>
      <c r="R2577" s="23"/>
    </row>
    <row r="2578" spans="1:18" ht="12.75">
      <c r="A2578" s="22"/>
      <c r="D2578" s="19"/>
      <c r="H2578" s="18"/>
      <c r="J2578" s="18"/>
      <c r="N2578" s="16"/>
      <c r="O2578" s="17"/>
      <c r="Q2578" s="22"/>
      <c r="R2578" s="23"/>
    </row>
    <row r="2579" spans="1:18" ht="12.75">
      <c r="A2579" s="22"/>
      <c r="D2579" s="19"/>
      <c r="H2579" s="18"/>
      <c r="J2579" s="18"/>
      <c r="N2579" s="16"/>
      <c r="O2579" s="17"/>
      <c r="Q2579" s="22"/>
      <c r="R2579" s="23"/>
    </row>
    <row r="2580" spans="1:18" ht="12.75">
      <c r="A2580" s="22"/>
      <c r="D2580" s="19"/>
      <c r="H2580" s="18"/>
      <c r="J2580" s="18"/>
      <c r="N2580" s="16"/>
      <c r="O2580" s="17"/>
      <c r="Q2580" s="22"/>
      <c r="R2580" s="23"/>
    </row>
    <row r="2581" spans="1:18" ht="12.75">
      <c r="A2581" s="22"/>
      <c r="D2581" s="19"/>
      <c r="H2581" s="18"/>
      <c r="J2581" s="18"/>
      <c r="N2581" s="16"/>
      <c r="O2581" s="17"/>
      <c r="Q2581" s="22"/>
      <c r="R2581" s="23"/>
    </row>
    <row r="2582" spans="1:18" ht="12.75">
      <c r="A2582" s="22"/>
      <c r="D2582" s="19"/>
      <c r="H2582" s="18"/>
      <c r="J2582" s="18"/>
      <c r="N2582" s="16"/>
      <c r="O2582" s="17"/>
      <c r="Q2582" s="22"/>
      <c r="R2582" s="23"/>
    </row>
    <row r="2583" spans="1:18" ht="12.75">
      <c r="A2583" s="22"/>
      <c r="D2583" s="19"/>
      <c r="H2583" s="18"/>
      <c r="J2583" s="18"/>
      <c r="N2583" s="16"/>
      <c r="O2583" s="17"/>
      <c r="Q2583" s="22"/>
      <c r="R2583" s="23"/>
    </row>
    <row r="2584" spans="1:18" ht="12.75">
      <c r="A2584" s="22"/>
      <c r="D2584" s="19"/>
      <c r="H2584" s="18"/>
      <c r="J2584" s="18"/>
      <c r="N2584" s="16"/>
      <c r="O2584" s="17"/>
      <c r="Q2584" s="22"/>
      <c r="R2584" s="23"/>
    </row>
    <row r="2585" spans="1:18" ht="12.75">
      <c r="A2585" s="22"/>
      <c r="D2585" s="19"/>
      <c r="H2585" s="18"/>
      <c r="J2585" s="18"/>
      <c r="N2585" s="16"/>
      <c r="O2585" s="17"/>
      <c r="Q2585" s="22"/>
      <c r="R2585" s="23"/>
    </row>
    <row r="2586" spans="1:18" ht="12.75">
      <c r="A2586" s="22"/>
      <c r="D2586" s="19"/>
      <c r="H2586" s="18"/>
      <c r="J2586" s="18"/>
      <c r="N2586" s="16"/>
      <c r="O2586" s="17"/>
      <c r="Q2586" s="22"/>
      <c r="R2586" s="23"/>
    </row>
    <row r="2587" spans="1:18" ht="12.75">
      <c r="A2587" s="22"/>
      <c r="D2587" s="19"/>
      <c r="H2587" s="18"/>
      <c r="J2587" s="18"/>
      <c r="N2587" s="16"/>
      <c r="O2587" s="17"/>
      <c r="Q2587" s="22"/>
      <c r="R2587" s="23"/>
    </row>
    <row r="2588" spans="1:18" ht="12.75">
      <c r="A2588" s="22"/>
      <c r="D2588" s="19"/>
      <c r="H2588" s="18"/>
      <c r="J2588" s="18"/>
      <c r="N2588" s="16"/>
      <c r="O2588" s="17"/>
      <c r="Q2588" s="22"/>
      <c r="R2588" s="23"/>
    </row>
    <row r="2589" spans="1:18" ht="12.75">
      <c r="A2589" s="22"/>
      <c r="D2589" s="19"/>
      <c r="H2589" s="18"/>
      <c r="J2589" s="18"/>
      <c r="N2589" s="16"/>
      <c r="O2589" s="17"/>
      <c r="Q2589" s="22"/>
      <c r="R2589" s="23"/>
    </row>
    <row r="2590" spans="1:18" ht="12.75">
      <c r="A2590" s="22"/>
      <c r="D2590" s="19"/>
      <c r="H2590" s="18"/>
      <c r="J2590" s="18"/>
      <c r="N2590" s="16"/>
      <c r="O2590" s="17"/>
      <c r="Q2590" s="22"/>
      <c r="R2590" s="23"/>
    </row>
    <row r="2591" spans="1:18" ht="12.75">
      <c r="A2591" s="22"/>
      <c r="D2591" s="19"/>
      <c r="H2591" s="18"/>
      <c r="J2591" s="18"/>
      <c r="N2591" s="16"/>
      <c r="O2591" s="17"/>
      <c r="Q2591" s="22"/>
      <c r="R2591" s="23"/>
    </row>
    <row r="2592" spans="1:18" ht="12.75">
      <c r="A2592" s="22"/>
      <c r="D2592" s="19"/>
      <c r="H2592" s="18"/>
      <c r="J2592" s="18"/>
      <c r="N2592" s="16"/>
      <c r="O2592" s="17"/>
      <c r="Q2592" s="22"/>
      <c r="R2592" s="23"/>
    </row>
    <row r="2593" spans="1:18" ht="12.75">
      <c r="A2593" s="22"/>
      <c r="D2593" s="19"/>
      <c r="H2593" s="18"/>
      <c r="J2593" s="18"/>
      <c r="N2593" s="16"/>
      <c r="O2593" s="17"/>
      <c r="Q2593" s="22"/>
      <c r="R2593" s="23"/>
    </row>
    <row r="2594" spans="1:18" ht="12.75">
      <c r="A2594" s="22"/>
      <c r="D2594" s="19"/>
      <c r="H2594" s="18"/>
      <c r="J2594" s="18"/>
      <c r="N2594" s="16"/>
      <c r="O2594" s="17"/>
      <c r="Q2594" s="22"/>
      <c r="R2594" s="23"/>
    </row>
    <row r="2595" spans="1:18" ht="12.75">
      <c r="A2595" s="22"/>
      <c r="D2595" s="19"/>
      <c r="H2595" s="18"/>
      <c r="J2595" s="18"/>
      <c r="N2595" s="16"/>
      <c r="O2595" s="17"/>
      <c r="Q2595" s="22"/>
      <c r="R2595" s="23"/>
    </row>
    <row r="2596" spans="1:18" ht="12.75">
      <c r="A2596" s="22"/>
      <c r="D2596" s="19"/>
      <c r="H2596" s="18"/>
      <c r="J2596" s="18"/>
      <c r="N2596" s="16"/>
      <c r="O2596" s="17"/>
      <c r="Q2596" s="22"/>
      <c r="R2596" s="23"/>
    </row>
    <row r="2597" spans="1:18" ht="12.75">
      <c r="A2597" s="22"/>
      <c r="D2597" s="19"/>
      <c r="H2597" s="18"/>
      <c r="J2597" s="18"/>
      <c r="N2597" s="16"/>
      <c r="O2597" s="17"/>
      <c r="Q2597" s="22"/>
      <c r="R2597" s="23"/>
    </row>
    <row r="2598" spans="1:18" ht="12.75">
      <c r="A2598" s="22"/>
      <c r="D2598" s="19"/>
      <c r="H2598" s="18"/>
      <c r="J2598" s="18"/>
      <c r="N2598" s="16"/>
      <c r="O2598" s="17"/>
      <c r="Q2598" s="22"/>
      <c r="R2598" s="23"/>
    </row>
    <row r="2599" spans="1:18" ht="12.75">
      <c r="A2599" s="22"/>
      <c r="D2599" s="19"/>
      <c r="H2599" s="18"/>
      <c r="J2599" s="18"/>
      <c r="N2599" s="16"/>
      <c r="O2599" s="17"/>
      <c r="Q2599" s="22"/>
      <c r="R2599" s="23"/>
    </row>
    <row r="2600" spans="1:18" ht="12.75">
      <c r="A2600" s="22"/>
      <c r="D2600" s="19"/>
      <c r="H2600" s="18"/>
      <c r="J2600" s="18"/>
      <c r="N2600" s="16"/>
      <c r="O2600" s="17"/>
      <c r="Q2600" s="22"/>
      <c r="R2600" s="23"/>
    </row>
    <row r="2601" spans="1:18" ht="12.75">
      <c r="A2601" s="22"/>
      <c r="D2601" s="19"/>
      <c r="H2601" s="18"/>
      <c r="J2601" s="18"/>
      <c r="N2601" s="16"/>
      <c r="O2601" s="17"/>
      <c r="Q2601" s="22"/>
      <c r="R2601" s="23"/>
    </row>
    <row r="2602" spans="1:18" ht="12.75">
      <c r="A2602" s="22"/>
      <c r="D2602" s="19"/>
      <c r="H2602" s="18"/>
      <c r="J2602" s="18"/>
      <c r="N2602" s="16"/>
      <c r="O2602" s="17"/>
      <c r="Q2602" s="22"/>
      <c r="R2602" s="23"/>
    </row>
    <row r="2603" spans="1:18" ht="12.75">
      <c r="A2603" s="22"/>
      <c r="D2603" s="19"/>
      <c r="H2603" s="18"/>
      <c r="J2603" s="18"/>
      <c r="N2603" s="16"/>
      <c r="O2603" s="17"/>
      <c r="Q2603" s="22"/>
      <c r="R2603" s="23"/>
    </row>
    <row r="2604" spans="1:18" ht="12.75">
      <c r="A2604" s="22"/>
      <c r="D2604" s="19"/>
      <c r="H2604" s="18"/>
      <c r="J2604" s="18"/>
      <c r="N2604" s="16"/>
      <c r="O2604" s="17"/>
      <c r="Q2604" s="22"/>
      <c r="R2604" s="23"/>
    </row>
    <row r="2605" spans="1:18" ht="12.75">
      <c r="A2605" s="22"/>
      <c r="D2605" s="19"/>
      <c r="H2605" s="18"/>
      <c r="J2605" s="18"/>
      <c r="N2605" s="16"/>
      <c r="O2605" s="17"/>
      <c r="Q2605" s="22"/>
      <c r="R2605" s="23"/>
    </row>
    <row r="2606" spans="1:18" ht="12.75">
      <c r="A2606" s="22"/>
      <c r="D2606" s="19"/>
      <c r="H2606" s="18"/>
      <c r="J2606" s="18"/>
      <c r="N2606" s="16"/>
      <c r="O2606" s="17"/>
      <c r="Q2606" s="22"/>
      <c r="R2606" s="23"/>
    </row>
    <row r="2607" spans="1:18" ht="12.75">
      <c r="A2607" s="22"/>
      <c r="D2607" s="19"/>
      <c r="H2607" s="18"/>
      <c r="J2607" s="18"/>
      <c r="N2607" s="16"/>
      <c r="O2607" s="17"/>
      <c r="Q2607" s="22"/>
      <c r="R2607" s="23"/>
    </row>
    <row r="2608" spans="1:18" ht="12.75">
      <c r="A2608" s="22"/>
      <c r="D2608" s="19"/>
      <c r="H2608" s="18"/>
      <c r="J2608" s="18"/>
      <c r="N2608" s="16"/>
      <c r="O2608" s="17"/>
      <c r="Q2608" s="22"/>
      <c r="R2608" s="23"/>
    </row>
    <row r="2609" spans="1:18" ht="12.75">
      <c r="A2609" s="22"/>
      <c r="D2609" s="19"/>
      <c r="H2609" s="18"/>
      <c r="J2609" s="18"/>
      <c r="N2609" s="16"/>
      <c r="O2609" s="17"/>
      <c r="Q2609" s="22"/>
      <c r="R2609" s="23"/>
    </row>
    <row r="2610" spans="1:18" ht="12.75">
      <c r="A2610" s="22"/>
      <c r="D2610" s="19"/>
      <c r="H2610" s="18"/>
      <c r="J2610" s="18"/>
      <c r="N2610" s="16"/>
      <c r="O2610" s="17"/>
      <c r="Q2610" s="22"/>
      <c r="R2610" s="23"/>
    </row>
    <row r="2611" spans="1:18" ht="12.75">
      <c r="A2611" s="22"/>
      <c r="D2611" s="19"/>
      <c r="H2611" s="18"/>
      <c r="J2611" s="18"/>
      <c r="N2611" s="16"/>
      <c r="O2611" s="17"/>
      <c r="Q2611" s="22"/>
      <c r="R2611" s="23"/>
    </row>
    <row r="2612" spans="1:18" ht="12.75">
      <c r="A2612" s="22"/>
      <c r="D2612" s="19"/>
      <c r="H2612" s="18"/>
      <c r="J2612" s="18"/>
      <c r="N2612" s="16"/>
      <c r="O2612" s="17"/>
      <c r="Q2612" s="22"/>
      <c r="R2612" s="23"/>
    </row>
    <row r="2613" spans="1:18" ht="12.75">
      <c r="A2613" s="22"/>
      <c r="D2613" s="19"/>
      <c r="H2613" s="18"/>
      <c r="J2613" s="18"/>
      <c r="N2613" s="16"/>
      <c r="O2613" s="17"/>
      <c r="Q2613" s="22"/>
      <c r="R2613" s="23"/>
    </row>
    <row r="2614" spans="1:18" ht="12.75">
      <c r="A2614" s="22"/>
      <c r="D2614" s="19"/>
      <c r="H2614" s="18"/>
      <c r="J2614" s="18"/>
      <c r="N2614" s="16"/>
      <c r="O2614" s="17"/>
      <c r="Q2614" s="22"/>
      <c r="R2614" s="23"/>
    </row>
    <row r="2615" spans="1:18" ht="12.75">
      <c r="A2615" s="22"/>
      <c r="D2615" s="19"/>
      <c r="H2615" s="18"/>
      <c r="J2615" s="18"/>
      <c r="N2615" s="16"/>
      <c r="O2615" s="17"/>
      <c r="Q2615" s="22"/>
      <c r="R2615" s="23"/>
    </row>
    <row r="2616" spans="1:18" ht="12.75">
      <c r="A2616" s="22"/>
      <c r="D2616" s="19"/>
      <c r="H2616" s="18"/>
      <c r="J2616" s="18"/>
      <c r="N2616" s="16"/>
      <c r="O2616" s="17"/>
      <c r="Q2616" s="22"/>
      <c r="R2616" s="23"/>
    </row>
    <row r="2617" spans="1:18" ht="12.75">
      <c r="A2617" s="22"/>
      <c r="D2617" s="19"/>
      <c r="H2617" s="18"/>
      <c r="J2617" s="18"/>
      <c r="N2617" s="16"/>
      <c r="O2617" s="17"/>
      <c r="Q2617" s="22"/>
      <c r="R2617" s="23"/>
    </row>
    <row r="2618" spans="1:18" ht="12.75">
      <c r="A2618" s="22"/>
      <c r="D2618" s="19"/>
      <c r="H2618" s="18"/>
      <c r="J2618" s="18"/>
      <c r="N2618" s="16"/>
      <c r="O2618" s="17"/>
      <c r="Q2618" s="22"/>
      <c r="R2618" s="23"/>
    </row>
    <row r="2619" spans="1:18" ht="12.75">
      <c r="A2619" s="22"/>
      <c r="D2619" s="19"/>
      <c r="H2619" s="18"/>
      <c r="J2619" s="18"/>
      <c r="N2619" s="16"/>
      <c r="O2619" s="17"/>
      <c r="Q2619" s="22"/>
      <c r="R2619" s="23"/>
    </row>
    <row r="2620" spans="1:18" ht="12.75">
      <c r="A2620" s="22"/>
      <c r="D2620" s="19"/>
      <c r="H2620" s="18"/>
      <c r="J2620" s="18"/>
      <c r="N2620" s="16"/>
      <c r="O2620" s="17"/>
      <c r="Q2620" s="22"/>
      <c r="R2620" s="23"/>
    </row>
    <row r="2621" spans="1:18" ht="12.75">
      <c r="A2621" s="22"/>
      <c r="D2621" s="19"/>
      <c r="H2621" s="18"/>
      <c r="J2621" s="18"/>
      <c r="N2621" s="16"/>
      <c r="O2621" s="17"/>
      <c r="Q2621" s="22"/>
      <c r="R2621" s="23"/>
    </row>
    <row r="2622" spans="1:18" ht="12.75">
      <c r="A2622" s="22"/>
      <c r="D2622" s="19"/>
      <c r="H2622" s="18"/>
      <c r="J2622" s="18"/>
      <c r="N2622" s="16"/>
      <c r="O2622" s="17"/>
      <c r="Q2622" s="22"/>
      <c r="R2622" s="23"/>
    </row>
    <row r="2623" spans="1:18" ht="12.75">
      <c r="A2623" s="22"/>
      <c r="D2623" s="19"/>
      <c r="H2623" s="18"/>
      <c r="J2623" s="18"/>
      <c r="N2623" s="16"/>
      <c r="O2623" s="17"/>
      <c r="Q2623" s="22"/>
      <c r="R2623" s="23"/>
    </row>
    <row r="2624" spans="1:18" ht="12.75">
      <c r="A2624" s="22"/>
      <c r="D2624" s="19"/>
      <c r="H2624" s="18"/>
      <c r="J2624" s="18"/>
      <c r="N2624" s="16"/>
      <c r="O2624" s="17"/>
      <c r="Q2624" s="22"/>
      <c r="R2624" s="23"/>
    </row>
    <row r="2625" spans="1:18" ht="12.75">
      <c r="A2625" s="22"/>
      <c r="D2625" s="19"/>
      <c r="H2625" s="18"/>
      <c r="J2625" s="18"/>
      <c r="N2625" s="16"/>
      <c r="O2625" s="17"/>
      <c r="Q2625" s="22"/>
      <c r="R2625" s="23"/>
    </row>
    <row r="2626" spans="1:18" ht="12.75">
      <c r="A2626" s="22"/>
      <c r="D2626" s="19"/>
      <c r="H2626" s="18"/>
      <c r="J2626" s="18"/>
      <c r="N2626" s="16"/>
      <c r="O2626" s="17"/>
      <c r="Q2626" s="22"/>
      <c r="R2626" s="23"/>
    </row>
    <row r="2627" spans="1:18" ht="12.75">
      <c r="A2627" s="22"/>
      <c r="D2627" s="19"/>
      <c r="H2627" s="18"/>
      <c r="J2627" s="18"/>
      <c r="N2627" s="16"/>
      <c r="O2627" s="17"/>
      <c r="Q2627" s="22"/>
      <c r="R2627" s="23"/>
    </row>
    <row r="2628" spans="1:18" ht="12.75">
      <c r="A2628" s="22"/>
      <c r="D2628" s="19"/>
      <c r="H2628" s="18"/>
      <c r="J2628" s="18"/>
      <c r="N2628" s="16"/>
      <c r="O2628" s="17"/>
      <c r="Q2628" s="22"/>
      <c r="R2628" s="23"/>
    </row>
    <row r="2629" spans="1:18" ht="12.75">
      <c r="A2629" s="22"/>
      <c r="D2629" s="19"/>
      <c r="H2629" s="18"/>
      <c r="J2629" s="18"/>
      <c r="N2629" s="16"/>
      <c r="O2629" s="17"/>
      <c r="Q2629" s="22"/>
      <c r="R2629" s="23"/>
    </row>
    <row r="2630" spans="1:18" ht="12.75">
      <c r="A2630" s="22"/>
      <c r="D2630" s="19"/>
      <c r="H2630" s="18"/>
      <c r="J2630" s="18"/>
      <c r="N2630" s="16"/>
      <c r="O2630" s="17"/>
      <c r="Q2630" s="22"/>
      <c r="R2630" s="23"/>
    </row>
    <row r="2631" spans="1:18" ht="12.75">
      <c r="A2631" s="22"/>
      <c r="D2631" s="19"/>
      <c r="H2631" s="18"/>
      <c r="J2631" s="18"/>
      <c r="N2631" s="16"/>
      <c r="O2631" s="17"/>
      <c r="Q2631" s="22"/>
      <c r="R2631" s="23"/>
    </row>
    <row r="2632" spans="1:18" ht="12.75">
      <c r="A2632" s="22"/>
      <c r="D2632" s="19"/>
      <c r="H2632" s="18"/>
      <c r="J2632" s="18"/>
      <c r="N2632" s="16"/>
      <c r="O2632" s="17"/>
      <c r="Q2632" s="22"/>
      <c r="R2632" s="23"/>
    </row>
    <row r="2633" spans="1:18" ht="12.75">
      <c r="A2633" s="22"/>
      <c r="D2633" s="19"/>
      <c r="H2633" s="18"/>
      <c r="J2633" s="18"/>
      <c r="N2633" s="16"/>
      <c r="O2633" s="17"/>
      <c r="Q2633" s="22"/>
      <c r="R2633" s="23"/>
    </row>
    <row r="2634" spans="1:18" ht="12.75">
      <c r="A2634" s="22"/>
      <c r="D2634" s="19"/>
      <c r="H2634" s="18"/>
      <c r="J2634" s="18"/>
      <c r="N2634" s="16"/>
      <c r="O2634" s="17"/>
      <c r="Q2634" s="22"/>
      <c r="R2634" s="23"/>
    </row>
    <row r="2635" spans="1:18" ht="12.75">
      <c r="A2635" s="22"/>
      <c r="D2635" s="19"/>
      <c r="H2635" s="18"/>
      <c r="J2635" s="18"/>
      <c r="N2635" s="16"/>
      <c r="O2635" s="17"/>
      <c r="Q2635" s="22"/>
      <c r="R2635" s="23"/>
    </row>
    <row r="2636" spans="1:18" ht="12.75">
      <c r="A2636" s="22"/>
      <c r="D2636" s="19"/>
      <c r="H2636" s="18"/>
      <c r="J2636" s="18"/>
      <c r="N2636" s="16"/>
      <c r="O2636" s="17"/>
      <c r="Q2636" s="22"/>
      <c r="R2636" s="23"/>
    </row>
    <row r="2637" spans="1:18" ht="12.75">
      <c r="A2637" s="22"/>
      <c r="D2637" s="19"/>
      <c r="H2637" s="18"/>
      <c r="J2637" s="18"/>
      <c r="N2637" s="16"/>
      <c r="O2637" s="17"/>
      <c r="Q2637" s="22"/>
      <c r="R2637" s="23"/>
    </row>
    <row r="2638" spans="1:18" ht="12.75">
      <c r="A2638" s="22"/>
      <c r="D2638" s="19"/>
      <c r="H2638" s="18"/>
      <c r="J2638" s="18"/>
      <c r="N2638" s="16"/>
      <c r="O2638" s="17"/>
      <c r="Q2638" s="22"/>
      <c r="R2638" s="23"/>
    </row>
    <row r="2639" spans="1:18" ht="12.75">
      <c r="A2639" s="22"/>
      <c r="D2639" s="19"/>
      <c r="H2639" s="18"/>
      <c r="J2639" s="18"/>
      <c r="N2639" s="16"/>
      <c r="O2639" s="17"/>
      <c r="Q2639" s="22"/>
      <c r="R2639" s="23"/>
    </row>
    <row r="2640" spans="1:18" ht="12.75">
      <c r="A2640" s="22"/>
      <c r="D2640" s="19"/>
      <c r="H2640" s="18"/>
      <c r="J2640" s="18"/>
      <c r="N2640" s="16"/>
      <c r="O2640" s="17"/>
      <c r="Q2640" s="22"/>
      <c r="R2640" s="23"/>
    </row>
    <row r="2641" spans="1:18" ht="12.75">
      <c r="A2641" s="22"/>
      <c r="D2641" s="19"/>
      <c r="H2641" s="18"/>
      <c r="J2641" s="18"/>
      <c r="N2641" s="16"/>
      <c r="O2641" s="17"/>
      <c r="Q2641" s="22"/>
      <c r="R2641" s="23"/>
    </row>
    <row r="2642" spans="1:18" ht="12.75">
      <c r="A2642" s="22"/>
      <c r="D2642" s="19"/>
      <c r="H2642" s="18"/>
      <c r="J2642" s="18"/>
      <c r="N2642" s="16"/>
      <c r="O2642" s="17"/>
      <c r="Q2642" s="22"/>
      <c r="R2642" s="23"/>
    </row>
    <row r="2643" spans="1:18" ht="12.75">
      <c r="A2643" s="22"/>
      <c r="D2643" s="19"/>
      <c r="H2643" s="18"/>
      <c r="J2643" s="18"/>
      <c r="N2643" s="16"/>
      <c r="O2643" s="17"/>
      <c r="Q2643" s="22"/>
      <c r="R2643" s="23"/>
    </row>
    <row r="2644" spans="1:18" ht="12.75">
      <c r="A2644" s="22"/>
      <c r="D2644" s="19"/>
      <c r="H2644" s="18"/>
      <c r="J2644" s="18"/>
      <c r="N2644" s="16"/>
      <c r="O2644" s="17"/>
      <c r="Q2644" s="22"/>
      <c r="R2644" s="23"/>
    </row>
    <row r="2645" spans="1:18" ht="12.75">
      <c r="A2645" s="22"/>
      <c r="D2645" s="19"/>
      <c r="H2645" s="18"/>
      <c r="J2645" s="18"/>
      <c r="N2645" s="16"/>
      <c r="O2645" s="17"/>
      <c r="Q2645" s="22"/>
      <c r="R2645" s="23"/>
    </row>
    <row r="2646" spans="1:18" ht="12.75">
      <c r="A2646" s="22"/>
      <c r="D2646" s="19"/>
      <c r="H2646" s="18"/>
      <c r="J2646" s="18"/>
      <c r="N2646" s="16"/>
      <c r="O2646" s="17"/>
      <c r="Q2646" s="22"/>
      <c r="R2646" s="23"/>
    </row>
    <row r="2647" spans="1:18" ht="12.75">
      <c r="A2647" s="22"/>
      <c r="D2647" s="19"/>
      <c r="H2647" s="18"/>
      <c r="J2647" s="18"/>
      <c r="N2647" s="16"/>
      <c r="O2647" s="17"/>
      <c r="Q2647" s="22"/>
      <c r="R2647" s="23"/>
    </row>
    <row r="2648" spans="1:18" ht="12.75">
      <c r="A2648" s="22"/>
      <c r="D2648" s="19"/>
      <c r="H2648" s="18"/>
      <c r="J2648" s="18"/>
      <c r="N2648" s="16"/>
      <c r="O2648" s="17"/>
      <c r="Q2648" s="22"/>
      <c r="R2648" s="23"/>
    </row>
    <row r="2649" spans="1:18" ht="12.75">
      <c r="A2649" s="22"/>
      <c r="D2649" s="19"/>
      <c r="H2649" s="18"/>
      <c r="J2649" s="18"/>
      <c r="N2649" s="16"/>
      <c r="O2649" s="17"/>
      <c r="Q2649" s="22"/>
      <c r="R2649" s="23"/>
    </row>
    <row r="2650" spans="1:18" ht="12.75">
      <c r="A2650" s="22"/>
      <c r="D2650" s="19"/>
      <c r="H2650" s="18"/>
      <c r="J2650" s="18"/>
      <c r="N2650" s="16"/>
      <c r="O2650" s="17"/>
      <c r="Q2650" s="22"/>
      <c r="R2650" s="23"/>
    </row>
    <row r="2651" spans="1:18" ht="12.75">
      <c r="A2651" s="22"/>
      <c r="D2651" s="19"/>
      <c r="H2651" s="18"/>
      <c r="J2651" s="18"/>
      <c r="N2651" s="16"/>
      <c r="O2651" s="17"/>
      <c r="Q2651" s="22"/>
      <c r="R2651" s="23"/>
    </row>
    <row r="2652" spans="1:18" ht="12.75">
      <c r="A2652" s="22"/>
      <c r="D2652" s="19"/>
      <c r="H2652" s="18"/>
      <c r="J2652" s="18"/>
      <c r="N2652" s="16"/>
      <c r="O2652" s="17"/>
      <c r="Q2652" s="22"/>
      <c r="R2652" s="23"/>
    </row>
    <row r="2653" spans="1:18" ht="12.75">
      <c r="A2653" s="22"/>
      <c r="D2653" s="19"/>
      <c r="H2653" s="18"/>
      <c r="J2653" s="18"/>
      <c r="N2653" s="16"/>
      <c r="O2653" s="17"/>
      <c r="Q2653" s="22"/>
      <c r="R2653" s="23"/>
    </row>
    <row r="2654" spans="1:18" ht="12.75">
      <c r="A2654" s="22"/>
      <c r="D2654" s="19"/>
      <c r="H2654" s="18"/>
      <c r="J2654" s="18"/>
      <c r="N2654" s="16"/>
      <c r="O2654" s="17"/>
      <c r="Q2654" s="22"/>
      <c r="R2654" s="23"/>
    </row>
    <row r="2655" spans="1:18" ht="12.75">
      <c r="A2655" s="22"/>
      <c r="D2655" s="19"/>
      <c r="H2655" s="18"/>
      <c r="J2655" s="18"/>
      <c r="N2655" s="16"/>
      <c r="O2655" s="17"/>
      <c r="Q2655" s="22"/>
      <c r="R2655" s="23"/>
    </row>
    <row r="2656" spans="1:18" ht="12.75">
      <c r="A2656" s="22"/>
      <c r="D2656" s="19"/>
      <c r="H2656" s="18"/>
      <c r="J2656" s="18"/>
      <c r="N2656" s="16"/>
      <c r="O2656" s="17"/>
      <c r="Q2656" s="22"/>
      <c r="R2656" s="23"/>
    </row>
    <row r="2657" spans="1:18" ht="12.75">
      <c r="A2657" s="22"/>
      <c r="D2657" s="19"/>
      <c r="H2657" s="18"/>
      <c r="J2657" s="18"/>
      <c r="N2657" s="16"/>
      <c r="O2657" s="17"/>
      <c r="Q2657" s="22"/>
      <c r="R2657" s="23"/>
    </row>
    <row r="2658" spans="1:18" ht="12.75">
      <c r="A2658" s="22"/>
      <c r="D2658" s="19"/>
      <c r="H2658" s="18"/>
      <c r="J2658" s="18"/>
      <c r="N2658" s="16"/>
      <c r="O2658" s="17"/>
      <c r="Q2658" s="22"/>
      <c r="R2658" s="23"/>
    </row>
    <row r="2659" spans="1:18" ht="12.75">
      <c r="A2659" s="22"/>
      <c r="D2659" s="19"/>
      <c r="H2659" s="18"/>
      <c r="J2659" s="18"/>
      <c r="N2659" s="16"/>
      <c r="O2659" s="17"/>
      <c r="Q2659" s="22"/>
      <c r="R2659" s="23"/>
    </row>
    <row r="2660" spans="1:18" ht="12.75">
      <c r="A2660" s="22"/>
      <c r="D2660" s="19"/>
      <c r="H2660" s="18"/>
      <c r="J2660" s="18"/>
      <c r="N2660" s="16"/>
      <c r="O2660" s="17"/>
      <c r="Q2660" s="22"/>
      <c r="R2660" s="23"/>
    </row>
    <row r="2661" spans="1:18" ht="12.75">
      <c r="A2661" s="22"/>
      <c r="D2661" s="19"/>
      <c r="H2661" s="18"/>
      <c r="J2661" s="18"/>
      <c r="N2661" s="16"/>
      <c r="O2661" s="17"/>
      <c r="Q2661" s="22"/>
      <c r="R2661" s="23"/>
    </row>
    <row r="2662" spans="1:18" ht="12.75">
      <c r="A2662" s="22"/>
      <c r="D2662" s="19"/>
      <c r="H2662" s="18"/>
      <c r="J2662" s="18"/>
      <c r="N2662" s="16"/>
      <c r="O2662" s="17"/>
      <c r="Q2662" s="22"/>
      <c r="R2662" s="23"/>
    </row>
    <row r="2663" spans="1:18" ht="12.75">
      <c r="A2663" s="22"/>
      <c r="D2663" s="19"/>
      <c r="H2663" s="18"/>
      <c r="J2663" s="18"/>
      <c r="N2663" s="16"/>
      <c r="O2663" s="17"/>
      <c r="Q2663" s="22"/>
      <c r="R2663" s="23"/>
    </row>
    <row r="2664" spans="1:18" ht="12.75">
      <c r="A2664" s="22"/>
      <c r="D2664" s="19"/>
      <c r="H2664" s="18"/>
      <c r="J2664" s="18"/>
      <c r="N2664" s="16"/>
      <c r="O2664" s="17"/>
      <c r="Q2664" s="22"/>
      <c r="R2664" s="23"/>
    </row>
    <row r="2665" spans="1:18" ht="12.75">
      <c r="A2665" s="22"/>
      <c r="D2665" s="19"/>
      <c r="H2665" s="18"/>
      <c r="J2665" s="18"/>
      <c r="N2665" s="16"/>
      <c r="O2665" s="17"/>
      <c r="Q2665" s="22"/>
      <c r="R2665" s="23"/>
    </row>
    <row r="2666" spans="1:18" ht="12.75">
      <c r="A2666" s="22"/>
      <c r="D2666" s="19"/>
      <c r="H2666" s="18"/>
      <c r="J2666" s="18"/>
      <c r="N2666" s="16"/>
      <c r="O2666" s="17"/>
      <c r="Q2666" s="22"/>
      <c r="R2666" s="23"/>
    </row>
    <row r="2667" spans="1:18" ht="12.75">
      <c r="A2667" s="22"/>
      <c r="D2667" s="19"/>
      <c r="H2667" s="18"/>
      <c r="J2667" s="18"/>
      <c r="N2667" s="16"/>
      <c r="O2667" s="17"/>
      <c r="Q2667" s="22"/>
      <c r="R2667" s="23"/>
    </row>
    <row r="2668" spans="1:18" ht="12.75">
      <c r="A2668" s="22"/>
      <c r="D2668" s="19"/>
      <c r="H2668" s="18"/>
      <c r="J2668" s="18"/>
      <c r="N2668" s="16"/>
      <c r="O2668" s="17"/>
      <c r="Q2668" s="22"/>
      <c r="R2668" s="23"/>
    </row>
    <row r="2669" spans="1:18" ht="12.75">
      <c r="A2669" s="22"/>
      <c r="D2669" s="19"/>
      <c r="H2669" s="18"/>
      <c r="J2669" s="18"/>
      <c r="N2669" s="16"/>
      <c r="O2669" s="17"/>
      <c r="Q2669" s="22"/>
      <c r="R2669" s="23"/>
    </row>
    <row r="2670" spans="1:18" ht="12.75">
      <c r="A2670" s="22"/>
      <c r="D2670" s="19"/>
      <c r="H2670" s="18"/>
      <c r="J2670" s="18"/>
      <c r="N2670" s="16"/>
      <c r="O2670" s="17"/>
      <c r="Q2670" s="22"/>
      <c r="R2670" s="23"/>
    </row>
    <row r="2671" spans="1:18" ht="12.75">
      <c r="A2671" s="22"/>
      <c r="D2671" s="19"/>
      <c r="H2671" s="18"/>
      <c r="J2671" s="18"/>
      <c r="N2671" s="16"/>
      <c r="O2671" s="17"/>
      <c r="Q2671" s="22"/>
      <c r="R2671" s="23"/>
    </row>
    <row r="2672" spans="1:18" ht="12.75">
      <c r="A2672" s="22"/>
      <c r="D2672" s="19"/>
      <c r="H2672" s="18"/>
      <c r="J2672" s="18"/>
      <c r="N2672" s="16"/>
      <c r="O2672" s="17"/>
      <c r="Q2672" s="22"/>
      <c r="R2672" s="23"/>
    </row>
    <row r="2673" spans="1:18" ht="12.75">
      <c r="A2673" s="22"/>
      <c r="D2673" s="19"/>
      <c r="H2673" s="18"/>
      <c r="J2673" s="18"/>
      <c r="N2673" s="16"/>
      <c r="O2673" s="17"/>
      <c r="Q2673" s="22"/>
      <c r="R2673" s="23"/>
    </row>
    <row r="2674" spans="1:18" ht="12.75">
      <c r="A2674" s="22"/>
      <c r="D2674" s="19"/>
      <c r="H2674" s="18"/>
      <c r="J2674" s="18"/>
      <c r="N2674" s="16"/>
      <c r="O2674" s="17"/>
      <c r="Q2674" s="22"/>
      <c r="R2674" s="23"/>
    </row>
    <row r="2675" spans="1:18" ht="12.75">
      <c r="A2675" s="22"/>
      <c r="D2675" s="19"/>
      <c r="H2675" s="18"/>
      <c r="J2675" s="18"/>
      <c r="N2675" s="16"/>
      <c r="O2675" s="17"/>
      <c r="Q2675" s="22"/>
      <c r="R2675" s="23"/>
    </row>
    <row r="2676" spans="1:18" ht="12.75">
      <c r="A2676" s="22"/>
      <c r="D2676" s="19"/>
      <c r="H2676" s="18"/>
      <c r="J2676" s="18"/>
      <c r="N2676" s="16"/>
      <c r="O2676" s="17"/>
      <c r="Q2676" s="22"/>
      <c r="R2676" s="23"/>
    </row>
    <row r="2677" spans="1:18" ht="12.75">
      <c r="A2677" s="22"/>
      <c r="D2677" s="19"/>
      <c r="H2677" s="18"/>
      <c r="J2677" s="18"/>
      <c r="N2677" s="16"/>
      <c r="O2677" s="17"/>
      <c r="Q2677" s="22"/>
      <c r="R2677" s="23"/>
    </row>
    <row r="2678" spans="1:18" ht="12.75">
      <c r="A2678" s="22"/>
      <c r="D2678" s="19"/>
      <c r="H2678" s="18"/>
      <c r="J2678" s="18"/>
      <c r="N2678" s="16"/>
      <c r="O2678" s="17"/>
      <c r="Q2678" s="22"/>
      <c r="R2678" s="23"/>
    </row>
    <row r="2679" spans="1:18" ht="12.75">
      <c r="A2679" s="22"/>
      <c r="D2679" s="19"/>
      <c r="H2679" s="18"/>
      <c r="J2679" s="18"/>
      <c r="N2679" s="16"/>
      <c r="O2679" s="17"/>
      <c r="Q2679" s="22"/>
      <c r="R2679" s="23"/>
    </row>
    <row r="2680" spans="1:18" ht="12.75">
      <c r="A2680" s="22"/>
      <c r="D2680" s="19"/>
      <c r="H2680" s="18"/>
      <c r="J2680" s="18"/>
      <c r="N2680" s="16"/>
      <c r="O2680" s="17"/>
      <c r="Q2680" s="22"/>
      <c r="R2680" s="23"/>
    </row>
    <row r="2681" spans="1:18" ht="12.75">
      <c r="A2681" s="22"/>
      <c r="D2681" s="19"/>
      <c r="H2681" s="18"/>
      <c r="J2681" s="18"/>
      <c r="N2681" s="16"/>
      <c r="O2681" s="17"/>
      <c r="Q2681" s="22"/>
      <c r="R2681" s="23"/>
    </row>
    <row r="2682" spans="1:18" ht="12.75">
      <c r="A2682" s="22"/>
      <c r="D2682" s="19"/>
      <c r="H2682" s="18"/>
      <c r="J2682" s="18"/>
      <c r="N2682" s="16"/>
      <c r="O2682" s="17"/>
      <c r="Q2682" s="22"/>
      <c r="R2682" s="23"/>
    </row>
    <row r="2683" spans="1:18" ht="12.75">
      <c r="A2683" s="22"/>
      <c r="D2683" s="19"/>
      <c r="H2683" s="18"/>
      <c r="J2683" s="18"/>
      <c r="N2683" s="16"/>
      <c r="O2683" s="17"/>
      <c r="Q2683" s="22"/>
      <c r="R2683" s="23"/>
    </row>
    <row r="2684" spans="1:18" ht="12.75">
      <c r="A2684" s="22"/>
      <c r="D2684" s="19"/>
      <c r="H2684" s="18"/>
      <c r="J2684" s="18"/>
      <c r="N2684" s="16"/>
      <c r="O2684" s="17"/>
      <c r="Q2684" s="22"/>
      <c r="R2684" s="23"/>
    </row>
    <row r="2685" spans="1:18" ht="12.75">
      <c r="A2685" s="22"/>
      <c r="D2685" s="19"/>
      <c r="H2685" s="18"/>
      <c r="J2685" s="18"/>
      <c r="N2685" s="16"/>
      <c r="O2685" s="17"/>
      <c r="Q2685" s="22"/>
      <c r="R2685" s="23"/>
    </row>
    <row r="2686" spans="1:18" ht="12.75">
      <c r="A2686" s="22"/>
      <c r="D2686" s="19"/>
      <c r="H2686" s="18"/>
      <c r="J2686" s="18"/>
      <c r="N2686" s="16"/>
      <c r="O2686" s="17"/>
      <c r="Q2686" s="22"/>
      <c r="R2686" s="23"/>
    </row>
    <row r="2687" spans="1:18" ht="12.75">
      <c r="A2687" s="22"/>
      <c r="D2687" s="19"/>
      <c r="H2687" s="18"/>
      <c r="J2687" s="18"/>
      <c r="N2687" s="16"/>
      <c r="O2687" s="17"/>
      <c r="Q2687" s="22"/>
      <c r="R2687" s="23"/>
    </row>
    <row r="2688" spans="1:18" ht="12.75">
      <c r="A2688" s="22"/>
      <c r="D2688" s="19"/>
      <c r="H2688" s="18"/>
      <c r="J2688" s="18"/>
      <c r="N2688" s="16"/>
      <c r="O2688" s="17"/>
      <c r="Q2688" s="22"/>
      <c r="R2688" s="23"/>
    </row>
    <row r="2689" spans="1:18" ht="12.75">
      <c r="A2689" s="22"/>
      <c r="D2689" s="19"/>
      <c r="H2689" s="18"/>
      <c r="J2689" s="18"/>
      <c r="N2689" s="16"/>
      <c r="O2689" s="17"/>
      <c r="Q2689" s="22"/>
      <c r="R2689" s="23"/>
    </row>
    <row r="2690" spans="1:18" ht="12.75">
      <c r="A2690" s="22"/>
      <c r="D2690" s="19"/>
      <c r="H2690" s="18"/>
      <c r="J2690" s="18"/>
      <c r="N2690" s="16"/>
      <c r="O2690" s="17"/>
      <c r="Q2690" s="22"/>
      <c r="R2690" s="23"/>
    </row>
    <row r="2691" spans="1:18" ht="12.75">
      <c r="A2691" s="22"/>
      <c r="D2691" s="19"/>
      <c r="H2691" s="18"/>
      <c r="J2691" s="18"/>
      <c r="N2691" s="16"/>
      <c r="O2691" s="17"/>
      <c r="Q2691" s="22"/>
      <c r="R2691" s="23"/>
    </row>
    <row r="2692" spans="1:18" ht="12.75">
      <c r="A2692" s="22"/>
      <c r="D2692" s="19"/>
      <c r="H2692" s="18"/>
      <c r="J2692" s="18"/>
      <c r="N2692" s="16"/>
      <c r="O2692" s="17"/>
      <c r="Q2692" s="22"/>
      <c r="R2692" s="23"/>
    </row>
    <row r="2693" spans="1:18" ht="12.75">
      <c r="A2693" s="22"/>
      <c r="D2693" s="19"/>
      <c r="H2693" s="18"/>
      <c r="J2693" s="18"/>
      <c r="N2693" s="16"/>
      <c r="O2693" s="17"/>
      <c r="Q2693" s="22"/>
      <c r="R2693" s="23"/>
    </row>
    <row r="2694" spans="1:18" ht="12.75">
      <c r="A2694" s="22"/>
      <c r="D2694" s="19"/>
      <c r="H2694" s="18"/>
      <c r="J2694" s="18"/>
      <c r="N2694" s="16"/>
      <c r="O2694" s="17"/>
      <c r="Q2694" s="22"/>
      <c r="R2694" s="23"/>
    </row>
    <row r="2695" spans="1:18" ht="12.75">
      <c r="A2695" s="22"/>
      <c r="D2695" s="19"/>
      <c r="H2695" s="18"/>
      <c r="J2695" s="18"/>
      <c r="N2695" s="16"/>
      <c r="O2695" s="17"/>
      <c r="Q2695" s="22"/>
      <c r="R2695" s="23"/>
    </row>
    <row r="2696" spans="1:18" ht="12.75">
      <c r="A2696" s="22"/>
      <c r="D2696" s="19"/>
      <c r="H2696" s="18"/>
      <c r="J2696" s="18"/>
      <c r="N2696" s="16"/>
      <c r="O2696" s="17"/>
      <c r="Q2696" s="22"/>
      <c r="R2696" s="23"/>
    </row>
    <row r="2697" spans="1:18" ht="12.75">
      <c r="A2697" s="22"/>
      <c r="D2697" s="19"/>
      <c r="H2697" s="18"/>
      <c r="J2697" s="18"/>
      <c r="N2697" s="16"/>
      <c r="O2697" s="17"/>
      <c r="Q2697" s="22"/>
      <c r="R2697" s="23"/>
    </row>
    <row r="2698" spans="1:18" ht="12.75">
      <c r="A2698" s="22"/>
      <c r="D2698" s="19"/>
      <c r="H2698" s="18"/>
      <c r="J2698" s="18"/>
      <c r="N2698" s="16"/>
      <c r="O2698" s="17"/>
      <c r="Q2698" s="22"/>
      <c r="R2698" s="23"/>
    </row>
    <row r="2699" spans="1:18" ht="12.75">
      <c r="A2699" s="22"/>
      <c r="D2699" s="19"/>
      <c r="H2699" s="18"/>
      <c r="J2699" s="18"/>
      <c r="N2699" s="16"/>
      <c r="O2699" s="17"/>
      <c r="Q2699" s="22"/>
      <c r="R2699" s="23"/>
    </row>
    <row r="2700" spans="1:18" ht="12.75">
      <c r="A2700" s="22"/>
      <c r="D2700" s="19"/>
      <c r="H2700" s="18"/>
      <c r="J2700" s="18"/>
      <c r="N2700" s="16"/>
      <c r="O2700" s="17"/>
      <c r="Q2700" s="22"/>
      <c r="R2700" s="23"/>
    </row>
    <row r="2701" spans="1:18" ht="12.75">
      <c r="A2701" s="22"/>
      <c r="D2701" s="19"/>
      <c r="H2701" s="18"/>
      <c r="J2701" s="18"/>
      <c r="N2701" s="16"/>
      <c r="O2701" s="17"/>
      <c r="Q2701" s="22"/>
      <c r="R2701" s="23"/>
    </row>
    <row r="2702" spans="1:18" ht="12.75">
      <c r="A2702" s="22"/>
      <c r="D2702" s="19"/>
      <c r="H2702" s="18"/>
      <c r="J2702" s="18"/>
      <c r="N2702" s="16"/>
      <c r="O2702" s="17"/>
      <c r="Q2702" s="22"/>
      <c r="R2702" s="23"/>
    </row>
    <row r="2703" spans="1:18" ht="12.75">
      <c r="A2703" s="22"/>
      <c r="D2703" s="19"/>
      <c r="H2703" s="18"/>
      <c r="J2703" s="18"/>
      <c r="N2703" s="16"/>
      <c r="O2703" s="17"/>
      <c r="Q2703" s="22"/>
      <c r="R2703" s="23"/>
    </row>
    <row r="2704" spans="1:18" ht="12.75">
      <c r="A2704" s="22"/>
      <c r="D2704" s="19"/>
      <c r="H2704" s="18"/>
      <c r="J2704" s="18"/>
      <c r="N2704" s="16"/>
      <c r="O2704" s="17"/>
      <c r="Q2704" s="22"/>
      <c r="R2704" s="23"/>
    </row>
    <row r="2705" spans="1:18" ht="12.75">
      <c r="A2705" s="22"/>
      <c r="D2705" s="19"/>
      <c r="H2705" s="18"/>
      <c r="J2705" s="18"/>
      <c r="N2705" s="16"/>
      <c r="O2705" s="17"/>
      <c r="Q2705" s="22"/>
      <c r="R2705" s="23"/>
    </row>
    <row r="2706" spans="1:18" ht="12.75">
      <c r="A2706" s="22"/>
      <c r="D2706" s="19"/>
      <c r="H2706" s="18"/>
      <c r="J2706" s="18"/>
      <c r="N2706" s="16"/>
      <c r="O2706" s="17"/>
      <c r="Q2706" s="22"/>
      <c r="R2706" s="23"/>
    </row>
    <row r="2707" spans="1:18" ht="12.75">
      <c r="A2707" s="22"/>
      <c r="D2707" s="19"/>
      <c r="H2707" s="18"/>
      <c r="J2707" s="18"/>
      <c r="N2707" s="16"/>
      <c r="O2707" s="17"/>
      <c r="Q2707" s="22"/>
      <c r="R2707" s="23"/>
    </row>
    <row r="2708" spans="1:18" ht="12.75">
      <c r="A2708" s="22"/>
      <c r="D2708" s="19"/>
      <c r="H2708" s="18"/>
      <c r="J2708" s="18"/>
      <c r="N2708" s="16"/>
      <c r="O2708" s="17"/>
      <c r="Q2708" s="22"/>
      <c r="R2708" s="23"/>
    </row>
    <row r="2709" spans="1:18" ht="12.75">
      <c r="A2709" s="22"/>
      <c r="D2709" s="19"/>
      <c r="H2709" s="18"/>
      <c r="J2709" s="18"/>
      <c r="N2709" s="16"/>
      <c r="O2709" s="17"/>
      <c r="Q2709" s="22"/>
      <c r="R2709" s="23"/>
    </row>
    <row r="2710" spans="1:18" ht="12.75">
      <c r="A2710" s="22"/>
      <c r="D2710" s="19"/>
      <c r="H2710" s="18"/>
      <c r="J2710" s="18"/>
      <c r="N2710" s="16"/>
      <c r="O2710" s="17"/>
      <c r="Q2710" s="22"/>
      <c r="R2710" s="23"/>
    </row>
    <row r="2711" spans="1:18" ht="12.75">
      <c r="A2711" s="22"/>
      <c r="D2711" s="19"/>
      <c r="H2711" s="18"/>
      <c r="J2711" s="18"/>
      <c r="N2711" s="16"/>
      <c r="O2711" s="17"/>
      <c r="Q2711" s="22"/>
      <c r="R2711" s="23"/>
    </row>
    <row r="2712" spans="1:18" ht="12.75">
      <c r="A2712" s="22"/>
      <c r="D2712" s="19"/>
      <c r="H2712" s="18"/>
      <c r="J2712" s="18"/>
      <c r="N2712" s="16"/>
      <c r="O2712" s="17"/>
      <c r="Q2712" s="22"/>
      <c r="R2712" s="23"/>
    </row>
    <row r="2713" spans="1:18" ht="12.75">
      <c r="A2713" s="22"/>
      <c r="D2713" s="19"/>
      <c r="H2713" s="18"/>
      <c r="J2713" s="18"/>
      <c r="N2713" s="16"/>
      <c r="O2713" s="17"/>
      <c r="Q2713" s="22"/>
      <c r="R2713" s="23"/>
    </row>
    <row r="2714" spans="1:18" ht="12.75">
      <c r="A2714" s="22"/>
      <c r="D2714" s="19"/>
      <c r="H2714" s="18"/>
      <c r="J2714" s="18"/>
      <c r="N2714" s="16"/>
      <c r="O2714" s="17"/>
      <c r="Q2714" s="22"/>
      <c r="R2714" s="23"/>
    </row>
    <row r="2715" spans="1:18" ht="12.75">
      <c r="A2715" s="22"/>
      <c r="D2715" s="19"/>
      <c r="H2715" s="18"/>
      <c r="J2715" s="18"/>
      <c r="N2715" s="16"/>
      <c r="O2715" s="17"/>
      <c r="Q2715" s="22"/>
      <c r="R2715" s="23"/>
    </row>
    <row r="2716" spans="1:18" ht="12.75">
      <c r="A2716" s="22"/>
      <c r="D2716" s="19"/>
      <c r="H2716" s="18"/>
      <c r="J2716" s="18"/>
      <c r="N2716" s="16"/>
      <c r="O2716" s="17"/>
      <c r="Q2716" s="22"/>
      <c r="R2716" s="23"/>
    </row>
    <row r="2717" spans="1:18" ht="12.75">
      <c r="A2717" s="22"/>
      <c r="D2717" s="19"/>
      <c r="H2717" s="18"/>
      <c r="J2717" s="18"/>
      <c r="N2717" s="16"/>
      <c r="O2717" s="17"/>
      <c r="Q2717" s="22"/>
      <c r="R2717" s="23"/>
    </row>
    <row r="2718" spans="1:18" ht="12.75">
      <c r="A2718" s="22"/>
      <c r="D2718" s="19"/>
      <c r="H2718" s="18"/>
      <c r="J2718" s="18"/>
      <c r="N2718" s="16"/>
      <c r="O2718" s="17"/>
      <c r="Q2718" s="22"/>
      <c r="R2718" s="23"/>
    </row>
    <row r="2719" spans="1:18" ht="12.75">
      <c r="A2719" s="22"/>
      <c r="D2719" s="19"/>
      <c r="H2719" s="18"/>
      <c r="J2719" s="18"/>
      <c r="N2719" s="16"/>
      <c r="O2719" s="17"/>
      <c r="Q2719" s="22"/>
      <c r="R2719" s="23"/>
    </row>
    <row r="2720" spans="1:18" ht="12.75">
      <c r="A2720" s="22"/>
      <c r="D2720" s="19"/>
      <c r="H2720" s="18"/>
      <c r="J2720" s="18"/>
      <c r="N2720" s="16"/>
      <c r="O2720" s="17"/>
      <c r="Q2720" s="22"/>
      <c r="R2720" s="23"/>
    </row>
    <row r="2721" spans="1:18" ht="12.75">
      <c r="A2721" s="22"/>
      <c r="D2721" s="19"/>
      <c r="H2721" s="18"/>
      <c r="J2721" s="18"/>
      <c r="N2721" s="16"/>
      <c r="O2721" s="17"/>
      <c r="Q2721" s="22"/>
      <c r="R2721" s="23"/>
    </row>
    <row r="2722" spans="1:18" ht="12.75">
      <c r="A2722" s="22"/>
      <c r="D2722" s="19"/>
      <c r="H2722" s="18"/>
      <c r="J2722" s="18"/>
      <c r="N2722" s="16"/>
      <c r="O2722" s="17"/>
      <c r="Q2722" s="22"/>
      <c r="R2722" s="23"/>
    </row>
    <row r="2723" spans="1:18" ht="12.75">
      <c r="A2723" s="22"/>
      <c r="D2723" s="19"/>
      <c r="H2723" s="18"/>
      <c r="J2723" s="18"/>
      <c r="N2723" s="16"/>
      <c r="O2723" s="17"/>
      <c r="Q2723" s="22"/>
      <c r="R2723" s="23"/>
    </row>
    <row r="2724" spans="1:18" ht="12.75">
      <c r="A2724" s="22"/>
      <c r="D2724" s="19"/>
      <c r="H2724" s="18"/>
      <c r="J2724" s="18"/>
      <c r="N2724" s="16"/>
      <c r="O2724" s="17"/>
      <c r="Q2724" s="22"/>
      <c r="R2724" s="23"/>
    </row>
    <row r="2725" spans="1:18" ht="12.75">
      <c r="A2725" s="22"/>
      <c r="D2725" s="19"/>
      <c r="H2725" s="18"/>
      <c r="J2725" s="18"/>
      <c r="N2725" s="16"/>
      <c r="O2725" s="17"/>
      <c r="Q2725" s="22"/>
      <c r="R2725" s="23"/>
    </row>
    <row r="2726" spans="1:18" ht="12.75">
      <c r="A2726" s="22"/>
      <c r="D2726" s="19"/>
      <c r="H2726" s="18"/>
      <c r="J2726" s="18"/>
      <c r="N2726" s="16"/>
      <c r="O2726" s="17"/>
      <c r="Q2726" s="22"/>
      <c r="R2726" s="23"/>
    </row>
    <row r="2727" spans="1:18" ht="12.75">
      <c r="A2727" s="22"/>
      <c r="D2727" s="19"/>
      <c r="H2727" s="18"/>
      <c r="J2727" s="18"/>
      <c r="N2727" s="16"/>
      <c r="O2727" s="17"/>
      <c r="Q2727" s="22"/>
      <c r="R2727" s="23"/>
    </row>
    <row r="2728" spans="1:18" ht="12.75">
      <c r="A2728" s="22"/>
      <c r="D2728" s="19"/>
      <c r="H2728" s="18"/>
      <c r="J2728" s="18"/>
      <c r="N2728" s="16"/>
      <c r="O2728" s="17"/>
      <c r="Q2728" s="22"/>
      <c r="R2728" s="23"/>
    </row>
    <row r="2729" spans="1:18" ht="12.75">
      <c r="A2729" s="22"/>
      <c r="D2729" s="19"/>
      <c r="H2729" s="18"/>
      <c r="J2729" s="18"/>
      <c r="N2729" s="16"/>
      <c r="O2729" s="17"/>
      <c r="Q2729" s="22"/>
      <c r="R2729" s="23"/>
    </row>
    <row r="2730" spans="1:18" ht="12.75">
      <c r="A2730" s="22"/>
      <c r="D2730" s="19"/>
      <c r="H2730" s="18"/>
      <c r="J2730" s="18"/>
      <c r="N2730" s="16"/>
      <c r="O2730" s="17"/>
      <c r="Q2730" s="22"/>
      <c r="R2730" s="23"/>
    </row>
    <row r="2731" spans="1:18" ht="12.75">
      <c r="A2731" s="22"/>
      <c r="D2731" s="19"/>
      <c r="H2731" s="18"/>
      <c r="J2731" s="18"/>
      <c r="N2731" s="16"/>
      <c r="O2731" s="17"/>
      <c r="Q2731" s="22"/>
      <c r="R2731" s="23"/>
    </row>
    <row r="2732" spans="1:18" ht="12.75">
      <c r="A2732" s="22"/>
      <c r="D2732" s="19"/>
      <c r="H2732" s="18"/>
      <c r="J2732" s="18"/>
      <c r="N2732" s="16"/>
      <c r="O2732" s="17"/>
      <c r="Q2732" s="22"/>
      <c r="R2732" s="23"/>
    </row>
    <row r="2733" spans="1:18" ht="12.75">
      <c r="A2733" s="22"/>
      <c r="D2733" s="19"/>
      <c r="H2733" s="18"/>
      <c r="J2733" s="18"/>
      <c r="N2733" s="16"/>
      <c r="O2733" s="17"/>
      <c r="Q2733" s="22"/>
      <c r="R2733" s="23"/>
    </row>
    <row r="2734" spans="1:18" ht="12.75">
      <c r="A2734" s="22"/>
      <c r="D2734" s="19"/>
      <c r="H2734" s="18"/>
      <c r="J2734" s="18"/>
      <c r="N2734" s="16"/>
      <c r="O2734" s="17"/>
      <c r="Q2734" s="22"/>
      <c r="R2734" s="23"/>
    </row>
    <row r="2735" spans="1:18" ht="12.75">
      <c r="A2735" s="22"/>
      <c r="D2735" s="19"/>
      <c r="H2735" s="18"/>
      <c r="J2735" s="18"/>
      <c r="N2735" s="16"/>
      <c r="O2735" s="17"/>
      <c r="Q2735" s="22"/>
      <c r="R2735" s="23"/>
    </row>
    <row r="2736" spans="1:18" ht="12.75">
      <c r="A2736" s="22"/>
      <c r="D2736" s="19"/>
      <c r="H2736" s="18"/>
      <c r="J2736" s="18"/>
      <c r="N2736" s="16"/>
      <c r="O2736" s="17"/>
      <c r="Q2736" s="22"/>
      <c r="R2736" s="23"/>
    </row>
    <row r="2737" spans="1:18" ht="12.75">
      <c r="A2737" s="22"/>
      <c r="D2737" s="19"/>
      <c r="H2737" s="18"/>
      <c r="J2737" s="18"/>
      <c r="N2737" s="16"/>
      <c r="O2737" s="17"/>
      <c r="Q2737" s="22"/>
      <c r="R2737" s="23"/>
    </row>
    <row r="2738" spans="1:18" ht="12.75">
      <c r="A2738" s="22"/>
      <c r="D2738" s="19"/>
      <c r="H2738" s="18"/>
      <c r="J2738" s="18"/>
      <c r="N2738" s="16"/>
      <c r="O2738" s="17"/>
      <c r="Q2738" s="22"/>
      <c r="R2738" s="23"/>
    </row>
    <row r="2739" spans="1:18" ht="12.75">
      <c r="A2739" s="22"/>
      <c r="D2739" s="19"/>
      <c r="H2739" s="18"/>
      <c r="J2739" s="18"/>
      <c r="N2739" s="16"/>
      <c r="O2739" s="17"/>
      <c r="Q2739" s="22"/>
      <c r="R2739" s="23"/>
    </row>
    <row r="2740" spans="1:18" ht="12.75">
      <c r="A2740" s="22"/>
      <c r="D2740" s="19"/>
      <c r="H2740" s="18"/>
      <c r="J2740" s="18"/>
      <c r="N2740" s="16"/>
      <c r="O2740" s="17"/>
      <c r="Q2740" s="22"/>
      <c r="R2740" s="23"/>
    </row>
    <row r="2741" spans="1:18" ht="12.75">
      <c r="A2741" s="22"/>
      <c r="D2741" s="19"/>
      <c r="H2741" s="18"/>
      <c r="J2741" s="18"/>
      <c r="N2741" s="16"/>
      <c r="O2741" s="17"/>
      <c r="Q2741" s="22"/>
      <c r="R2741" s="23"/>
    </row>
    <row r="2742" spans="1:18" ht="12.75">
      <c r="A2742" s="22"/>
      <c r="D2742" s="19"/>
      <c r="H2742" s="18"/>
      <c r="J2742" s="18"/>
      <c r="N2742" s="16"/>
      <c r="O2742" s="17"/>
      <c r="Q2742" s="22"/>
      <c r="R2742" s="23"/>
    </row>
    <row r="2743" spans="1:18" ht="12.75">
      <c r="A2743" s="22"/>
      <c r="D2743" s="19"/>
      <c r="H2743" s="18"/>
      <c r="J2743" s="18"/>
      <c r="N2743" s="16"/>
      <c r="O2743" s="17"/>
      <c r="Q2743" s="22"/>
      <c r="R2743" s="23"/>
    </row>
    <row r="2744" spans="1:18" ht="12.75">
      <c r="A2744" s="22"/>
      <c r="D2744" s="19"/>
      <c r="H2744" s="18"/>
      <c r="J2744" s="18"/>
      <c r="N2744" s="16"/>
      <c r="O2744" s="17"/>
      <c r="Q2744" s="22"/>
      <c r="R2744" s="23"/>
    </row>
    <row r="2745" spans="1:18" ht="12.75">
      <c r="A2745" s="22"/>
      <c r="D2745" s="19"/>
      <c r="H2745" s="18"/>
      <c r="J2745" s="18"/>
      <c r="N2745" s="16"/>
      <c r="O2745" s="17"/>
      <c r="Q2745" s="22"/>
      <c r="R2745" s="23"/>
    </row>
    <row r="2746" spans="1:18" ht="12.75">
      <c r="A2746" s="22"/>
      <c r="D2746" s="19"/>
      <c r="H2746" s="18"/>
      <c r="J2746" s="18"/>
      <c r="N2746" s="16"/>
      <c r="O2746" s="17"/>
      <c r="Q2746" s="22"/>
      <c r="R2746" s="23"/>
    </row>
    <row r="2747" spans="1:18" ht="12.75">
      <c r="A2747" s="22"/>
      <c r="D2747" s="19"/>
      <c r="H2747" s="18"/>
      <c r="J2747" s="18"/>
      <c r="N2747" s="16"/>
      <c r="O2747" s="17"/>
      <c r="Q2747" s="22"/>
      <c r="R2747" s="23"/>
    </row>
    <row r="2748" spans="1:18" ht="12.75">
      <c r="A2748" s="22"/>
      <c r="D2748" s="19"/>
      <c r="H2748" s="18"/>
      <c r="J2748" s="18"/>
      <c r="N2748" s="16"/>
      <c r="O2748" s="17"/>
      <c r="Q2748" s="22"/>
      <c r="R2748" s="23"/>
    </row>
    <row r="2749" spans="1:18" ht="12.75">
      <c r="A2749" s="22"/>
      <c r="D2749" s="19"/>
      <c r="H2749" s="18"/>
      <c r="J2749" s="18"/>
      <c r="N2749" s="16"/>
      <c r="O2749" s="17"/>
      <c r="Q2749" s="22"/>
      <c r="R2749" s="23"/>
    </row>
    <row r="2750" spans="1:18" ht="12.75">
      <c r="A2750" s="22"/>
      <c r="D2750" s="19"/>
      <c r="H2750" s="18"/>
      <c r="J2750" s="18"/>
      <c r="N2750" s="16"/>
      <c r="O2750" s="17"/>
      <c r="Q2750" s="22"/>
      <c r="R2750" s="23"/>
    </row>
    <row r="2751" spans="1:18" ht="12.75">
      <c r="A2751" s="22"/>
      <c r="D2751" s="19"/>
      <c r="H2751" s="18"/>
      <c r="J2751" s="18"/>
      <c r="N2751" s="16"/>
      <c r="O2751" s="17"/>
      <c r="Q2751" s="22"/>
      <c r="R2751" s="23"/>
    </row>
    <row r="2752" spans="1:18" ht="12.75">
      <c r="A2752" s="22"/>
      <c r="D2752" s="19"/>
      <c r="H2752" s="18"/>
      <c r="J2752" s="18"/>
      <c r="N2752" s="16"/>
      <c r="O2752" s="17"/>
      <c r="Q2752" s="22"/>
      <c r="R2752" s="23"/>
    </row>
    <row r="2753" spans="1:18" ht="12.75">
      <c r="A2753" s="22"/>
      <c r="D2753" s="19"/>
      <c r="H2753" s="18"/>
      <c r="J2753" s="18"/>
      <c r="N2753" s="16"/>
      <c r="O2753" s="17"/>
      <c r="Q2753" s="22"/>
      <c r="R2753" s="23"/>
    </row>
    <row r="2754" spans="1:18" ht="12.75">
      <c r="A2754" s="22"/>
      <c r="D2754" s="19"/>
      <c r="H2754" s="18"/>
      <c r="J2754" s="18"/>
      <c r="N2754" s="16"/>
      <c r="O2754" s="17"/>
      <c r="Q2754" s="22"/>
      <c r="R2754" s="23"/>
    </row>
    <row r="2755" spans="1:18" ht="12.75">
      <c r="A2755" s="22"/>
      <c r="D2755" s="19"/>
      <c r="H2755" s="18"/>
      <c r="J2755" s="18"/>
      <c r="N2755" s="16"/>
      <c r="O2755" s="17"/>
      <c r="Q2755" s="22"/>
      <c r="R2755" s="23"/>
    </row>
    <row r="2756" spans="1:18" ht="12.75">
      <c r="A2756" s="22"/>
      <c r="D2756" s="19"/>
      <c r="H2756" s="18"/>
      <c r="J2756" s="18"/>
      <c r="N2756" s="16"/>
      <c r="O2756" s="17"/>
      <c r="Q2756" s="22"/>
      <c r="R2756" s="23"/>
    </row>
    <row r="2757" spans="1:18" ht="12.75">
      <c r="A2757" s="22"/>
      <c r="D2757" s="19"/>
      <c r="H2757" s="18"/>
      <c r="J2757" s="18"/>
      <c r="N2757" s="16"/>
      <c r="O2757" s="17"/>
      <c r="Q2757" s="22"/>
      <c r="R2757" s="23"/>
    </row>
    <row r="2758" spans="1:18" ht="12.75">
      <c r="A2758" s="22"/>
      <c r="D2758" s="19"/>
      <c r="H2758" s="18"/>
      <c r="J2758" s="18"/>
      <c r="N2758" s="16"/>
      <c r="O2758" s="17"/>
      <c r="Q2758" s="22"/>
      <c r="R2758" s="23"/>
    </row>
    <row r="2759" spans="1:18" ht="12.75">
      <c r="A2759" s="22"/>
      <c r="D2759" s="19"/>
      <c r="H2759" s="18"/>
      <c r="J2759" s="18"/>
      <c r="N2759" s="16"/>
      <c r="O2759" s="17"/>
      <c r="Q2759" s="22"/>
      <c r="R2759" s="23"/>
    </row>
    <row r="2760" spans="1:18" ht="12.75">
      <c r="A2760" s="22"/>
      <c r="D2760" s="19"/>
      <c r="H2760" s="18"/>
      <c r="J2760" s="18"/>
      <c r="N2760" s="16"/>
      <c r="O2760" s="17"/>
      <c r="Q2760" s="22"/>
      <c r="R2760" s="23"/>
    </row>
    <row r="2761" spans="1:18" ht="12.75">
      <c r="A2761" s="22"/>
      <c r="D2761" s="19"/>
      <c r="H2761" s="18"/>
      <c r="J2761" s="18"/>
      <c r="N2761" s="16"/>
      <c r="O2761" s="17"/>
      <c r="Q2761" s="22"/>
      <c r="R2761" s="23"/>
    </row>
    <row r="2762" spans="1:18" ht="12.75">
      <c r="A2762" s="22"/>
      <c r="D2762" s="19"/>
      <c r="H2762" s="18"/>
      <c r="J2762" s="18"/>
      <c r="N2762" s="16"/>
      <c r="O2762" s="17"/>
      <c r="Q2762" s="22"/>
      <c r="R2762" s="23"/>
    </row>
    <row r="2763" spans="1:18" ht="12.75">
      <c r="A2763" s="22"/>
      <c r="D2763" s="19"/>
      <c r="H2763" s="18"/>
      <c r="J2763" s="18"/>
      <c r="N2763" s="16"/>
      <c r="O2763" s="17"/>
      <c r="Q2763" s="22"/>
      <c r="R2763" s="23"/>
    </row>
    <row r="2764" spans="1:18" ht="12.75">
      <c r="A2764" s="22"/>
      <c r="D2764" s="19"/>
      <c r="H2764" s="18"/>
      <c r="J2764" s="18"/>
      <c r="N2764" s="16"/>
      <c r="O2764" s="17"/>
      <c r="Q2764" s="22"/>
      <c r="R2764" s="23"/>
    </row>
    <row r="2765" spans="1:18" ht="12.75">
      <c r="A2765" s="22"/>
      <c r="D2765" s="19"/>
      <c r="H2765" s="18"/>
      <c r="J2765" s="18"/>
      <c r="N2765" s="16"/>
      <c r="O2765" s="17"/>
      <c r="Q2765" s="22"/>
      <c r="R2765" s="23"/>
    </row>
    <row r="2766" spans="1:18" ht="12.75">
      <c r="A2766" s="22"/>
      <c r="D2766" s="19"/>
      <c r="H2766" s="18"/>
      <c r="J2766" s="18"/>
      <c r="N2766" s="16"/>
      <c r="O2766" s="17"/>
      <c r="Q2766" s="22"/>
      <c r="R2766" s="23"/>
    </row>
    <row r="2767" spans="1:18" ht="12.75">
      <c r="A2767" s="22"/>
      <c r="D2767" s="19"/>
      <c r="H2767" s="18"/>
      <c r="J2767" s="18"/>
      <c r="N2767" s="16"/>
      <c r="O2767" s="17"/>
      <c r="Q2767" s="22"/>
      <c r="R2767" s="23"/>
    </row>
    <row r="2768" spans="1:18" ht="12.75">
      <c r="A2768" s="22"/>
      <c r="D2768" s="19"/>
      <c r="H2768" s="18"/>
      <c r="J2768" s="18"/>
      <c r="N2768" s="16"/>
      <c r="O2768" s="17"/>
      <c r="Q2768" s="22"/>
      <c r="R2768" s="23"/>
    </row>
    <row r="2769" spans="1:18" ht="12.75">
      <c r="A2769" s="22"/>
      <c r="D2769" s="19"/>
      <c r="H2769" s="18"/>
      <c r="J2769" s="18"/>
      <c r="N2769" s="16"/>
      <c r="O2769" s="17"/>
      <c r="Q2769" s="22"/>
      <c r="R2769" s="23"/>
    </row>
    <row r="2770" spans="1:18" ht="12.75">
      <c r="A2770" s="22"/>
      <c r="D2770" s="19"/>
      <c r="H2770" s="18"/>
      <c r="J2770" s="18"/>
      <c r="N2770" s="16"/>
      <c r="O2770" s="17"/>
      <c r="Q2770" s="22"/>
      <c r="R2770" s="23"/>
    </row>
    <row r="2771" spans="1:18" ht="12.75">
      <c r="A2771" s="22"/>
      <c r="D2771" s="19"/>
      <c r="H2771" s="18"/>
      <c r="J2771" s="18"/>
      <c r="N2771" s="16"/>
      <c r="O2771" s="17"/>
      <c r="Q2771" s="22"/>
      <c r="R2771" s="23"/>
    </row>
    <row r="2772" spans="1:18" ht="12.75">
      <c r="A2772" s="22"/>
      <c r="D2772" s="19"/>
      <c r="H2772" s="18"/>
      <c r="J2772" s="18"/>
      <c r="N2772" s="16"/>
      <c r="O2772" s="17"/>
      <c r="Q2772" s="22"/>
      <c r="R2772" s="23"/>
    </row>
    <row r="2773" spans="1:18" ht="12.75">
      <c r="A2773" s="22"/>
      <c r="D2773" s="19"/>
      <c r="H2773" s="18"/>
      <c r="J2773" s="18"/>
      <c r="N2773" s="16"/>
      <c r="O2773" s="17"/>
      <c r="Q2773" s="22"/>
      <c r="R2773" s="23"/>
    </row>
    <row r="2774" spans="1:18" ht="12.75">
      <c r="A2774" s="22"/>
      <c r="D2774" s="19"/>
      <c r="H2774" s="18"/>
      <c r="J2774" s="18"/>
      <c r="N2774" s="16"/>
      <c r="O2774" s="17"/>
      <c r="Q2774" s="22"/>
      <c r="R2774" s="23"/>
    </row>
    <row r="2775" spans="1:18" ht="12.75">
      <c r="A2775" s="22"/>
      <c r="D2775" s="19"/>
      <c r="H2775" s="18"/>
      <c r="J2775" s="18"/>
      <c r="N2775" s="16"/>
      <c r="O2775" s="17"/>
      <c r="Q2775" s="22"/>
      <c r="R2775" s="23"/>
    </row>
    <row r="2776" spans="1:18" ht="12.75">
      <c r="A2776" s="22"/>
      <c r="D2776" s="19"/>
      <c r="H2776" s="18"/>
      <c r="J2776" s="18"/>
      <c r="N2776" s="16"/>
      <c r="O2776" s="17"/>
      <c r="Q2776" s="22"/>
      <c r="R2776" s="23"/>
    </row>
    <row r="2777" spans="1:18" ht="12.75">
      <c r="A2777" s="22"/>
      <c r="D2777" s="19"/>
      <c r="H2777" s="18"/>
      <c r="J2777" s="18"/>
      <c r="N2777" s="16"/>
      <c r="O2777" s="17"/>
      <c r="Q2777" s="22"/>
      <c r="R2777" s="23"/>
    </row>
    <row r="2778" spans="1:18" ht="12.75">
      <c r="A2778" s="22"/>
      <c r="D2778" s="19"/>
      <c r="H2778" s="18"/>
      <c r="J2778" s="18"/>
      <c r="N2778" s="16"/>
      <c r="O2778" s="17"/>
      <c r="Q2778" s="22"/>
      <c r="R2778" s="23"/>
    </row>
    <row r="2779" spans="1:18" ht="12.75">
      <c r="A2779" s="22"/>
      <c r="D2779" s="19"/>
      <c r="H2779" s="18"/>
      <c r="J2779" s="18"/>
      <c r="N2779" s="16"/>
      <c r="O2779" s="17"/>
      <c r="Q2779" s="22"/>
      <c r="R2779" s="23"/>
    </row>
    <row r="2780" spans="1:18" ht="12.75">
      <c r="A2780" s="22"/>
      <c r="D2780" s="19"/>
      <c r="H2780" s="18"/>
      <c r="J2780" s="18"/>
      <c r="N2780" s="16"/>
      <c r="O2780" s="17"/>
      <c r="Q2780" s="22"/>
      <c r="R2780" s="23"/>
    </row>
    <row r="2781" spans="1:18" ht="12.75">
      <c r="A2781" s="22"/>
      <c r="D2781" s="19"/>
      <c r="H2781" s="18"/>
      <c r="J2781" s="18"/>
      <c r="N2781" s="16"/>
      <c r="O2781" s="17"/>
      <c r="Q2781" s="22"/>
      <c r="R2781" s="23"/>
    </row>
    <row r="2782" spans="1:18" ht="12.75">
      <c r="A2782" s="22"/>
      <c r="D2782" s="19"/>
      <c r="H2782" s="18"/>
      <c r="J2782" s="18"/>
      <c r="N2782" s="16"/>
      <c r="O2782" s="17"/>
      <c r="Q2782" s="22"/>
      <c r="R2782" s="23"/>
    </row>
    <row r="2783" spans="1:18" ht="12.75">
      <c r="A2783" s="22"/>
      <c r="D2783" s="19"/>
      <c r="H2783" s="18"/>
      <c r="J2783" s="18"/>
      <c r="N2783" s="16"/>
      <c r="O2783" s="17"/>
      <c r="Q2783" s="22"/>
      <c r="R2783" s="23"/>
    </row>
    <row r="2784" spans="1:18" ht="12.75">
      <c r="A2784" s="22"/>
      <c r="D2784" s="19"/>
      <c r="H2784" s="18"/>
      <c r="J2784" s="18"/>
      <c r="N2784" s="16"/>
      <c r="O2784" s="17"/>
      <c r="Q2784" s="22"/>
      <c r="R2784" s="23"/>
    </row>
    <row r="2785" spans="1:18" ht="12.75">
      <c r="A2785" s="22"/>
      <c r="D2785" s="19"/>
      <c r="H2785" s="18"/>
      <c r="J2785" s="18"/>
      <c r="N2785" s="16"/>
      <c r="O2785" s="17"/>
      <c r="Q2785" s="22"/>
      <c r="R2785" s="23"/>
    </row>
    <row r="2786" spans="1:18" ht="12.75">
      <c r="A2786" s="22"/>
      <c r="D2786" s="19"/>
      <c r="H2786" s="18"/>
      <c r="J2786" s="18"/>
      <c r="N2786" s="16"/>
      <c r="O2786" s="17"/>
      <c r="Q2786" s="22"/>
      <c r="R2786" s="23"/>
    </row>
    <row r="2787" spans="1:18" ht="12.75">
      <c r="A2787" s="22"/>
      <c r="D2787" s="19"/>
      <c r="H2787" s="18"/>
      <c r="J2787" s="18"/>
      <c r="N2787" s="16"/>
      <c r="O2787" s="17"/>
      <c r="Q2787" s="22"/>
      <c r="R2787" s="23"/>
    </row>
    <row r="2788" spans="1:18" ht="12.75">
      <c r="A2788" s="22"/>
      <c r="D2788" s="19"/>
      <c r="H2788" s="18"/>
      <c r="J2788" s="18"/>
      <c r="N2788" s="16"/>
      <c r="O2788" s="17"/>
      <c r="Q2788" s="22"/>
      <c r="R2788" s="23"/>
    </row>
    <row r="2789" spans="1:18" ht="12.75">
      <c r="A2789" s="22"/>
      <c r="D2789" s="19"/>
      <c r="H2789" s="18"/>
      <c r="J2789" s="18"/>
      <c r="N2789" s="16"/>
      <c r="O2789" s="17"/>
      <c r="Q2789" s="22"/>
      <c r="R2789" s="23"/>
    </row>
    <row r="2790" spans="1:18" ht="12.75">
      <c r="A2790" s="22"/>
      <c r="D2790" s="19"/>
      <c r="H2790" s="18"/>
      <c r="J2790" s="18"/>
      <c r="N2790" s="16"/>
      <c r="O2790" s="17"/>
      <c r="Q2790" s="22"/>
      <c r="R2790" s="23"/>
    </row>
    <row r="2791" spans="1:18" ht="12.75">
      <c r="A2791" s="22"/>
      <c r="D2791" s="19"/>
      <c r="H2791" s="18"/>
      <c r="J2791" s="18"/>
      <c r="N2791" s="16"/>
      <c r="O2791" s="17"/>
      <c r="Q2791" s="22"/>
      <c r="R2791" s="23"/>
    </row>
    <row r="2792" spans="1:18" ht="12.75">
      <c r="A2792" s="22"/>
      <c r="D2792" s="19"/>
      <c r="H2792" s="18"/>
      <c r="J2792" s="18"/>
      <c r="N2792" s="16"/>
      <c r="O2792" s="17"/>
      <c r="Q2792" s="22"/>
      <c r="R2792" s="23"/>
    </row>
    <row r="2793" spans="1:18" ht="12.75">
      <c r="A2793" s="22"/>
      <c r="D2793" s="19"/>
      <c r="H2793" s="18"/>
      <c r="J2793" s="18"/>
      <c r="N2793" s="16"/>
      <c r="O2793" s="17"/>
      <c r="Q2793" s="22"/>
      <c r="R2793" s="23"/>
    </row>
    <row r="2794" spans="1:18" ht="12.75">
      <c r="A2794" s="22"/>
      <c r="D2794" s="19"/>
      <c r="H2794" s="18"/>
      <c r="J2794" s="18"/>
      <c r="N2794" s="16"/>
      <c r="O2794" s="17"/>
      <c r="Q2794" s="22"/>
      <c r="R2794" s="23"/>
    </row>
    <row r="2795" spans="1:18" ht="12.75">
      <c r="A2795" s="22"/>
      <c r="D2795" s="19"/>
      <c r="H2795" s="18"/>
      <c r="J2795" s="18"/>
      <c r="N2795" s="16"/>
      <c r="O2795" s="17"/>
      <c r="Q2795" s="22"/>
      <c r="R2795" s="23"/>
    </row>
    <row r="2796" spans="1:18" ht="12.75">
      <c r="A2796" s="22"/>
      <c r="D2796" s="19"/>
      <c r="H2796" s="18"/>
      <c r="J2796" s="18"/>
      <c r="N2796" s="16"/>
      <c r="O2796" s="17"/>
      <c r="Q2796" s="22"/>
      <c r="R2796" s="23"/>
    </row>
    <row r="2797" spans="1:18" ht="12.75">
      <c r="A2797" s="22"/>
      <c r="D2797" s="19"/>
      <c r="H2797" s="18"/>
      <c r="J2797" s="18"/>
      <c r="N2797" s="16"/>
      <c r="O2797" s="17"/>
      <c r="Q2797" s="22"/>
      <c r="R2797" s="23"/>
    </row>
    <row r="2798" spans="1:18" ht="12.75">
      <c r="A2798" s="22"/>
      <c r="D2798" s="19"/>
      <c r="H2798" s="18"/>
      <c r="J2798" s="18"/>
      <c r="N2798" s="16"/>
      <c r="O2798" s="17"/>
      <c r="Q2798" s="22"/>
      <c r="R2798" s="23"/>
    </row>
    <row r="2799" spans="1:18" ht="12.75">
      <c r="A2799" s="22"/>
      <c r="D2799" s="19"/>
      <c r="H2799" s="18"/>
      <c r="J2799" s="18"/>
      <c r="N2799" s="16"/>
      <c r="O2799" s="17"/>
      <c r="Q2799" s="22"/>
      <c r="R2799" s="23"/>
    </row>
    <row r="2800" spans="1:18" ht="12.75">
      <c r="A2800" s="22"/>
      <c r="D2800" s="19"/>
      <c r="H2800" s="18"/>
      <c r="J2800" s="18"/>
      <c r="N2800" s="16"/>
      <c r="O2800" s="17"/>
      <c r="Q2800" s="22"/>
      <c r="R2800" s="23"/>
    </row>
    <row r="2801" spans="1:18" ht="12.75">
      <c r="A2801" s="22"/>
      <c r="D2801" s="19"/>
      <c r="H2801" s="18"/>
      <c r="J2801" s="18"/>
      <c r="N2801" s="16"/>
      <c r="O2801" s="17"/>
      <c r="Q2801" s="22"/>
      <c r="R2801" s="23"/>
    </row>
    <row r="2802" spans="1:18" ht="12.75">
      <c r="A2802" s="22"/>
      <c r="D2802" s="19"/>
      <c r="H2802" s="18"/>
      <c r="J2802" s="18"/>
      <c r="N2802" s="16"/>
      <c r="O2802" s="17"/>
      <c r="Q2802" s="22"/>
      <c r="R2802" s="23"/>
    </row>
    <row r="2803" spans="1:18" ht="12.75">
      <c r="A2803" s="22"/>
      <c r="D2803" s="19"/>
      <c r="H2803" s="18"/>
      <c r="J2803" s="18"/>
      <c r="N2803" s="16"/>
      <c r="O2803" s="17"/>
      <c r="Q2803" s="22"/>
      <c r="R2803" s="23"/>
    </row>
    <row r="2804" spans="1:18" ht="12.75">
      <c r="A2804" s="22"/>
      <c r="D2804" s="19"/>
      <c r="H2804" s="18"/>
      <c r="J2804" s="18"/>
      <c r="N2804" s="16"/>
      <c r="O2804" s="17"/>
      <c r="Q2804" s="22"/>
      <c r="R2804" s="23"/>
    </row>
    <row r="2805" spans="1:18" ht="12.75">
      <c r="A2805" s="22"/>
      <c r="D2805" s="19"/>
      <c r="H2805" s="18"/>
      <c r="J2805" s="18"/>
      <c r="N2805" s="16"/>
      <c r="O2805" s="17"/>
      <c r="Q2805" s="22"/>
      <c r="R2805" s="23"/>
    </row>
    <row r="2806" spans="1:18" ht="12.75">
      <c r="A2806" s="22"/>
      <c r="D2806" s="19"/>
      <c r="H2806" s="18"/>
      <c r="J2806" s="18"/>
      <c r="N2806" s="16"/>
      <c r="O2806" s="17"/>
      <c r="Q2806" s="22"/>
      <c r="R2806" s="23"/>
    </row>
    <row r="2807" spans="1:18" ht="12.75">
      <c r="A2807" s="22"/>
      <c r="D2807" s="19"/>
      <c r="H2807" s="18"/>
      <c r="J2807" s="18"/>
      <c r="N2807" s="16"/>
      <c r="O2807" s="17"/>
      <c r="Q2807" s="22"/>
      <c r="R2807" s="23"/>
    </row>
    <row r="2808" spans="1:18" ht="12.75">
      <c r="A2808" s="22"/>
      <c r="D2808" s="19"/>
      <c r="H2808" s="18"/>
      <c r="J2808" s="18"/>
      <c r="N2808" s="16"/>
      <c r="O2808" s="17"/>
      <c r="Q2808" s="22"/>
      <c r="R2808" s="23"/>
    </row>
    <row r="2809" spans="1:18" ht="12.75">
      <c r="A2809" s="22"/>
      <c r="D2809" s="19"/>
      <c r="H2809" s="18"/>
      <c r="J2809" s="18"/>
      <c r="N2809" s="16"/>
      <c r="O2809" s="17"/>
      <c r="Q2809" s="22"/>
      <c r="R2809" s="23"/>
    </row>
    <row r="2810" spans="1:18" ht="12.75">
      <c r="A2810" s="22"/>
      <c r="D2810" s="19"/>
      <c r="H2810" s="18"/>
      <c r="J2810" s="18"/>
      <c r="N2810" s="16"/>
      <c r="O2810" s="17"/>
      <c r="Q2810" s="22"/>
      <c r="R2810" s="23"/>
    </row>
    <row r="2811" spans="1:18" ht="12.75">
      <c r="A2811" s="22"/>
      <c r="D2811" s="19"/>
      <c r="H2811" s="18"/>
      <c r="J2811" s="18"/>
      <c r="N2811" s="16"/>
      <c r="O2811" s="17"/>
      <c r="Q2811" s="22"/>
      <c r="R2811" s="23"/>
    </row>
    <row r="2812" spans="1:18" ht="12.75">
      <c r="A2812" s="22"/>
      <c r="D2812" s="19"/>
      <c r="H2812" s="18"/>
      <c r="J2812" s="18"/>
      <c r="N2812" s="16"/>
      <c r="O2812" s="17"/>
      <c r="Q2812" s="22"/>
      <c r="R2812" s="23"/>
    </row>
    <row r="2813" spans="1:18" ht="12.75">
      <c r="A2813" s="22"/>
      <c r="D2813" s="19"/>
      <c r="H2813" s="18"/>
      <c r="J2813" s="18"/>
      <c r="N2813" s="16"/>
      <c r="O2813" s="17"/>
      <c r="Q2813" s="22"/>
      <c r="R2813" s="23"/>
    </row>
    <row r="2814" spans="1:18" ht="12.75">
      <c r="A2814" s="22"/>
      <c r="D2814" s="19"/>
      <c r="H2814" s="18"/>
      <c r="J2814" s="18"/>
      <c r="N2814" s="16"/>
      <c r="O2814" s="17"/>
      <c r="Q2814" s="22"/>
      <c r="R2814" s="23"/>
    </row>
    <row r="2815" spans="1:18" ht="12.75">
      <c r="A2815" s="22"/>
      <c r="D2815" s="19"/>
      <c r="H2815" s="18"/>
      <c r="J2815" s="18"/>
      <c r="N2815" s="16"/>
      <c r="O2815" s="17"/>
      <c r="Q2815" s="22"/>
      <c r="R2815" s="23"/>
    </row>
    <row r="2816" spans="1:18" ht="12.75">
      <c r="A2816" s="22"/>
      <c r="D2816" s="19"/>
      <c r="H2816" s="18"/>
      <c r="J2816" s="18"/>
      <c r="N2816" s="16"/>
      <c r="O2816" s="17"/>
      <c r="Q2816" s="22"/>
      <c r="R2816" s="23"/>
    </row>
    <row r="2817" spans="1:18" ht="12.75">
      <c r="A2817" s="22"/>
      <c r="D2817" s="19"/>
      <c r="H2817" s="18"/>
      <c r="J2817" s="18"/>
      <c r="N2817" s="16"/>
      <c r="O2817" s="17"/>
      <c r="Q2817" s="22"/>
      <c r="R2817" s="23"/>
    </row>
    <row r="2818" spans="1:18" ht="12.75">
      <c r="A2818" s="22"/>
      <c r="D2818" s="19"/>
      <c r="H2818" s="18"/>
      <c r="J2818" s="18"/>
      <c r="N2818" s="16"/>
      <c r="O2818" s="17"/>
      <c r="Q2818" s="22"/>
      <c r="R2818" s="23"/>
    </row>
    <row r="2819" spans="1:18" ht="12.75">
      <c r="A2819" s="22"/>
      <c r="D2819" s="19"/>
      <c r="H2819" s="18"/>
      <c r="J2819" s="18"/>
      <c r="N2819" s="16"/>
      <c r="O2819" s="17"/>
      <c r="Q2819" s="22"/>
      <c r="R2819" s="23"/>
    </row>
    <row r="2820" spans="1:18" ht="12.75">
      <c r="A2820" s="22"/>
      <c r="D2820" s="19"/>
      <c r="H2820" s="18"/>
      <c r="J2820" s="18"/>
      <c r="N2820" s="16"/>
      <c r="O2820" s="17"/>
      <c r="Q2820" s="22"/>
      <c r="R2820" s="23"/>
    </row>
    <row r="2821" spans="1:18" ht="12.75">
      <c r="A2821" s="22"/>
      <c r="D2821" s="19"/>
      <c r="H2821" s="18"/>
      <c r="J2821" s="18"/>
      <c r="N2821" s="16"/>
      <c r="O2821" s="17"/>
      <c r="Q2821" s="22"/>
      <c r="R2821" s="23"/>
    </row>
    <row r="2822" spans="1:18" ht="12.75">
      <c r="A2822" s="22"/>
      <c r="D2822" s="19"/>
      <c r="H2822" s="18"/>
      <c r="J2822" s="18"/>
      <c r="N2822" s="16"/>
      <c r="O2822" s="17"/>
      <c r="Q2822" s="22"/>
      <c r="R2822" s="23"/>
    </row>
    <row r="2823" spans="1:18" ht="12.75">
      <c r="A2823" s="22"/>
      <c r="D2823" s="19"/>
      <c r="H2823" s="18"/>
      <c r="J2823" s="18"/>
      <c r="N2823" s="16"/>
      <c r="O2823" s="17"/>
      <c r="Q2823" s="22"/>
      <c r="R2823" s="23"/>
    </row>
    <row r="2824" spans="1:18" ht="12.75">
      <c r="A2824" s="22"/>
      <c r="D2824" s="19"/>
      <c r="H2824" s="18"/>
      <c r="J2824" s="18"/>
      <c r="N2824" s="16"/>
      <c r="O2824" s="17"/>
      <c r="Q2824" s="22"/>
      <c r="R2824" s="23"/>
    </row>
    <row r="2825" spans="1:18" ht="12.75">
      <c r="A2825" s="22"/>
      <c r="D2825" s="19"/>
      <c r="H2825" s="18"/>
      <c r="J2825" s="18"/>
      <c r="N2825" s="16"/>
      <c r="O2825" s="17"/>
      <c r="Q2825" s="22"/>
      <c r="R2825" s="23"/>
    </row>
    <row r="2826" spans="1:18" ht="12.75">
      <c r="A2826" s="22"/>
      <c r="D2826" s="19"/>
      <c r="H2826" s="18"/>
      <c r="J2826" s="18"/>
      <c r="N2826" s="16"/>
      <c r="O2826" s="17"/>
      <c r="Q2826" s="22"/>
      <c r="R2826" s="23"/>
    </row>
    <row r="2827" spans="1:18" ht="12.75">
      <c r="A2827" s="22"/>
      <c r="D2827" s="19"/>
      <c r="H2827" s="18"/>
      <c r="J2827" s="18"/>
      <c r="N2827" s="16"/>
      <c r="O2827" s="17"/>
      <c r="Q2827" s="22"/>
      <c r="R2827" s="23"/>
    </row>
    <row r="2828" spans="1:18" ht="12.75">
      <c r="A2828" s="22"/>
      <c r="D2828" s="19"/>
      <c r="H2828" s="18"/>
      <c r="J2828" s="18"/>
      <c r="N2828" s="16"/>
      <c r="O2828" s="17"/>
      <c r="Q2828" s="22"/>
      <c r="R2828" s="23"/>
    </row>
    <row r="2829" spans="1:18" ht="12.75">
      <c r="A2829" s="22"/>
      <c r="D2829" s="19"/>
      <c r="H2829" s="18"/>
      <c r="J2829" s="18"/>
      <c r="N2829" s="16"/>
      <c r="O2829" s="17"/>
      <c r="Q2829" s="22"/>
      <c r="R2829" s="23"/>
    </row>
    <row r="2830" spans="1:18" ht="12.75">
      <c r="A2830" s="22"/>
      <c r="D2830" s="19"/>
      <c r="H2830" s="18"/>
      <c r="J2830" s="18"/>
      <c r="N2830" s="16"/>
      <c r="O2830" s="17"/>
      <c r="Q2830" s="22"/>
      <c r="R2830" s="23"/>
    </row>
    <row r="2831" spans="1:18" ht="12.75">
      <c r="A2831" s="22"/>
      <c r="D2831" s="19"/>
      <c r="H2831" s="18"/>
      <c r="J2831" s="18"/>
      <c r="N2831" s="16"/>
      <c r="O2831" s="17"/>
      <c r="Q2831" s="22"/>
      <c r="R2831" s="23"/>
    </row>
    <row r="2832" spans="1:18" ht="12.75">
      <c r="A2832" s="22"/>
      <c r="D2832" s="19"/>
      <c r="H2832" s="18"/>
      <c r="J2832" s="18"/>
      <c r="N2832" s="16"/>
      <c r="O2832" s="17"/>
      <c r="Q2832" s="22"/>
      <c r="R2832" s="23"/>
    </row>
    <row r="2833" spans="1:18" ht="12.75">
      <c r="A2833" s="22"/>
      <c r="D2833" s="19"/>
      <c r="H2833" s="18"/>
      <c r="J2833" s="18"/>
      <c r="N2833" s="16"/>
      <c r="O2833" s="17"/>
      <c r="Q2833" s="22"/>
      <c r="R2833" s="23"/>
    </row>
    <row r="2834" spans="1:18" ht="12.75">
      <c r="A2834" s="22"/>
      <c r="D2834" s="19"/>
      <c r="H2834" s="18"/>
      <c r="J2834" s="18"/>
      <c r="N2834" s="16"/>
      <c r="O2834" s="17"/>
      <c r="Q2834" s="22"/>
      <c r="R2834" s="23"/>
    </row>
    <row r="2835" spans="1:18" ht="12.75">
      <c r="A2835" s="22"/>
      <c r="D2835" s="19"/>
      <c r="H2835" s="18"/>
      <c r="J2835" s="18"/>
      <c r="N2835" s="16"/>
      <c r="O2835" s="17"/>
      <c r="Q2835" s="22"/>
      <c r="R2835" s="23"/>
    </row>
    <row r="2836" spans="1:18" ht="12.75">
      <c r="A2836" s="22"/>
      <c r="D2836" s="19"/>
      <c r="H2836" s="18"/>
      <c r="J2836" s="18"/>
      <c r="N2836" s="16"/>
      <c r="O2836" s="17"/>
      <c r="Q2836" s="22"/>
      <c r="R2836" s="23"/>
    </row>
    <row r="2837" spans="1:18" ht="12.75">
      <c r="A2837" s="22"/>
      <c r="D2837" s="19"/>
      <c r="H2837" s="18"/>
      <c r="J2837" s="18"/>
      <c r="N2837" s="16"/>
      <c r="O2837" s="17"/>
      <c r="Q2837" s="22"/>
      <c r="R2837" s="23"/>
    </row>
    <row r="2838" spans="1:18" ht="12.75">
      <c r="A2838" s="22"/>
      <c r="D2838" s="19"/>
      <c r="H2838" s="18"/>
      <c r="J2838" s="18"/>
      <c r="N2838" s="16"/>
      <c r="O2838" s="17"/>
      <c r="Q2838" s="22"/>
      <c r="R2838" s="23"/>
    </row>
    <row r="2839" spans="1:18" ht="12.75">
      <c r="A2839" s="22"/>
      <c r="D2839" s="19"/>
      <c r="H2839" s="18"/>
      <c r="J2839" s="18"/>
      <c r="N2839" s="16"/>
      <c r="O2839" s="17"/>
      <c r="Q2839" s="22"/>
      <c r="R2839" s="23"/>
    </row>
    <row r="2840" spans="1:18" ht="12.75">
      <c r="A2840" s="22"/>
      <c r="D2840" s="19"/>
      <c r="H2840" s="18"/>
      <c r="J2840" s="18"/>
      <c r="N2840" s="16"/>
      <c r="O2840" s="17"/>
      <c r="Q2840" s="22"/>
      <c r="R2840" s="23"/>
    </row>
    <row r="2841" spans="1:18" ht="12.75">
      <c r="A2841" s="22"/>
      <c r="D2841" s="19"/>
      <c r="H2841" s="18"/>
      <c r="J2841" s="18"/>
      <c r="N2841" s="16"/>
      <c r="O2841" s="17"/>
      <c r="Q2841" s="22"/>
      <c r="R2841" s="23"/>
    </row>
    <row r="2842" spans="1:18" ht="12.75">
      <c r="A2842" s="22"/>
      <c r="D2842" s="19"/>
      <c r="H2842" s="18"/>
      <c r="J2842" s="18"/>
      <c r="N2842" s="16"/>
      <c r="O2842" s="17"/>
      <c r="Q2842" s="22"/>
      <c r="R2842" s="23"/>
    </row>
    <row r="2843" spans="1:18" ht="12.75">
      <c r="A2843" s="22"/>
      <c r="D2843" s="19"/>
      <c r="H2843" s="18"/>
      <c r="J2843" s="18"/>
      <c r="N2843" s="16"/>
      <c r="O2843" s="17"/>
      <c r="Q2843" s="22"/>
      <c r="R2843" s="23"/>
    </row>
    <row r="2844" spans="1:18" ht="12.75">
      <c r="A2844" s="22"/>
      <c r="D2844" s="19"/>
      <c r="H2844" s="18"/>
      <c r="J2844" s="18"/>
      <c r="N2844" s="16"/>
      <c r="O2844" s="17"/>
      <c r="Q2844" s="22"/>
      <c r="R2844" s="23"/>
    </row>
    <row r="2845" spans="1:18" ht="12.75">
      <c r="A2845" s="22"/>
      <c r="D2845" s="19"/>
      <c r="H2845" s="18"/>
      <c r="J2845" s="18"/>
      <c r="N2845" s="16"/>
      <c r="O2845" s="17"/>
      <c r="Q2845" s="22"/>
      <c r="R2845" s="23"/>
    </row>
    <row r="2846" spans="1:18" ht="12.75">
      <c r="A2846" s="22"/>
      <c r="D2846" s="19"/>
      <c r="H2846" s="18"/>
      <c r="J2846" s="18"/>
      <c r="N2846" s="16"/>
      <c r="O2846" s="17"/>
      <c r="Q2846" s="22"/>
      <c r="R2846" s="23"/>
    </row>
    <row r="2847" spans="1:18" ht="12.75">
      <c r="A2847" s="22"/>
      <c r="D2847" s="19"/>
      <c r="H2847" s="18"/>
      <c r="J2847" s="18"/>
      <c r="N2847" s="16"/>
      <c r="O2847" s="17"/>
      <c r="Q2847" s="22"/>
      <c r="R2847" s="23"/>
    </row>
    <row r="2848" spans="1:18" ht="12.75">
      <c r="A2848" s="22"/>
      <c r="D2848" s="19"/>
      <c r="H2848" s="18"/>
      <c r="J2848" s="18"/>
      <c r="N2848" s="16"/>
      <c r="O2848" s="17"/>
      <c r="Q2848" s="22"/>
      <c r="R2848" s="23"/>
    </row>
    <row r="2849" spans="1:18" ht="12.75">
      <c r="A2849" s="22"/>
      <c r="D2849" s="19"/>
      <c r="H2849" s="18"/>
      <c r="J2849" s="18"/>
      <c r="N2849" s="16"/>
      <c r="O2849" s="17"/>
      <c r="Q2849" s="22"/>
      <c r="R2849" s="23"/>
    </row>
    <row r="2850" spans="1:18" ht="12.75">
      <c r="A2850" s="22"/>
      <c r="D2850" s="19"/>
      <c r="H2850" s="18"/>
      <c r="J2850" s="18"/>
      <c r="N2850" s="16"/>
      <c r="O2850" s="17"/>
      <c r="Q2850" s="22"/>
      <c r="R2850" s="23"/>
    </row>
    <row r="2851" spans="1:18" ht="12.75">
      <c r="A2851" s="22"/>
      <c r="D2851" s="19"/>
      <c r="H2851" s="18"/>
      <c r="J2851" s="18"/>
      <c r="N2851" s="16"/>
      <c r="O2851" s="17"/>
      <c r="Q2851" s="22"/>
      <c r="R2851" s="23"/>
    </row>
    <row r="2852" spans="1:18" ht="12.75">
      <c r="A2852" s="22"/>
      <c r="D2852" s="19"/>
      <c r="H2852" s="18"/>
      <c r="J2852" s="18"/>
      <c r="N2852" s="16"/>
      <c r="O2852" s="17"/>
      <c r="Q2852" s="22"/>
      <c r="R2852" s="23"/>
    </row>
    <row r="2853" spans="1:18" ht="12.75">
      <c r="A2853" s="22"/>
      <c r="D2853" s="19"/>
      <c r="H2853" s="18"/>
      <c r="J2853" s="18"/>
      <c r="N2853" s="16"/>
      <c r="O2853" s="17"/>
      <c r="Q2853" s="22"/>
      <c r="R2853" s="23"/>
    </row>
    <row r="2854" spans="1:18" ht="12.75">
      <c r="A2854" s="22"/>
      <c r="D2854" s="19"/>
      <c r="H2854" s="18"/>
      <c r="J2854" s="18"/>
      <c r="N2854" s="16"/>
      <c r="O2854" s="17"/>
      <c r="Q2854" s="22"/>
      <c r="R2854" s="23"/>
    </row>
    <row r="2855" spans="1:18" ht="12.75">
      <c r="A2855" s="22"/>
      <c r="D2855" s="19"/>
      <c r="H2855" s="18"/>
      <c r="J2855" s="18"/>
      <c r="N2855" s="16"/>
      <c r="O2855" s="17"/>
      <c r="Q2855" s="22"/>
      <c r="R2855" s="23"/>
    </row>
    <row r="2856" spans="1:18" ht="12.75">
      <c r="A2856" s="22"/>
      <c r="D2856" s="19"/>
      <c r="H2856" s="18"/>
      <c r="J2856" s="18"/>
      <c r="N2856" s="16"/>
      <c r="O2856" s="17"/>
      <c r="Q2856" s="22"/>
      <c r="R2856" s="23"/>
    </row>
    <row r="2857" spans="1:18" ht="12.75">
      <c r="A2857" s="22"/>
      <c r="D2857" s="19"/>
      <c r="H2857" s="18"/>
      <c r="J2857" s="18"/>
      <c r="N2857" s="16"/>
      <c r="O2857" s="17"/>
      <c r="Q2857" s="22"/>
      <c r="R2857" s="23"/>
    </row>
    <row r="2858" spans="1:18" ht="12.75">
      <c r="A2858" s="22"/>
      <c r="D2858" s="19"/>
      <c r="H2858" s="18"/>
      <c r="J2858" s="18"/>
      <c r="N2858" s="16"/>
      <c r="O2858" s="17"/>
      <c r="Q2858" s="22"/>
      <c r="R2858" s="23"/>
    </row>
    <row r="2859" spans="1:18" ht="12.75">
      <c r="A2859" s="22"/>
      <c r="D2859" s="19"/>
      <c r="H2859" s="18"/>
      <c r="J2859" s="18"/>
      <c r="N2859" s="16"/>
      <c r="O2859" s="17"/>
      <c r="Q2859" s="22"/>
      <c r="R2859" s="23"/>
    </row>
    <row r="2860" spans="1:18" ht="12.75">
      <c r="A2860" s="22"/>
      <c r="D2860" s="19"/>
      <c r="H2860" s="18"/>
      <c r="J2860" s="18"/>
      <c r="N2860" s="16"/>
      <c r="O2860" s="17"/>
      <c r="Q2860" s="22"/>
      <c r="R2860" s="23"/>
    </row>
    <row r="2861" spans="1:18" ht="12.75">
      <c r="A2861" s="22"/>
      <c r="D2861" s="19"/>
      <c r="H2861" s="18"/>
      <c r="J2861" s="18"/>
      <c r="N2861" s="16"/>
      <c r="O2861" s="17"/>
      <c r="Q2861" s="22"/>
      <c r="R2861" s="23"/>
    </row>
    <row r="2862" spans="1:18" ht="12.75">
      <c r="A2862" s="22"/>
      <c r="D2862" s="19"/>
      <c r="H2862" s="18"/>
      <c r="J2862" s="18"/>
      <c r="N2862" s="16"/>
      <c r="O2862" s="17"/>
      <c r="Q2862" s="22"/>
      <c r="R2862" s="23"/>
    </row>
    <row r="2863" spans="1:18" ht="12.75">
      <c r="A2863" s="22"/>
      <c r="D2863" s="19"/>
      <c r="H2863" s="18"/>
      <c r="J2863" s="18"/>
      <c r="N2863" s="16"/>
      <c r="O2863" s="17"/>
      <c r="Q2863" s="22"/>
      <c r="R2863" s="23"/>
    </row>
    <row r="2864" spans="1:18" ht="12.75">
      <c r="A2864" s="22"/>
      <c r="D2864" s="19"/>
      <c r="H2864" s="18"/>
      <c r="J2864" s="18"/>
      <c r="N2864" s="16"/>
      <c r="O2864" s="17"/>
      <c r="Q2864" s="22"/>
      <c r="R2864" s="23"/>
    </row>
    <row r="2865" spans="1:18" ht="12.75">
      <c r="A2865" s="22"/>
      <c r="D2865" s="19"/>
      <c r="H2865" s="18"/>
      <c r="J2865" s="18"/>
      <c r="N2865" s="16"/>
      <c r="O2865" s="17"/>
      <c r="Q2865" s="22"/>
      <c r="R2865" s="23"/>
    </row>
    <row r="2866" spans="1:18" ht="12.75">
      <c r="A2866" s="22"/>
      <c r="D2866" s="19"/>
      <c r="H2866" s="18"/>
      <c r="J2866" s="18"/>
      <c r="N2866" s="16"/>
      <c r="O2866" s="17"/>
      <c r="Q2866" s="22"/>
      <c r="R2866" s="23"/>
    </row>
    <row r="2867" spans="1:18" ht="12.75">
      <c r="A2867" s="22"/>
      <c r="D2867" s="19"/>
      <c r="H2867" s="18"/>
      <c r="J2867" s="18"/>
      <c r="N2867" s="16"/>
      <c r="O2867" s="17"/>
      <c r="Q2867" s="22"/>
      <c r="R2867" s="23"/>
    </row>
    <row r="2868" spans="1:18" ht="12.75">
      <c r="A2868" s="22"/>
      <c r="D2868" s="19"/>
      <c r="H2868" s="18"/>
      <c r="J2868" s="18"/>
      <c r="N2868" s="16"/>
      <c r="O2868" s="17"/>
      <c r="Q2868" s="22"/>
      <c r="R2868" s="23"/>
    </row>
    <row r="2869" spans="1:18" ht="12.75">
      <c r="A2869" s="22"/>
      <c r="D2869" s="19"/>
      <c r="H2869" s="18"/>
      <c r="J2869" s="18"/>
      <c r="N2869" s="16"/>
      <c r="O2869" s="17"/>
      <c r="Q2869" s="22"/>
      <c r="R2869" s="23"/>
    </row>
    <row r="2870" spans="1:18" ht="12.75">
      <c r="A2870" s="22"/>
      <c r="D2870" s="19"/>
      <c r="H2870" s="18"/>
      <c r="J2870" s="18"/>
      <c r="N2870" s="16"/>
      <c r="O2870" s="17"/>
      <c r="Q2870" s="22"/>
      <c r="R2870" s="23"/>
    </row>
    <row r="2871" spans="1:18" ht="12.75">
      <c r="A2871" s="22"/>
      <c r="D2871" s="19"/>
      <c r="H2871" s="18"/>
      <c r="J2871" s="18"/>
      <c r="N2871" s="16"/>
      <c r="O2871" s="17"/>
      <c r="Q2871" s="22"/>
      <c r="R2871" s="23"/>
    </row>
    <row r="2872" spans="1:18" ht="12.75">
      <c r="A2872" s="22"/>
      <c r="D2872" s="19"/>
      <c r="H2872" s="18"/>
      <c r="J2872" s="18"/>
      <c r="N2872" s="16"/>
      <c r="O2872" s="17"/>
      <c r="Q2872" s="22"/>
      <c r="R2872" s="23"/>
    </row>
    <row r="2873" spans="1:18" ht="12.75">
      <c r="A2873" s="22"/>
      <c r="D2873" s="19"/>
      <c r="H2873" s="18"/>
      <c r="J2873" s="18"/>
      <c r="N2873" s="16"/>
      <c r="O2873" s="17"/>
      <c r="Q2873" s="22"/>
      <c r="R2873" s="23"/>
    </row>
    <row r="2874" spans="1:18" ht="12.75">
      <c r="A2874" s="22"/>
      <c r="D2874" s="19"/>
      <c r="H2874" s="18"/>
      <c r="J2874" s="18"/>
      <c r="N2874" s="16"/>
      <c r="O2874" s="17"/>
      <c r="Q2874" s="22"/>
      <c r="R2874" s="23"/>
    </row>
    <row r="2875" spans="1:18" ht="12.75">
      <c r="A2875" s="22"/>
      <c r="D2875" s="19"/>
      <c r="H2875" s="18"/>
      <c r="J2875" s="18"/>
      <c r="N2875" s="16"/>
      <c r="O2875" s="17"/>
      <c r="Q2875" s="22"/>
      <c r="R2875" s="23"/>
    </row>
    <row r="2876" spans="1:18" ht="12.75">
      <c r="A2876" s="22"/>
      <c r="D2876" s="19"/>
      <c r="H2876" s="18"/>
      <c r="J2876" s="18"/>
      <c r="N2876" s="16"/>
      <c r="O2876" s="17"/>
      <c r="Q2876" s="22"/>
      <c r="R2876" s="23"/>
    </row>
    <row r="2877" spans="1:18" ht="12.75">
      <c r="A2877" s="22"/>
      <c r="D2877" s="19"/>
      <c r="H2877" s="18"/>
      <c r="J2877" s="18"/>
      <c r="N2877" s="16"/>
      <c r="O2877" s="17"/>
      <c r="Q2877" s="22"/>
      <c r="R2877" s="23"/>
    </row>
    <row r="2878" spans="1:18" ht="12.75">
      <c r="A2878" s="22"/>
      <c r="D2878" s="19"/>
      <c r="H2878" s="18"/>
      <c r="J2878" s="18"/>
      <c r="N2878" s="16"/>
      <c r="O2878" s="17"/>
      <c r="Q2878" s="22"/>
      <c r="R2878" s="23"/>
    </row>
    <row r="2879" spans="1:18" ht="12.75">
      <c r="A2879" s="22"/>
      <c r="D2879" s="19"/>
      <c r="H2879" s="18"/>
      <c r="J2879" s="18"/>
      <c r="N2879" s="16"/>
      <c r="O2879" s="17"/>
      <c r="Q2879" s="22"/>
      <c r="R2879" s="23"/>
    </row>
    <row r="2880" spans="1:18" ht="12.75">
      <c r="A2880" s="22"/>
      <c r="D2880" s="19"/>
      <c r="H2880" s="18"/>
      <c r="J2880" s="18"/>
      <c r="N2880" s="16"/>
      <c r="O2880" s="17"/>
      <c r="Q2880" s="22"/>
      <c r="R2880" s="23"/>
    </row>
    <row r="2881" spans="1:18" ht="12.75">
      <c r="A2881" s="22"/>
      <c r="D2881" s="19"/>
      <c r="H2881" s="18"/>
      <c r="J2881" s="18"/>
      <c r="N2881" s="16"/>
      <c r="O2881" s="17"/>
      <c r="Q2881" s="22"/>
      <c r="R2881" s="23"/>
    </row>
    <row r="2882" spans="1:18" ht="12.75">
      <c r="A2882" s="22"/>
      <c r="D2882" s="19"/>
      <c r="H2882" s="18"/>
      <c r="J2882" s="18"/>
      <c r="N2882" s="16"/>
      <c r="O2882" s="17"/>
      <c r="Q2882" s="22"/>
      <c r="R2882" s="23"/>
    </row>
    <row r="2883" spans="1:18" ht="12.75">
      <c r="A2883" s="22"/>
      <c r="D2883" s="19"/>
      <c r="H2883" s="18"/>
      <c r="J2883" s="18"/>
      <c r="N2883" s="16"/>
      <c r="O2883" s="17"/>
      <c r="Q2883" s="22"/>
      <c r="R2883" s="23"/>
    </row>
    <row r="2884" spans="1:18" ht="12.75">
      <c r="A2884" s="22"/>
      <c r="D2884" s="19"/>
      <c r="H2884" s="18"/>
      <c r="J2884" s="18"/>
      <c r="N2884" s="16"/>
      <c r="O2884" s="17"/>
      <c r="Q2884" s="22"/>
      <c r="R2884" s="23"/>
    </row>
    <row r="2885" spans="1:18" ht="12.75">
      <c r="A2885" s="22"/>
      <c r="D2885" s="19"/>
      <c r="H2885" s="18"/>
      <c r="J2885" s="18"/>
      <c r="N2885" s="16"/>
      <c r="O2885" s="17"/>
      <c r="Q2885" s="22"/>
      <c r="R2885" s="23"/>
    </row>
    <row r="2886" spans="1:18" ht="12.75">
      <c r="A2886" s="22"/>
      <c r="D2886" s="19"/>
      <c r="H2886" s="18"/>
      <c r="J2886" s="18"/>
      <c r="N2886" s="16"/>
      <c r="O2886" s="17"/>
      <c r="Q2886" s="22"/>
      <c r="R2886" s="23"/>
    </row>
    <row r="2887" spans="1:18" ht="12.75">
      <c r="A2887" s="22"/>
      <c r="D2887" s="19"/>
      <c r="H2887" s="18"/>
      <c r="J2887" s="18"/>
      <c r="N2887" s="16"/>
      <c r="O2887" s="17"/>
      <c r="Q2887" s="22"/>
      <c r="R2887" s="23"/>
    </row>
    <row r="2888" spans="1:18" ht="12.75">
      <c r="A2888" s="22"/>
      <c r="D2888" s="19"/>
      <c r="H2888" s="18"/>
      <c r="J2888" s="18"/>
      <c r="N2888" s="16"/>
      <c r="O2888" s="17"/>
      <c r="Q2888" s="22"/>
      <c r="R2888" s="23"/>
    </row>
    <row r="2889" spans="1:18" ht="12.75">
      <c r="A2889" s="22"/>
      <c r="D2889" s="19"/>
      <c r="H2889" s="18"/>
      <c r="J2889" s="18"/>
      <c r="N2889" s="16"/>
      <c r="O2889" s="17"/>
      <c r="Q2889" s="22"/>
      <c r="R2889" s="23"/>
    </row>
    <row r="2890" spans="1:18" ht="12.75">
      <c r="A2890" s="22"/>
      <c r="D2890" s="19"/>
      <c r="H2890" s="18"/>
      <c r="J2890" s="18"/>
      <c r="N2890" s="16"/>
      <c r="O2890" s="17"/>
      <c r="Q2890" s="22"/>
      <c r="R2890" s="23"/>
    </row>
    <row r="2891" spans="1:18" ht="12.75">
      <c r="A2891" s="22"/>
      <c r="D2891" s="19"/>
      <c r="H2891" s="18"/>
      <c r="J2891" s="18"/>
      <c r="N2891" s="16"/>
      <c r="O2891" s="17"/>
      <c r="Q2891" s="22"/>
      <c r="R2891" s="23"/>
    </row>
    <row r="2892" spans="1:18" ht="12.75">
      <c r="A2892" s="22"/>
      <c r="D2892" s="19"/>
      <c r="H2892" s="18"/>
      <c r="J2892" s="18"/>
      <c r="N2892" s="16"/>
      <c r="O2892" s="17"/>
      <c r="Q2892" s="22"/>
      <c r="R2892" s="23"/>
    </row>
    <row r="2893" spans="1:18" ht="12.75">
      <c r="A2893" s="22"/>
      <c r="D2893" s="19"/>
      <c r="H2893" s="18"/>
      <c r="J2893" s="18"/>
      <c r="N2893" s="16"/>
      <c r="O2893" s="17"/>
      <c r="Q2893" s="22"/>
      <c r="R2893" s="23"/>
    </row>
    <row r="2894" spans="1:18" ht="12.75">
      <c r="A2894" s="22"/>
      <c r="D2894" s="19"/>
      <c r="H2894" s="18"/>
      <c r="J2894" s="18"/>
      <c r="N2894" s="16"/>
      <c r="O2894" s="17"/>
      <c r="Q2894" s="22"/>
      <c r="R2894" s="23"/>
    </row>
    <row r="2895" spans="1:18" ht="12.75">
      <c r="A2895" s="22"/>
      <c r="D2895" s="19"/>
      <c r="H2895" s="18"/>
      <c r="J2895" s="18"/>
      <c r="N2895" s="16"/>
      <c r="O2895" s="17"/>
      <c r="Q2895" s="22"/>
      <c r="R2895" s="23"/>
    </row>
    <row r="2896" spans="1:18" ht="12.75">
      <c r="A2896" s="22"/>
      <c r="D2896" s="19"/>
      <c r="H2896" s="18"/>
      <c r="J2896" s="18"/>
      <c r="N2896" s="16"/>
      <c r="O2896" s="17"/>
      <c r="Q2896" s="22"/>
      <c r="R2896" s="23"/>
    </row>
    <row r="2897" spans="1:18" ht="12.75">
      <c r="A2897" s="22"/>
      <c r="D2897" s="19"/>
      <c r="H2897" s="18"/>
      <c r="J2897" s="18"/>
      <c r="N2897" s="16"/>
      <c r="O2897" s="17"/>
      <c r="Q2897" s="22"/>
      <c r="R2897" s="23"/>
    </row>
    <row r="2898" spans="1:18" ht="12.75">
      <c r="A2898" s="22"/>
      <c r="D2898" s="19"/>
      <c r="H2898" s="18"/>
      <c r="J2898" s="18"/>
      <c r="N2898" s="16"/>
      <c r="O2898" s="17"/>
      <c r="Q2898" s="22"/>
      <c r="R2898" s="23"/>
    </row>
    <row r="2899" spans="1:18" ht="12.75">
      <c r="A2899" s="22"/>
      <c r="D2899" s="19"/>
      <c r="H2899" s="18"/>
      <c r="J2899" s="18"/>
      <c r="N2899" s="16"/>
      <c r="O2899" s="17"/>
      <c r="Q2899" s="22"/>
      <c r="R2899" s="23"/>
    </row>
    <row r="2900" spans="1:18" ht="12.75">
      <c r="A2900" s="22"/>
      <c r="D2900" s="19"/>
      <c r="H2900" s="18"/>
      <c r="J2900" s="18"/>
      <c r="N2900" s="16"/>
      <c r="O2900" s="17"/>
      <c r="Q2900" s="22"/>
      <c r="R2900" s="23"/>
    </row>
    <row r="2901" spans="1:18" ht="12.75">
      <c r="A2901" s="22"/>
      <c r="D2901" s="19"/>
      <c r="H2901" s="18"/>
      <c r="J2901" s="18"/>
      <c r="N2901" s="16"/>
      <c r="O2901" s="17"/>
      <c r="Q2901" s="22"/>
      <c r="R2901" s="23"/>
    </row>
    <row r="2902" spans="1:18" ht="12.75">
      <c r="A2902" s="22"/>
      <c r="D2902" s="19"/>
      <c r="H2902" s="18"/>
      <c r="J2902" s="18"/>
      <c r="N2902" s="16"/>
      <c r="O2902" s="17"/>
      <c r="Q2902" s="22"/>
      <c r="R2902" s="23"/>
    </row>
    <row r="2903" spans="1:18" ht="12.75">
      <c r="A2903" s="22"/>
      <c r="D2903" s="19"/>
      <c r="H2903" s="18"/>
      <c r="J2903" s="18"/>
      <c r="N2903" s="16"/>
      <c r="O2903" s="17"/>
      <c r="Q2903" s="22"/>
      <c r="R2903" s="23"/>
    </row>
    <row r="2904" spans="1:18" ht="12.75">
      <c r="A2904" s="22"/>
      <c r="D2904" s="19"/>
      <c r="H2904" s="18"/>
      <c r="J2904" s="18"/>
      <c r="N2904" s="16"/>
      <c r="O2904" s="17"/>
      <c r="Q2904" s="22"/>
      <c r="R2904" s="23"/>
    </row>
    <row r="2905" spans="1:18" ht="12.75">
      <c r="A2905" s="22"/>
      <c r="D2905" s="19"/>
      <c r="H2905" s="18"/>
      <c r="J2905" s="18"/>
      <c r="N2905" s="16"/>
      <c r="O2905" s="17"/>
      <c r="Q2905" s="22"/>
      <c r="R2905" s="23"/>
    </row>
    <row r="2906" spans="1:18" ht="12.75">
      <c r="A2906" s="22"/>
      <c r="D2906" s="19"/>
      <c r="H2906" s="18"/>
      <c r="J2906" s="18"/>
      <c r="N2906" s="16"/>
      <c r="O2906" s="17"/>
      <c r="Q2906" s="22"/>
      <c r="R2906" s="23"/>
    </row>
    <row r="2907" spans="1:18" ht="12.75">
      <c r="A2907" s="22"/>
      <c r="D2907" s="19"/>
      <c r="H2907" s="18"/>
      <c r="J2907" s="18"/>
      <c r="N2907" s="16"/>
      <c r="O2907" s="17"/>
      <c r="Q2907" s="22"/>
      <c r="R2907" s="23"/>
    </row>
    <row r="2908" spans="1:18" ht="12.75">
      <c r="A2908" s="22"/>
      <c r="D2908" s="19"/>
      <c r="H2908" s="18"/>
      <c r="J2908" s="18"/>
      <c r="N2908" s="16"/>
      <c r="O2908" s="17"/>
      <c r="Q2908" s="22"/>
      <c r="R2908" s="23"/>
    </row>
    <row r="2909" spans="1:18" ht="12.75">
      <c r="A2909" s="22"/>
      <c r="D2909" s="19"/>
      <c r="H2909" s="18"/>
      <c r="J2909" s="18"/>
      <c r="N2909" s="16"/>
      <c r="O2909" s="17"/>
      <c r="Q2909" s="22"/>
      <c r="R2909" s="23"/>
    </row>
    <row r="2910" spans="1:18" ht="12.75">
      <c r="A2910" s="22"/>
      <c r="D2910" s="19"/>
      <c r="H2910" s="18"/>
      <c r="J2910" s="18"/>
      <c r="N2910" s="16"/>
      <c r="O2910" s="17"/>
      <c r="Q2910" s="22"/>
      <c r="R2910" s="23"/>
    </row>
    <row r="2911" spans="1:18" ht="12.75">
      <c r="A2911" s="22"/>
      <c r="D2911" s="19"/>
      <c r="H2911" s="18"/>
      <c r="J2911" s="18"/>
      <c r="N2911" s="16"/>
      <c r="O2911" s="17"/>
      <c r="Q2911" s="22"/>
      <c r="R2911" s="23"/>
    </row>
    <row r="2912" spans="1:18" ht="12.75">
      <c r="A2912" s="22"/>
      <c r="D2912" s="19"/>
      <c r="H2912" s="18"/>
      <c r="J2912" s="18"/>
      <c r="N2912" s="16"/>
      <c r="O2912" s="17"/>
      <c r="Q2912" s="22"/>
      <c r="R2912" s="23"/>
    </row>
    <row r="2913" spans="1:18" ht="12.75">
      <c r="A2913" s="22"/>
      <c r="D2913" s="19"/>
      <c r="H2913" s="18"/>
      <c r="J2913" s="18"/>
      <c r="N2913" s="16"/>
      <c r="O2913" s="17"/>
      <c r="Q2913" s="22"/>
      <c r="R2913" s="23"/>
    </row>
    <row r="2914" spans="1:18" ht="12.75">
      <c r="A2914" s="22"/>
      <c r="D2914" s="19"/>
      <c r="H2914" s="18"/>
      <c r="J2914" s="18"/>
      <c r="N2914" s="16"/>
      <c r="O2914" s="17"/>
      <c r="Q2914" s="22"/>
      <c r="R2914" s="23"/>
    </row>
    <row r="2915" spans="1:18" ht="12.75">
      <c r="A2915" s="22"/>
      <c r="D2915" s="19"/>
      <c r="H2915" s="18"/>
      <c r="J2915" s="18"/>
      <c r="N2915" s="16"/>
      <c r="O2915" s="17"/>
      <c r="Q2915" s="22"/>
      <c r="R2915" s="23"/>
    </row>
    <row r="2916" spans="1:18" ht="12.75">
      <c r="A2916" s="22"/>
      <c r="D2916" s="19"/>
      <c r="H2916" s="18"/>
      <c r="J2916" s="18"/>
      <c r="N2916" s="16"/>
      <c r="O2916" s="17"/>
      <c r="Q2916" s="22"/>
      <c r="R2916" s="23"/>
    </row>
    <row r="2917" spans="1:18" ht="12.75">
      <c r="A2917" s="22"/>
      <c r="D2917" s="19"/>
      <c r="H2917" s="18"/>
      <c r="J2917" s="18"/>
      <c r="N2917" s="16"/>
      <c r="O2917" s="17"/>
      <c r="Q2917" s="22"/>
      <c r="R2917" s="23"/>
    </row>
    <row r="2918" spans="1:18" ht="12.75">
      <c r="A2918" s="22"/>
      <c r="D2918" s="19"/>
      <c r="H2918" s="18"/>
      <c r="J2918" s="18"/>
      <c r="N2918" s="16"/>
      <c r="O2918" s="17"/>
      <c r="Q2918" s="22"/>
      <c r="R2918" s="23"/>
    </row>
    <row r="2919" spans="1:18" ht="12.75">
      <c r="A2919" s="22"/>
      <c r="D2919" s="19"/>
      <c r="H2919" s="18"/>
      <c r="J2919" s="18"/>
      <c r="N2919" s="16"/>
      <c r="O2919" s="17"/>
      <c r="Q2919" s="22"/>
      <c r="R2919" s="23"/>
    </row>
    <row r="2920" spans="1:18" ht="12.75">
      <c r="A2920" s="22"/>
      <c r="D2920" s="19"/>
      <c r="H2920" s="18"/>
      <c r="J2920" s="18"/>
      <c r="N2920" s="16"/>
      <c r="O2920" s="17"/>
      <c r="Q2920" s="22"/>
      <c r="R2920" s="23"/>
    </row>
    <row r="2921" spans="1:18" ht="12.75">
      <c r="A2921" s="22"/>
      <c r="D2921" s="19"/>
      <c r="H2921" s="18"/>
      <c r="J2921" s="18"/>
      <c r="N2921" s="16"/>
      <c r="O2921" s="17"/>
      <c r="Q2921" s="22"/>
      <c r="R2921" s="23"/>
    </row>
    <row r="2922" spans="1:18" ht="12.75">
      <c r="A2922" s="22"/>
      <c r="D2922" s="19"/>
      <c r="H2922" s="18"/>
      <c r="J2922" s="18"/>
      <c r="N2922" s="16"/>
      <c r="O2922" s="17"/>
      <c r="Q2922" s="22"/>
      <c r="R2922" s="23"/>
    </row>
    <row r="2923" spans="1:18" ht="12.75">
      <c r="A2923" s="22"/>
      <c r="D2923" s="19"/>
      <c r="H2923" s="18"/>
      <c r="J2923" s="18"/>
      <c r="N2923" s="16"/>
      <c r="O2923" s="17"/>
      <c r="Q2923" s="22"/>
      <c r="R2923" s="23"/>
    </row>
    <row r="2924" spans="1:18" ht="12.75">
      <c r="A2924" s="22"/>
      <c r="D2924" s="19"/>
      <c r="H2924" s="18"/>
      <c r="J2924" s="18"/>
      <c r="N2924" s="16"/>
      <c r="O2924" s="17"/>
      <c r="Q2924" s="22"/>
      <c r="R2924" s="23"/>
    </row>
    <row r="2925" spans="1:18" ht="12.75">
      <c r="A2925" s="22"/>
      <c r="D2925" s="19"/>
      <c r="H2925" s="18"/>
      <c r="J2925" s="18"/>
      <c r="N2925" s="16"/>
      <c r="O2925" s="17"/>
      <c r="Q2925" s="22"/>
      <c r="R2925" s="23"/>
    </row>
    <row r="2926" spans="1:18" ht="12.75">
      <c r="A2926" s="22"/>
      <c r="D2926" s="19"/>
      <c r="H2926" s="18"/>
      <c r="J2926" s="18"/>
      <c r="N2926" s="16"/>
      <c r="O2926" s="17"/>
      <c r="Q2926" s="22"/>
      <c r="R2926" s="23"/>
    </row>
    <row r="2927" spans="1:18" ht="12.75">
      <c r="A2927" s="22"/>
      <c r="D2927" s="19"/>
      <c r="H2927" s="18"/>
      <c r="J2927" s="18"/>
      <c r="N2927" s="16"/>
      <c r="O2927" s="17"/>
      <c r="Q2927" s="22"/>
      <c r="R2927" s="23"/>
    </row>
    <row r="2928" spans="1:18" ht="12.75">
      <c r="A2928" s="22"/>
      <c r="D2928" s="19"/>
      <c r="H2928" s="18"/>
      <c r="J2928" s="18"/>
      <c r="N2928" s="16"/>
      <c r="O2928" s="17"/>
      <c r="Q2928" s="22"/>
      <c r="R2928" s="23"/>
    </row>
    <row r="2929" spans="1:18" ht="12.75">
      <c r="A2929" s="22"/>
      <c r="D2929" s="19"/>
      <c r="H2929" s="18"/>
      <c r="J2929" s="18"/>
      <c r="N2929" s="16"/>
      <c r="O2929" s="17"/>
      <c r="Q2929" s="22"/>
      <c r="R2929" s="23"/>
    </row>
    <row r="2930" spans="1:18" ht="12.75">
      <c r="A2930" s="22"/>
      <c r="D2930" s="19"/>
      <c r="H2930" s="18"/>
      <c r="J2930" s="18"/>
      <c r="N2930" s="16"/>
      <c r="O2930" s="17"/>
      <c r="Q2930" s="22"/>
      <c r="R2930" s="23"/>
    </row>
    <row r="2931" spans="1:18" ht="12.75">
      <c r="A2931" s="22"/>
      <c r="D2931" s="19"/>
      <c r="H2931" s="18"/>
      <c r="J2931" s="18"/>
      <c r="N2931" s="16"/>
      <c r="O2931" s="17"/>
      <c r="Q2931" s="22"/>
      <c r="R2931" s="23"/>
    </row>
    <row r="2932" spans="1:18" ht="12.75">
      <c r="A2932" s="22"/>
      <c r="D2932" s="19"/>
      <c r="H2932" s="18"/>
      <c r="J2932" s="18"/>
      <c r="N2932" s="16"/>
      <c r="O2932" s="17"/>
      <c r="Q2932" s="22"/>
      <c r="R2932" s="23"/>
    </row>
    <row r="2933" spans="1:18" ht="12.75">
      <c r="A2933" s="22"/>
      <c r="D2933" s="19"/>
      <c r="H2933" s="18"/>
      <c r="J2933" s="18"/>
      <c r="N2933" s="16"/>
      <c r="O2933" s="17"/>
      <c r="Q2933" s="22"/>
      <c r="R2933" s="23"/>
    </row>
    <row r="2934" spans="1:18" ht="12.75">
      <c r="A2934" s="22"/>
      <c r="D2934" s="19"/>
      <c r="H2934" s="18"/>
      <c r="J2934" s="18"/>
      <c r="N2934" s="16"/>
      <c r="O2934" s="17"/>
      <c r="Q2934" s="22"/>
      <c r="R2934" s="23"/>
    </row>
    <row r="2935" spans="1:18" ht="12.75">
      <c r="A2935" s="22"/>
      <c r="D2935" s="19"/>
      <c r="H2935" s="18"/>
      <c r="J2935" s="18"/>
      <c r="N2935" s="16"/>
      <c r="O2935" s="17"/>
      <c r="Q2935" s="22"/>
      <c r="R2935" s="23"/>
    </row>
    <row r="2936" spans="1:18" ht="12.75">
      <c r="A2936" s="22"/>
      <c r="D2936" s="19"/>
      <c r="H2936" s="18"/>
      <c r="J2936" s="18"/>
      <c r="N2936" s="16"/>
      <c r="O2936" s="17"/>
      <c r="Q2936" s="22"/>
      <c r="R2936" s="23"/>
    </row>
    <row r="2937" spans="1:18" ht="12.75">
      <c r="A2937" s="22"/>
      <c r="D2937" s="19"/>
      <c r="H2937" s="18"/>
      <c r="J2937" s="18"/>
      <c r="N2937" s="16"/>
      <c r="O2937" s="17"/>
      <c r="Q2937" s="22"/>
      <c r="R2937" s="23"/>
    </row>
    <row r="2938" spans="1:18" ht="12.75">
      <c r="A2938" s="22"/>
      <c r="D2938" s="19"/>
      <c r="H2938" s="18"/>
      <c r="J2938" s="18"/>
      <c r="N2938" s="16"/>
      <c r="O2938" s="17"/>
      <c r="Q2938" s="22"/>
      <c r="R2938" s="23"/>
    </row>
    <row r="2939" spans="1:18" ht="12.75">
      <c r="A2939" s="22"/>
      <c r="D2939" s="19"/>
      <c r="H2939" s="18"/>
      <c r="J2939" s="18"/>
      <c r="N2939" s="16"/>
      <c r="O2939" s="17"/>
      <c r="Q2939" s="22"/>
      <c r="R2939" s="23"/>
    </row>
    <row r="2940" spans="1:18" ht="12.75">
      <c r="A2940" s="22"/>
      <c r="D2940" s="19"/>
      <c r="H2940" s="18"/>
      <c r="J2940" s="18"/>
      <c r="N2940" s="16"/>
      <c r="O2940" s="17"/>
      <c r="Q2940" s="22"/>
      <c r="R2940" s="23"/>
    </row>
    <row r="2941" spans="1:18" ht="12.75">
      <c r="A2941" s="22"/>
      <c r="D2941" s="19"/>
      <c r="H2941" s="18"/>
      <c r="J2941" s="18"/>
      <c r="N2941" s="16"/>
      <c r="O2941" s="17"/>
      <c r="Q2941" s="22"/>
      <c r="R2941" s="23"/>
    </row>
    <row r="2942" spans="1:18" ht="12.75">
      <c r="A2942" s="22"/>
      <c r="D2942" s="19"/>
      <c r="H2942" s="18"/>
      <c r="J2942" s="18"/>
      <c r="N2942" s="16"/>
      <c r="O2942" s="17"/>
      <c r="Q2942" s="22"/>
      <c r="R2942" s="23"/>
    </row>
    <row r="2943" spans="1:18" ht="12.75">
      <c r="A2943" s="22"/>
      <c r="D2943" s="19"/>
      <c r="H2943" s="18"/>
      <c r="J2943" s="18"/>
      <c r="N2943" s="16"/>
      <c r="O2943" s="17"/>
      <c r="Q2943" s="22"/>
      <c r="R2943" s="23"/>
    </row>
    <row r="2944" spans="1:18" ht="12.75">
      <c r="A2944" s="22"/>
      <c r="D2944" s="19"/>
      <c r="H2944" s="18"/>
      <c r="J2944" s="18"/>
      <c r="N2944" s="16"/>
      <c r="O2944" s="17"/>
      <c r="Q2944" s="22"/>
      <c r="R2944" s="23"/>
    </row>
    <row r="2945" spans="1:18" ht="12.75">
      <c r="A2945" s="22"/>
      <c r="D2945" s="19"/>
      <c r="H2945" s="18"/>
      <c r="J2945" s="18"/>
      <c r="N2945" s="16"/>
      <c r="O2945" s="17"/>
      <c r="Q2945" s="22"/>
      <c r="R2945" s="23"/>
    </row>
    <row r="2946" spans="1:18" ht="12.75">
      <c r="A2946" s="22"/>
      <c r="D2946" s="19"/>
      <c r="H2946" s="18"/>
      <c r="J2946" s="18"/>
      <c r="N2946" s="16"/>
      <c r="O2946" s="17"/>
      <c r="Q2946" s="22"/>
      <c r="R2946" s="23"/>
    </row>
    <row r="2947" spans="1:18" ht="12.75">
      <c r="A2947" s="22"/>
      <c r="D2947" s="19"/>
      <c r="H2947" s="18"/>
      <c r="J2947" s="18"/>
      <c r="N2947" s="16"/>
      <c r="O2947" s="17"/>
      <c r="Q2947" s="22"/>
      <c r="R2947" s="23"/>
    </row>
    <row r="2948" spans="1:18" ht="12.75">
      <c r="A2948" s="22"/>
      <c r="D2948" s="19"/>
      <c r="H2948" s="18"/>
      <c r="J2948" s="18"/>
      <c r="N2948" s="16"/>
      <c r="O2948" s="17"/>
      <c r="Q2948" s="22"/>
      <c r="R2948" s="23"/>
    </row>
    <row r="2949" spans="1:18" ht="12.75">
      <c r="A2949" s="22"/>
      <c r="D2949" s="19"/>
      <c r="H2949" s="18"/>
      <c r="J2949" s="18"/>
      <c r="N2949" s="16"/>
      <c r="O2949" s="17"/>
      <c r="Q2949" s="22"/>
      <c r="R2949" s="23"/>
    </row>
    <row r="2950" spans="1:18" ht="12.75">
      <c r="A2950" s="22"/>
      <c r="D2950" s="19"/>
      <c r="H2950" s="18"/>
      <c r="J2950" s="18"/>
      <c r="N2950" s="16"/>
      <c r="O2950" s="17"/>
      <c r="Q2950" s="22"/>
      <c r="R2950" s="23"/>
    </row>
    <row r="2951" spans="1:18" ht="12.75">
      <c r="A2951" s="22"/>
      <c r="D2951" s="19"/>
      <c r="H2951" s="18"/>
      <c r="J2951" s="18"/>
      <c r="N2951" s="16"/>
      <c r="O2951" s="17"/>
      <c r="Q2951" s="22"/>
      <c r="R2951" s="23"/>
    </row>
    <row r="2952" spans="1:18" ht="12.75">
      <c r="A2952" s="22"/>
      <c r="D2952" s="19"/>
      <c r="H2952" s="18"/>
      <c r="J2952" s="18"/>
      <c r="N2952" s="16"/>
      <c r="O2952" s="17"/>
      <c r="Q2952" s="22"/>
      <c r="R2952" s="23"/>
    </row>
    <row r="2953" spans="1:18" ht="12.75">
      <c r="A2953" s="22"/>
      <c r="D2953" s="19"/>
      <c r="H2953" s="18"/>
      <c r="J2953" s="18"/>
      <c r="N2953" s="16"/>
      <c r="O2953" s="17"/>
      <c r="Q2953" s="22"/>
      <c r="R2953" s="23"/>
    </row>
    <row r="2954" spans="1:18" ht="12.75">
      <c r="A2954" s="22"/>
      <c r="D2954" s="19"/>
      <c r="H2954" s="18"/>
      <c r="J2954" s="18"/>
      <c r="N2954" s="16"/>
      <c r="O2954" s="17"/>
      <c r="Q2954" s="22"/>
      <c r="R2954" s="23"/>
    </row>
    <row r="2955" spans="1:18" ht="12.75">
      <c r="A2955" s="22"/>
      <c r="D2955" s="19"/>
      <c r="H2955" s="18"/>
      <c r="J2955" s="18"/>
      <c r="N2955" s="16"/>
      <c r="O2955" s="17"/>
      <c r="Q2955" s="22"/>
      <c r="R2955" s="23"/>
    </row>
    <row r="2956" spans="1:18" ht="12.75">
      <c r="A2956" s="22"/>
      <c r="D2956" s="19"/>
      <c r="H2956" s="18"/>
      <c r="J2956" s="18"/>
      <c r="N2956" s="16"/>
      <c r="O2956" s="17"/>
      <c r="Q2956" s="22"/>
      <c r="R2956" s="23"/>
    </row>
    <row r="2957" spans="1:18" ht="12.75">
      <c r="A2957" s="22"/>
      <c r="D2957" s="19"/>
      <c r="H2957" s="18"/>
      <c r="J2957" s="18"/>
      <c r="N2957" s="16"/>
      <c r="O2957" s="17"/>
      <c r="Q2957" s="22"/>
      <c r="R2957" s="23"/>
    </row>
    <row r="2958" spans="1:18" ht="12.75">
      <c r="A2958" s="22"/>
      <c r="D2958" s="19"/>
      <c r="H2958" s="18"/>
      <c r="J2958" s="18"/>
      <c r="N2958" s="16"/>
      <c r="O2958" s="17"/>
      <c r="Q2958" s="22"/>
      <c r="R2958" s="23"/>
    </row>
    <row r="2959" spans="1:18" ht="12.75">
      <c r="A2959" s="22"/>
      <c r="D2959" s="19"/>
      <c r="H2959" s="18"/>
      <c r="J2959" s="18"/>
      <c r="N2959" s="16"/>
      <c r="O2959" s="17"/>
      <c r="Q2959" s="22"/>
      <c r="R2959" s="23"/>
    </row>
    <row r="2960" spans="1:18" ht="12.75">
      <c r="A2960" s="22"/>
      <c r="D2960" s="19"/>
      <c r="H2960" s="18"/>
      <c r="J2960" s="18"/>
      <c r="N2960" s="16"/>
      <c r="O2960" s="17"/>
      <c r="Q2960" s="22"/>
      <c r="R2960" s="23"/>
    </row>
    <row r="2961" spans="1:18" ht="12.75">
      <c r="A2961" s="22"/>
      <c r="D2961" s="19"/>
      <c r="H2961" s="18"/>
      <c r="J2961" s="18"/>
      <c r="N2961" s="16"/>
      <c r="O2961" s="17"/>
      <c r="Q2961" s="22"/>
      <c r="R2961" s="23"/>
    </row>
    <row r="2962" spans="1:18" ht="12.75">
      <c r="A2962" s="22"/>
      <c r="D2962" s="19"/>
      <c r="H2962" s="18"/>
      <c r="J2962" s="18"/>
      <c r="N2962" s="16"/>
      <c r="O2962" s="17"/>
      <c r="Q2962" s="22"/>
      <c r="R2962" s="23"/>
    </row>
    <row r="2963" spans="1:18" ht="12.75">
      <c r="A2963" s="22"/>
      <c r="D2963" s="19"/>
      <c r="H2963" s="18"/>
      <c r="J2963" s="18"/>
      <c r="N2963" s="16"/>
      <c r="O2963" s="17"/>
      <c r="Q2963" s="22"/>
      <c r="R2963" s="23"/>
    </row>
    <row r="2964" spans="1:18" ht="12.75">
      <c r="A2964" s="22"/>
      <c r="D2964" s="19"/>
      <c r="H2964" s="18"/>
      <c r="J2964" s="18"/>
      <c r="N2964" s="16"/>
      <c r="O2964" s="17"/>
      <c r="Q2964" s="22"/>
      <c r="R2964" s="23"/>
    </row>
    <row r="2965" spans="1:18" ht="12.75">
      <c r="A2965" s="22"/>
      <c r="D2965" s="19"/>
      <c r="H2965" s="18"/>
      <c r="J2965" s="18"/>
      <c r="N2965" s="16"/>
      <c r="O2965" s="17"/>
      <c r="Q2965" s="22"/>
      <c r="R2965" s="23"/>
    </row>
    <row r="2966" spans="1:18" ht="12.75">
      <c r="A2966" s="22"/>
      <c r="D2966" s="19"/>
      <c r="H2966" s="18"/>
      <c r="J2966" s="18"/>
      <c r="N2966" s="16"/>
      <c r="O2966" s="17"/>
      <c r="Q2966" s="22"/>
      <c r="R2966" s="23"/>
    </row>
    <row r="2967" spans="1:18" ht="12.75">
      <c r="A2967" s="22"/>
      <c r="D2967" s="19"/>
      <c r="H2967" s="18"/>
      <c r="J2967" s="18"/>
      <c r="N2967" s="16"/>
      <c r="O2967" s="17"/>
      <c r="Q2967" s="22"/>
      <c r="R2967" s="23"/>
    </row>
    <row r="2968" spans="1:18" ht="12.75">
      <c r="A2968" s="22"/>
      <c r="D2968" s="19"/>
      <c r="H2968" s="18"/>
      <c r="J2968" s="18"/>
      <c r="N2968" s="16"/>
      <c r="O2968" s="17"/>
      <c r="Q2968" s="22"/>
      <c r="R2968" s="23"/>
    </row>
    <row r="2969" spans="1:18" ht="12.75">
      <c r="A2969" s="22"/>
      <c r="D2969" s="19"/>
      <c r="H2969" s="18"/>
      <c r="J2969" s="18"/>
      <c r="N2969" s="16"/>
      <c r="O2969" s="17"/>
      <c r="Q2969" s="22"/>
      <c r="R2969" s="23"/>
    </row>
    <row r="2970" spans="1:18" ht="12.75">
      <c r="A2970" s="22"/>
      <c r="D2970" s="19"/>
      <c r="H2970" s="18"/>
      <c r="J2970" s="18"/>
      <c r="N2970" s="16"/>
      <c r="O2970" s="17"/>
      <c r="Q2970" s="22"/>
      <c r="R2970" s="23"/>
    </row>
    <row r="2971" spans="1:18" ht="12.75">
      <c r="A2971" s="22"/>
      <c r="D2971" s="19"/>
      <c r="H2971" s="18"/>
      <c r="J2971" s="18"/>
      <c r="N2971" s="16"/>
      <c r="O2971" s="17"/>
      <c r="Q2971" s="22"/>
      <c r="R2971" s="23"/>
    </row>
    <row r="2972" spans="1:18" ht="12.75">
      <c r="A2972" s="22"/>
      <c r="D2972" s="19"/>
      <c r="H2972" s="18"/>
      <c r="J2972" s="18"/>
      <c r="N2972" s="16"/>
      <c r="O2972" s="17"/>
      <c r="Q2972" s="22"/>
      <c r="R2972" s="23"/>
    </row>
    <row r="2973" spans="1:18" ht="12.75">
      <c r="A2973" s="22"/>
      <c r="D2973" s="19"/>
      <c r="H2973" s="18"/>
      <c r="J2973" s="18"/>
      <c r="N2973" s="16"/>
      <c r="O2973" s="17"/>
      <c r="Q2973" s="22"/>
      <c r="R2973" s="23"/>
    </row>
    <row r="2974" spans="1:18" ht="12.75">
      <c r="A2974" s="22"/>
      <c r="D2974" s="19"/>
      <c r="H2974" s="18"/>
      <c r="J2974" s="18"/>
      <c r="N2974" s="16"/>
      <c r="O2974" s="17"/>
      <c r="Q2974" s="22"/>
      <c r="R2974" s="23"/>
    </row>
    <row r="2975" spans="1:18" ht="12.75">
      <c r="A2975" s="22"/>
      <c r="D2975" s="19"/>
      <c r="H2975" s="18"/>
      <c r="J2975" s="18"/>
      <c r="N2975" s="16"/>
      <c r="O2975" s="17"/>
      <c r="Q2975" s="22"/>
      <c r="R2975" s="23"/>
    </row>
    <row r="2976" spans="1:18" ht="12.75">
      <c r="A2976" s="22"/>
      <c r="D2976" s="19"/>
      <c r="H2976" s="18"/>
      <c r="J2976" s="18"/>
      <c r="N2976" s="16"/>
      <c r="O2976" s="17"/>
      <c r="Q2976" s="22"/>
      <c r="R2976" s="23"/>
    </row>
    <row r="2977" spans="1:18" ht="12.75">
      <c r="A2977" s="22"/>
      <c r="D2977" s="19"/>
      <c r="H2977" s="18"/>
      <c r="J2977" s="18"/>
      <c r="N2977" s="16"/>
      <c r="O2977" s="17"/>
      <c r="Q2977" s="22"/>
      <c r="R2977" s="23"/>
    </row>
    <row r="2978" spans="1:18" ht="12.75">
      <c r="A2978" s="22"/>
      <c r="D2978" s="19"/>
      <c r="H2978" s="18"/>
      <c r="J2978" s="18"/>
      <c r="N2978" s="16"/>
      <c r="O2978" s="17"/>
      <c r="Q2978" s="22"/>
      <c r="R2978" s="23"/>
    </row>
    <row r="2979" spans="1:18" ht="12.75">
      <c r="A2979" s="22"/>
      <c r="D2979" s="19"/>
      <c r="H2979" s="18"/>
      <c r="J2979" s="18"/>
      <c r="N2979" s="16"/>
      <c r="O2979" s="17"/>
      <c r="Q2979" s="22"/>
      <c r="R2979" s="23"/>
    </row>
    <row r="2980" spans="1:18" ht="12.75">
      <c r="A2980" s="22"/>
      <c r="D2980" s="19"/>
      <c r="H2980" s="18"/>
      <c r="J2980" s="18"/>
      <c r="N2980" s="16"/>
      <c r="O2980" s="17"/>
      <c r="Q2980" s="22"/>
      <c r="R2980" s="23"/>
    </row>
    <row r="2981" spans="1:18" ht="12.75">
      <c r="A2981" s="22"/>
      <c r="D2981" s="19"/>
      <c r="H2981" s="18"/>
      <c r="J2981" s="18"/>
      <c r="N2981" s="16"/>
      <c r="O2981" s="17"/>
      <c r="Q2981" s="22"/>
      <c r="R2981" s="23"/>
    </row>
    <row r="2982" spans="1:18" ht="12.75">
      <c r="A2982" s="22"/>
      <c r="D2982" s="19"/>
      <c r="H2982" s="18"/>
      <c r="J2982" s="18"/>
      <c r="N2982" s="16"/>
      <c r="O2982" s="17"/>
      <c r="Q2982" s="22"/>
      <c r="R2982" s="23"/>
    </row>
    <row r="2983" spans="1:18" ht="12.75">
      <c r="A2983" s="22"/>
      <c r="D2983" s="19"/>
      <c r="H2983" s="18"/>
      <c r="J2983" s="18"/>
      <c r="N2983" s="16"/>
      <c r="O2983" s="17"/>
      <c r="Q2983" s="22"/>
      <c r="R2983" s="23"/>
    </row>
    <row r="2984" spans="1:18" ht="12.75">
      <c r="A2984" s="22"/>
      <c r="D2984" s="19"/>
      <c r="H2984" s="18"/>
      <c r="J2984" s="18"/>
      <c r="N2984" s="16"/>
      <c r="O2984" s="17"/>
      <c r="Q2984" s="22"/>
      <c r="R2984" s="23"/>
    </row>
    <row r="2985" spans="1:18" ht="12.75">
      <c r="A2985" s="22"/>
      <c r="D2985" s="19"/>
      <c r="H2985" s="18"/>
      <c r="J2985" s="18"/>
      <c r="N2985" s="16"/>
      <c r="O2985" s="17"/>
      <c r="Q2985" s="22"/>
      <c r="R2985" s="23"/>
    </row>
    <row r="2986" spans="1:18" ht="12.75">
      <c r="A2986" s="22"/>
      <c r="D2986" s="19"/>
      <c r="H2986" s="18"/>
      <c r="J2986" s="18"/>
      <c r="N2986" s="16"/>
      <c r="O2986" s="17"/>
      <c r="Q2986" s="22"/>
      <c r="R2986" s="23"/>
    </row>
    <row r="2987" spans="1:18" ht="12.75">
      <c r="A2987" s="22"/>
      <c r="D2987" s="19"/>
      <c r="H2987" s="18"/>
      <c r="J2987" s="18"/>
      <c r="N2987" s="16"/>
      <c r="O2987" s="17"/>
      <c r="Q2987" s="22"/>
      <c r="R2987" s="23"/>
    </row>
    <row r="2988" spans="1:18" ht="12.75">
      <c r="A2988" s="22"/>
      <c r="D2988" s="19"/>
      <c r="H2988" s="18"/>
      <c r="J2988" s="18"/>
      <c r="N2988" s="16"/>
      <c r="O2988" s="17"/>
      <c r="Q2988" s="22"/>
      <c r="R2988" s="23"/>
    </row>
    <row r="2989" spans="1:18" ht="12.75">
      <c r="A2989" s="22"/>
      <c r="D2989" s="19"/>
      <c r="H2989" s="18"/>
      <c r="J2989" s="18"/>
      <c r="N2989" s="16"/>
      <c r="O2989" s="17"/>
      <c r="Q2989" s="22"/>
      <c r="R2989" s="23"/>
    </row>
    <row r="2990" spans="1:18" ht="12.75">
      <c r="A2990" s="22"/>
      <c r="D2990" s="19"/>
      <c r="H2990" s="18"/>
      <c r="J2990" s="18"/>
      <c r="N2990" s="16"/>
      <c r="O2990" s="17"/>
      <c r="Q2990" s="22"/>
      <c r="R2990" s="23"/>
    </row>
    <row r="2991" spans="1:18" ht="12.75">
      <c r="A2991" s="22"/>
      <c r="D2991" s="19"/>
      <c r="H2991" s="18"/>
      <c r="J2991" s="18"/>
      <c r="N2991" s="16"/>
      <c r="O2991" s="17"/>
      <c r="Q2991" s="22"/>
      <c r="R2991" s="23"/>
    </row>
    <row r="2992" spans="1:18" ht="12.75">
      <c r="A2992" s="22"/>
      <c r="D2992" s="19"/>
      <c r="H2992" s="18"/>
      <c r="J2992" s="18"/>
      <c r="N2992" s="16"/>
      <c r="O2992" s="17"/>
      <c r="Q2992" s="22"/>
      <c r="R2992" s="23"/>
    </row>
    <row r="2993" spans="1:18" ht="12.75">
      <c r="A2993" s="22"/>
      <c r="D2993" s="19"/>
      <c r="H2993" s="18"/>
      <c r="J2993" s="18"/>
      <c r="N2993" s="16"/>
      <c r="O2993" s="17"/>
      <c r="Q2993" s="22"/>
      <c r="R2993" s="23"/>
    </row>
    <row r="2994" spans="1:18" ht="12.75">
      <c r="A2994" s="22"/>
      <c r="D2994" s="19"/>
      <c r="H2994" s="18"/>
      <c r="J2994" s="18"/>
      <c r="N2994" s="16"/>
      <c r="O2994" s="17"/>
      <c r="Q2994" s="22"/>
      <c r="R2994" s="23"/>
    </row>
    <row r="2995" spans="1:18" ht="12.75">
      <c r="A2995" s="22"/>
      <c r="D2995" s="19"/>
      <c r="H2995" s="18"/>
      <c r="J2995" s="18"/>
      <c r="N2995" s="16"/>
      <c r="O2995" s="17"/>
      <c r="Q2995" s="22"/>
      <c r="R2995" s="23"/>
    </row>
    <row r="2996" spans="1:18" ht="12.75">
      <c r="A2996" s="22"/>
      <c r="D2996" s="19"/>
      <c r="H2996" s="18"/>
      <c r="J2996" s="18"/>
      <c r="N2996" s="16"/>
      <c r="O2996" s="17"/>
      <c r="Q2996" s="22"/>
      <c r="R2996" s="23"/>
    </row>
    <row r="2997" spans="1:18" ht="12.75">
      <c r="A2997" s="22"/>
      <c r="D2997" s="19"/>
      <c r="H2997" s="18"/>
      <c r="J2997" s="18"/>
      <c r="N2997" s="16"/>
      <c r="O2997" s="17"/>
      <c r="Q2997" s="22"/>
      <c r="R2997" s="23"/>
    </row>
    <row r="2998" spans="1:18" ht="12.75">
      <c r="A2998" s="22"/>
      <c r="D2998" s="19"/>
      <c r="H2998" s="18"/>
      <c r="J2998" s="18"/>
      <c r="N2998" s="16"/>
      <c r="O2998" s="17"/>
      <c r="Q2998" s="22"/>
      <c r="R2998" s="23"/>
    </row>
    <row r="2999" spans="1:18" ht="12.75">
      <c r="A2999" s="22"/>
      <c r="D2999" s="19"/>
      <c r="H2999" s="18"/>
      <c r="J2999" s="18"/>
      <c r="N2999" s="16"/>
      <c r="O2999" s="17"/>
      <c r="Q2999" s="22"/>
      <c r="R2999" s="23"/>
    </row>
    <row r="3000" spans="1:18" ht="12.75">
      <c r="A3000" s="22"/>
      <c r="D3000" s="19"/>
      <c r="H3000" s="18"/>
      <c r="J3000" s="18"/>
      <c r="N3000" s="16"/>
      <c r="O3000" s="17"/>
      <c r="Q3000" s="22"/>
      <c r="R3000" s="23"/>
    </row>
    <row r="3001" spans="1:18" ht="12.75">
      <c r="A3001" s="22"/>
      <c r="D3001" s="19"/>
      <c r="H3001" s="18"/>
      <c r="J3001" s="18"/>
      <c r="N3001" s="16"/>
      <c r="O3001" s="17"/>
      <c r="Q3001" s="22"/>
      <c r="R3001" s="23"/>
    </row>
    <row r="3002" spans="1:18" ht="12.75">
      <c r="A3002" s="22"/>
      <c r="D3002" s="19"/>
      <c r="H3002" s="18"/>
      <c r="J3002" s="18"/>
      <c r="N3002" s="16"/>
      <c r="O3002" s="17"/>
      <c r="Q3002" s="22"/>
      <c r="R3002" s="23"/>
    </row>
    <row r="3003" spans="1:18" ht="12.75">
      <c r="A3003" s="22"/>
      <c r="D3003" s="19"/>
      <c r="H3003" s="18"/>
      <c r="J3003" s="18"/>
      <c r="N3003" s="16"/>
      <c r="O3003" s="17"/>
      <c r="Q3003" s="22"/>
      <c r="R3003" s="23"/>
    </row>
    <row r="3004" spans="1:18" ht="12.75">
      <c r="A3004" s="22"/>
      <c r="D3004" s="19"/>
      <c r="H3004" s="18"/>
      <c r="J3004" s="18"/>
      <c r="N3004" s="16"/>
      <c r="O3004" s="17"/>
      <c r="Q3004" s="22"/>
      <c r="R3004" s="23"/>
    </row>
    <row r="3005" spans="1:18" ht="12.75">
      <c r="A3005" s="22"/>
      <c r="D3005" s="19"/>
      <c r="H3005" s="18"/>
      <c r="J3005" s="18"/>
      <c r="N3005" s="16"/>
      <c r="O3005" s="17"/>
      <c r="Q3005" s="22"/>
      <c r="R3005" s="23"/>
    </row>
    <row r="3006" spans="1:18" ht="12.75">
      <c r="A3006" s="22"/>
      <c r="D3006" s="19"/>
      <c r="H3006" s="18"/>
      <c r="J3006" s="18"/>
      <c r="N3006" s="16"/>
      <c r="O3006" s="17"/>
      <c r="Q3006" s="22"/>
      <c r="R3006" s="23"/>
    </row>
    <row r="3007" spans="1:18" ht="12.75">
      <c r="A3007" s="22"/>
      <c r="D3007" s="19"/>
      <c r="H3007" s="18"/>
      <c r="J3007" s="18"/>
      <c r="N3007" s="16"/>
      <c r="O3007" s="17"/>
      <c r="Q3007" s="22"/>
      <c r="R3007" s="23"/>
    </row>
    <row r="3008" spans="1:18" ht="12.75">
      <c r="A3008" s="22"/>
      <c r="D3008" s="19"/>
      <c r="H3008" s="18"/>
      <c r="J3008" s="18"/>
      <c r="N3008" s="16"/>
      <c r="O3008" s="17"/>
      <c r="Q3008" s="22"/>
      <c r="R3008" s="23"/>
    </row>
    <row r="3009" spans="1:18" ht="12.75">
      <c r="A3009" s="22"/>
      <c r="D3009" s="19"/>
      <c r="H3009" s="18"/>
      <c r="J3009" s="18"/>
      <c r="N3009" s="16"/>
      <c r="O3009" s="17"/>
      <c r="Q3009" s="22"/>
      <c r="R3009" s="23"/>
    </row>
    <row r="3010" spans="1:18" ht="12.75">
      <c r="A3010" s="22"/>
      <c r="D3010" s="19"/>
      <c r="H3010" s="18"/>
      <c r="J3010" s="18"/>
      <c r="N3010" s="16"/>
      <c r="O3010" s="17"/>
      <c r="Q3010" s="22"/>
      <c r="R3010" s="23"/>
    </row>
    <row r="3011" spans="1:18" ht="12.75">
      <c r="A3011" s="22"/>
      <c r="D3011" s="19"/>
      <c r="H3011" s="18"/>
      <c r="J3011" s="18"/>
      <c r="N3011" s="16"/>
      <c r="O3011" s="17"/>
      <c r="Q3011" s="22"/>
      <c r="R3011" s="23"/>
    </row>
    <row r="3012" spans="1:18" ht="12.75">
      <c r="A3012" s="22"/>
      <c r="D3012" s="19"/>
      <c r="H3012" s="18"/>
      <c r="J3012" s="18"/>
      <c r="N3012" s="16"/>
      <c r="O3012" s="17"/>
      <c r="Q3012" s="22"/>
      <c r="R3012" s="23"/>
    </row>
    <row r="3013" spans="1:18" ht="12.75">
      <c r="A3013" s="22"/>
      <c r="D3013" s="19"/>
      <c r="H3013" s="18"/>
      <c r="J3013" s="18"/>
      <c r="N3013" s="16"/>
      <c r="O3013" s="17"/>
      <c r="Q3013" s="22"/>
      <c r="R3013" s="23"/>
    </row>
    <row r="3014" spans="1:18" ht="12.75">
      <c r="A3014" s="22"/>
      <c r="D3014" s="19"/>
      <c r="H3014" s="18"/>
      <c r="J3014" s="18"/>
      <c r="N3014" s="16"/>
      <c r="O3014" s="17"/>
      <c r="Q3014" s="22"/>
      <c r="R3014" s="23"/>
    </row>
    <row r="3015" spans="1:18" ht="12.75">
      <c r="A3015" s="22"/>
      <c r="D3015" s="19"/>
      <c r="H3015" s="18"/>
      <c r="J3015" s="18"/>
      <c r="N3015" s="16"/>
      <c r="O3015" s="17"/>
      <c r="Q3015" s="22"/>
      <c r="R3015" s="23"/>
    </row>
    <row r="3016" spans="1:18" ht="12.75">
      <c r="A3016" s="22"/>
      <c r="D3016" s="19"/>
      <c r="H3016" s="18"/>
      <c r="J3016" s="18"/>
      <c r="N3016" s="16"/>
      <c r="O3016" s="17"/>
      <c r="Q3016" s="22"/>
      <c r="R3016" s="23"/>
    </row>
    <row r="3017" spans="1:18" ht="12.75">
      <c r="A3017" s="22"/>
      <c r="D3017" s="19"/>
      <c r="H3017" s="18"/>
      <c r="J3017" s="18"/>
      <c r="N3017" s="16"/>
      <c r="O3017" s="17"/>
      <c r="Q3017" s="22"/>
      <c r="R3017" s="23"/>
    </row>
    <row r="3018" spans="1:18" ht="12.75">
      <c r="A3018" s="22"/>
      <c r="D3018" s="19"/>
      <c r="H3018" s="18"/>
      <c r="J3018" s="18"/>
      <c r="N3018" s="16"/>
      <c r="O3018" s="17"/>
      <c r="Q3018" s="22"/>
      <c r="R3018" s="23"/>
    </row>
    <row r="3019" spans="1:18" ht="12.75">
      <c r="A3019" s="22"/>
      <c r="D3019" s="19"/>
      <c r="H3019" s="18"/>
      <c r="J3019" s="18"/>
      <c r="N3019" s="16"/>
      <c r="O3019" s="17"/>
      <c r="Q3019" s="22"/>
      <c r="R3019" s="23"/>
    </row>
    <row r="3020" spans="1:18" ht="12.75">
      <c r="A3020" s="22"/>
      <c r="D3020" s="19"/>
      <c r="H3020" s="18"/>
      <c r="J3020" s="18"/>
      <c r="N3020" s="16"/>
      <c r="O3020" s="17"/>
      <c r="Q3020" s="22"/>
      <c r="R3020" s="23"/>
    </row>
    <row r="3021" spans="1:18" ht="12.75">
      <c r="A3021" s="22"/>
      <c r="D3021" s="19"/>
      <c r="H3021" s="18"/>
      <c r="J3021" s="18"/>
      <c r="N3021" s="16"/>
      <c r="O3021" s="17"/>
      <c r="Q3021" s="22"/>
      <c r="R3021" s="23"/>
    </row>
    <row r="3022" spans="1:18" ht="12.75">
      <c r="A3022" s="22"/>
      <c r="D3022" s="19"/>
      <c r="H3022" s="18"/>
      <c r="J3022" s="18"/>
      <c r="N3022" s="16"/>
      <c r="O3022" s="17"/>
      <c r="Q3022" s="22"/>
      <c r="R3022" s="23"/>
    </row>
    <row r="3023" spans="1:18" ht="12.75">
      <c r="A3023" s="22"/>
      <c r="D3023" s="19"/>
      <c r="H3023" s="18"/>
      <c r="J3023" s="18"/>
      <c r="N3023" s="16"/>
      <c r="O3023" s="17"/>
      <c r="Q3023" s="22"/>
      <c r="R3023" s="23"/>
    </row>
    <row r="3024" spans="1:18" ht="12.75">
      <c r="A3024" s="22"/>
      <c r="D3024" s="19"/>
      <c r="H3024" s="18"/>
      <c r="J3024" s="18"/>
      <c r="N3024" s="16"/>
      <c r="O3024" s="17"/>
      <c r="Q3024" s="22"/>
      <c r="R3024" s="23"/>
    </row>
    <row r="3025" spans="1:18" ht="12.75">
      <c r="A3025" s="22"/>
      <c r="D3025" s="19"/>
      <c r="H3025" s="18"/>
      <c r="J3025" s="18"/>
      <c r="N3025" s="16"/>
      <c r="O3025" s="17"/>
      <c r="Q3025" s="22"/>
      <c r="R3025" s="23"/>
    </row>
    <row r="3026" spans="1:18" ht="12.75">
      <c r="A3026" s="22"/>
      <c r="D3026" s="19"/>
      <c r="H3026" s="18"/>
      <c r="J3026" s="18"/>
      <c r="N3026" s="16"/>
      <c r="O3026" s="17"/>
      <c r="Q3026" s="22"/>
      <c r="R3026" s="23"/>
    </row>
    <row r="3027" spans="1:18" ht="12.75">
      <c r="A3027" s="22"/>
      <c r="D3027" s="19"/>
      <c r="H3027" s="18"/>
      <c r="J3027" s="18"/>
      <c r="N3027" s="16"/>
      <c r="O3027" s="17"/>
      <c r="Q3027" s="22"/>
      <c r="R3027" s="23"/>
    </row>
    <row r="3028" spans="1:18" ht="12.75">
      <c r="A3028" s="22"/>
      <c r="D3028" s="19"/>
      <c r="H3028" s="18"/>
      <c r="J3028" s="18"/>
      <c r="N3028" s="16"/>
      <c r="O3028" s="17"/>
      <c r="Q3028" s="22"/>
      <c r="R3028" s="23"/>
    </row>
    <row r="3029" spans="1:18" ht="12.75">
      <c r="A3029" s="22"/>
      <c r="D3029" s="19"/>
      <c r="H3029" s="18"/>
      <c r="J3029" s="18"/>
      <c r="N3029" s="16"/>
      <c r="O3029" s="17"/>
      <c r="Q3029" s="22"/>
      <c r="R3029" s="23"/>
    </row>
    <row r="3030" spans="1:18" ht="12.75">
      <c r="A3030" s="22"/>
      <c r="D3030" s="19"/>
      <c r="H3030" s="18"/>
      <c r="J3030" s="18"/>
      <c r="N3030" s="16"/>
      <c r="O3030" s="17"/>
      <c r="Q3030" s="22"/>
      <c r="R3030" s="23"/>
    </row>
    <row r="3031" spans="1:18" ht="12.75">
      <c r="A3031" s="22"/>
      <c r="D3031" s="19"/>
      <c r="H3031" s="18"/>
      <c r="J3031" s="18"/>
      <c r="N3031" s="16"/>
      <c r="O3031" s="17"/>
      <c r="Q3031" s="22"/>
      <c r="R3031" s="23"/>
    </row>
    <row r="3032" spans="1:18" ht="12.75">
      <c r="A3032" s="22"/>
      <c r="D3032" s="19"/>
      <c r="H3032" s="18"/>
      <c r="J3032" s="18"/>
      <c r="N3032" s="16"/>
      <c r="O3032" s="17"/>
      <c r="Q3032" s="22"/>
      <c r="R3032" s="23"/>
    </row>
    <row r="3033" spans="1:18" ht="12.75">
      <c r="A3033" s="22"/>
      <c r="D3033" s="19"/>
      <c r="H3033" s="18"/>
      <c r="J3033" s="18"/>
      <c r="N3033" s="16"/>
      <c r="O3033" s="17"/>
      <c r="Q3033" s="22"/>
      <c r="R3033" s="23"/>
    </row>
    <row r="3034" spans="1:18" ht="12.75">
      <c r="A3034" s="22"/>
      <c r="D3034" s="19"/>
      <c r="H3034" s="18"/>
      <c r="J3034" s="18"/>
      <c r="N3034" s="16"/>
      <c r="O3034" s="17"/>
      <c r="Q3034" s="22"/>
      <c r="R3034" s="23"/>
    </row>
    <row r="3035" spans="1:18" ht="12.75">
      <c r="A3035" s="22"/>
      <c r="D3035" s="19"/>
      <c r="H3035" s="18"/>
      <c r="J3035" s="18"/>
      <c r="N3035" s="16"/>
      <c r="O3035" s="17"/>
      <c r="Q3035" s="22"/>
      <c r="R3035" s="23"/>
    </row>
    <row r="3036" spans="1:18" ht="12.75">
      <c r="A3036" s="22"/>
      <c r="D3036" s="19"/>
      <c r="H3036" s="18"/>
      <c r="J3036" s="18"/>
      <c r="N3036" s="16"/>
      <c r="O3036" s="17"/>
      <c r="Q3036" s="22"/>
      <c r="R3036" s="23"/>
    </row>
    <row r="3037" spans="1:18" ht="12.75">
      <c r="A3037" s="22"/>
      <c r="D3037" s="19"/>
      <c r="H3037" s="18"/>
      <c r="J3037" s="18"/>
      <c r="N3037" s="16"/>
      <c r="O3037" s="17"/>
      <c r="Q3037" s="22"/>
      <c r="R3037" s="23"/>
    </row>
    <row r="3038" spans="1:18" ht="12.75">
      <c r="A3038" s="22"/>
      <c r="D3038" s="19"/>
      <c r="H3038" s="18"/>
      <c r="J3038" s="18"/>
      <c r="N3038" s="16"/>
      <c r="O3038" s="17"/>
      <c r="Q3038" s="22"/>
      <c r="R3038" s="23"/>
    </row>
    <row r="3039" spans="1:18" ht="12.75">
      <c r="A3039" s="22"/>
      <c r="D3039" s="19"/>
      <c r="H3039" s="18"/>
      <c r="J3039" s="18"/>
      <c r="N3039" s="16"/>
      <c r="O3039" s="17"/>
      <c r="Q3039" s="22"/>
      <c r="R3039" s="23"/>
    </row>
    <row r="3040" spans="1:18" ht="12.75">
      <c r="A3040" s="22"/>
      <c r="D3040" s="19"/>
      <c r="H3040" s="18"/>
      <c r="J3040" s="18"/>
      <c r="N3040" s="16"/>
      <c r="O3040" s="17"/>
      <c r="Q3040" s="22"/>
      <c r="R3040" s="23"/>
    </row>
    <row r="3041" spans="1:18" ht="12.75">
      <c r="A3041" s="22"/>
      <c r="D3041" s="19"/>
      <c r="H3041" s="18"/>
      <c r="J3041" s="18"/>
      <c r="N3041" s="16"/>
      <c r="O3041" s="17"/>
      <c r="Q3041" s="22"/>
      <c r="R3041" s="23"/>
    </row>
    <row r="3042" spans="1:18" ht="12.75">
      <c r="A3042" s="22"/>
      <c r="D3042" s="19"/>
      <c r="H3042" s="18"/>
      <c r="J3042" s="18"/>
      <c r="N3042" s="16"/>
      <c r="O3042" s="17"/>
      <c r="Q3042" s="22"/>
      <c r="R3042" s="23"/>
    </row>
    <row r="3043" spans="1:18" ht="12.75">
      <c r="A3043" s="22"/>
      <c r="D3043" s="19"/>
      <c r="H3043" s="18"/>
      <c r="J3043" s="18"/>
      <c r="N3043" s="16"/>
      <c r="O3043" s="17"/>
      <c r="Q3043" s="22"/>
      <c r="R3043" s="23"/>
    </row>
    <row r="3044" spans="1:18" ht="12.75">
      <c r="A3044" s="22"/>
      <c r="D3044" s="19"/>
      <c r="H3044" s="18"/>
      <c r="J3044" s="18"/>
      <c r="N3044" s="16"/>
      <c r="O3044" s="17"/>
      <c r="Q3044" s="22"/>
      <c r="R3044" s="23"/>
    </row>
    <row r="3045" spans="1:18" ht="12.75">
      <c r="A3045" s="22"/>
      <c r="D3045" s="19"/>
      <c r="H3045" s="18"/>
      <c r="J3045" s="18"/>
      <c r="N3045" s="16"/>
      <c r="O3045" s="17"/>
      <c r="Q3045" s="22"/>
      <c r="R3045" s="23"/>
    </row>
    <row r="3046" spans="1:18" ht="12.75">
      <c r="A3046" s="22"/>
      <c r="D3046" s="19"/>
      <c r="H3046" s="18"/>
      <c r="J3046" s="18"/>
      <c r="N3046" s="16"/>
      <c r="O3046" s="17"/>
      <c r="Q3046" s="22"/>
      <c r="R3046" s="23"/>
    </row>
    <row r="3047" spans="1:18" ht="12.75">
      <c r="A3047" s="22"/>
      <c r="D3047" s="19"/>
      <c r="H3047" s="18"/>
      <c r="J3047" s="18"/>
      <c r="N3047" s="16"/>
      <c r="O3047" s="17"/>
      <c r="Q3047" s="22"/>
      <c r="R3047" s="23"/>
    </row>
    <row r="3048" spans="1:18" ht="12.75">
      <c r="A3048" s="22"/>
      <c r="D3048" s="19"/>
      <c r="H3048" s="18"/>
      <c r="J3048" s="18"/>
      <c r="N3048" s="16"/>
      <c r="O3048" s="17"/>
      <c r="Q3048" s="22"/>
      <c r="R3048" s="23"/>
    </row>
    <row r="3049" spans="1:18" ht="12.75">
      <c r="A3049" s="22"/>
      <c r="D3049" s="19"/>
      <c r="H3049" s="18"/>
      <c r="J3049" s="18"/>
      <c r="N3049" s="16"/>
      <c r="O3049" s="17"/>
      <c r="Q3049" s="22"/>
      <c r="R3049" s="23"/>
    </row>
    <row r="3050" spans="1:18" ht="12.75">
      <c r="A3050" s="22"/>
      <c r="D3050" s="19"/>
      <c r="H3050" s="18"/>
      <c r="J3050" s="18"/>
      <c r="N3050" s="16"/>
      <c r="O3050" s="17"/>
      <c r="Q3050" s="22"/>
      <c r="R3050" s="23"/>
    </row>
    <row r="3051" spans="1:18" ht="12.75">
      <c r="A3051" s="22"/>
      <c r="D3051" s="19"/>
      <c r="H3051" s="18"/>
      <c r="J3051" s="18"/>
      <c r="N3051" s="16"/>
      <c r="O3051" s="17"/>
      <c r="Q3051" s="22"/>
      <c r="R3051" s="23"/>
    </row>
    <row r="3052" spans="1:18" ht="12.75">
      <c r="A3052" s="22"/>
      <c r="D3052" s="19"/>
      <c r="H3052" s="18"/>
      <c r="J3052" s="18"/>
      <c r="N3052" s="16"/>
      <c r="O3052" s="17"/>
      <c r="Q3052" s="22"/>
      <c r="R3052" s="23"/>
    </row>
    <row r="3053" spans="1:18" ht="12.75">
      <c r="A3053" s="22"/>
      <c r="D3053" s="19"/>
      <c r="H3053" s="18"/>
      <c r="J3053" s="18"/>
      <c r="N3053" s="16"/>
      <c r="O3053" s="17"/>
      <c r="Q3053" s="22"/>
      <c r="R3053" s="23"/>
    </row>
    <row r="3054" spans="1:18" ht="12.75">
      <c r="A3054" s="22"/>
      <c r="D3054" s="19"/>
      <c r="H3054" s="18"/>
      <c r="J3054" s="18"/>
      <c r="N3054" s="16"/>
      <c r="O3054" s="17"/>
      <c r="Q3054" s="22"/>
      <c r="R3054" s="23"/>
    </row>
    <row r="3055" spans="1:18" ht="12.75">
      <c r="A3055" s="22"/>
      <c r="D3055" s="19"/>
      <c r="H3055" s="18"/>
      <c r="J3055" s="18"/>
      <c r="N3055" s="16"/>
      <c r="O3055" s="17"/>
      <c r="Q3055" s="22"/>
      <c r="R3055" s="23"/>
    </row>
    <row r="3056" spans="1:18" ht="12.75">
      <c r="A3056" s="22"/>
      <c r="D3056" s="19"/>
      <c r="H3056" s="18"/>
      <c r="J3056" s="18"/>
      <c r="N3056" s="16"/>
      <c r="O3056" s="17"/>
      <c r="Q3056" s="22"/>
      <c r="R3056" s="23"/>
    </row>
    <row r="3057" spans="1:18" ht="12.75">
      <c r="A3057" s="22"/>
      <c r="D3057" s="19"/>
      <c r="H3057" s="18"/>
      <c r="J3057" s="18"/>
      <c r="N3057" s="16"/>
      <c r="O3057" s="17"/>
      <c r="Q3057" s="22"/>
      <c r="R3057" s="23"/>
    </row>
    <row r="3058" spans="1:18" ht="12.75">
      <c r="A3058" s="22"/>
      <c r="D3058" s="19"/>
      <c r="H3058" s="18"/>
      <c r="J3058" s="18"/>
      <c r="N3058" s="16"/>
      <c r="O3058" s="17"/>
      <c r="Q3058" s="22"/>
      <c r="R3058" s="23"/>
    </row>
    <row r="3059" spans="1:18" ht="12.75">
      <c r="A3059" s="22"/>
      <c r="D3059" s="19"/>
      <c r="H3059" s="18"/>
      <c r="J3059" s="18"/>
      <c r="N3059" s="16"/>
      <c r="O3059" s="17"/>
      <c r="Q3059" s="22"/>
      <c r="R3059" s="23"/>
    </row>
    <row r="3060" spans="1:18" ht="12.75">
      <c r="A3060" s="22"/>
      <c r="D3060" s="19"/>
      <c r="H3060" s="18"/>
      <c r="J3060" s="18"/>
      <c r="N3060" s="16"/>
      <c r="O3060" s="17"/>
      <c r="Q3060" s="22"/>
      <c r="R3060" s="23"/>
    </row>
    <row r="3061" spans="1:18" ht="12.75">
      <c r="A3061" s="22"/>
      <c r="D3061" s="19"/>
      <c r="H3061" s="18"/>
      <c r="J3061" s="18"/>
      <c r="N3061" s="16"/>
      <c r="O3061" s="17"/>
      <c r="Q3061" s="22"/>
      <c r="R3061" s="23"/>
    </row>
    <row r="3062" spans="1:18" ht="12.75">
      <c r="A3062" s="22"/>
      <c r="D3062" s="19"/>
      <c r="H3062" s="18"/>
      <c r="J3062" s="18"/>
      <c r="N3062" s="16"/>
      <c r="O3062" s="17"/>
      <c r="Q3062" s="22"/>
      <c r="R3062" s="23"/>
    </row>
    <row r="3063" spans="1:18" ht="12.75">
      <c r="A3063" s="22"/>
      <c r="D3063" s="19"/>
      <c r="H3063" s="18"/>
      <c r="J3063" s="18"/>
      <c r="N3063" s="16"/>
      <c r="O3063" s="17"/>
      <c r="Q3063" s="22"/>
      <c r="R3063" s="23"/>
    </row>
    <row r="3064" spans="1:18" ht="12.75">
      <c r="A3064" s="22"/>
      <c r="D3064" s="19"/>
      <c r="H3064" s="18"/>
      <c r="J3064" s="18"/>
      <c r="N3064" s="16"/>
      <c r="O3064" s="17"/>
      <c r="Q3064" s="22"/>
      <c r="R3064" s="23"/>
    </row>
    <row r="3065" spans="1:18" ht="12.75">
      <c r="A3065" s="22"/>
      <c r="D3065" s="19"/>
      <c r="H3065" s="18"/>
      <c r="J3065" s="18"/>
      <c r="N3065" s="16"/>
      <c r="O3065" s="17"/>
      <c r="Q3065" s="22"/>
      <c r="R3065" s="23"/>
    </row>
    <row r="3066" spans="1:18" ht="12.75">
      <c r="A3066" s="22"/>
      <c r="D3066" s="19"/>
      <c r="H3066" s="18"/>
      <c r="J3066" s="18"/>
      <c r="N3066" s="16"/>
      <c r="O3066" s="17"/>
      <c r="Q3066" s="22"/>
      <c r="R3066" s="23"/>
    </row>
    <row r="3067" spans="1:18" ht="12.75">
      <c r="A3067" s="22"/>
      <c r="D3067" s="19"/>
      <c r="H3067" s="18"/>
      <c r="J3067" s="18"/>
      <c r="N3067" s="16"/>
      <c r="O3067" s="17"/>
      <c r="Q3067" s="22"/>
      <c r="R3067" s="23"/>
    </row>
    <row r="3068" spans="1:18" ht="12.75">
      <c r="A3068" s="22"/>
      <c r="D3068" s="19"/>
      <c r="H3068" s="18"/>
      <c r="J3068" s="18"/>
      <c r="N3068" s="16"/>
      <c r="O3068" s="17"/>
      <c r="Q3068" s="22"/>
      <c r="R3068" s="23"/>
    </row>
    <row r="3069" spans="1:18" ht="12.75">
      <c r="A3069" s="22"/>
      <c r="D3069" s="19"/>
      <c r="H3069" s="18"/>
      <c r="J3069" s="18"/>
      <c r="N3069" s="16"/>
      <c r="O3069" s="17"/>
      <c r="Q3069" s="22"/>
      <c r="R3069" s="23"/>
    </row>
    <row r="3070" spans="1:18" ht="12.75">
      <c r="A3070" s="22"/>
      <c r="D3070" s="19"/>
      <c r="H3070" s="18"/>
      <c r="J3070" s="18"/>
      <c r="N3070" s="16"/>
      <c r="O3070" s="17"/>
      <c r="Q3070" s="22"/>
      <c r="R3070" s="23"/>
    </row>
    <row r="3071" spans="1:18" ht="12.75">
      <c r="A3071" s="22"/>
      <c r="D3071" s="19"/>
      <c r="H3071" s="18"/>
      <c r="J3071" s="18"/>
      <c r="N3071" s="16"/>
      <c r="O3071" s="17"/>
      <c r="Q3071" s="22"/>
      <c r="R3071" s="23"/>
    </row>
    <row r="3072" spans="1:18" ht="12.75">
      <c r="A3072" s="22"/>
      <c r="D3072" s="19"/>
      <c r="H3072" s="18"/>
      <c r="J3072" s="18"/>
      <c r="N3072" s="16"/>
      <c r="O3072" s="17"/>
      <c r="Q3072" s="22"/>
      <c r="R3072" s="23"/>
    </row>
    <row r="3073" spans="1:18" ht="12.75">
      <c r="A3073" s="22"/>
      <c r="D3073" s="19"/>
      <c r="H3073" s="18"/>
      <c r="J3073" s="18"/>
      <c r="N3073" s="16"/>
      <c r="O3073" s="17"/>
      <c r="Q3073" s="22"/>
      <c r="R3073" s="23"/>
    </row>
    <row r="3074" spans="1:18" ht="12.75">
      <c r="A3074" s="22"/>
      <c r="D3074" s="19"/>
      <c r="H3074" s="18"/>
      <c r="J3074" s="18"/>
      <c r="N3074" s="16"/>
      <c r="O3074" s="17"/>
      <c r="Q3074" s="22"/>
      <c r="R3074" s="23"/>
    </row>
    <row r="3075" spans="1:18" ht="12.75">
      <c r="A3075" s="22"/>
      <c r="D3075" s="19"/>
      <c r="H3075" s="18"/>
      <c r="J3075" s="18"/>
      <c r="N3075" s="16"/>
      <c r="O3075" s="17"/>
      <c r="Q3075" s="22"/>
      <c r="R3075" s="23"/>
    </row>
    <row r="3076" spans="1:18" ht="12.75">
      <c r="A3076" s="22"/>
      <c r="D3076" s="19"/>
      <c r="H3076" s="18"/>
      <c r="J3076" s="18"/>
      <c r="N3076" s="16"/>
      <c r="O3076" s="17"/>
      <c r="Q3076" s="22"/>
      <c r="R3076" s="23"/>
    </row>
    <row r="3077" spans="1:18" ht="12.75">
      <c r="A3077" s="22"/>
      <c r="D3077" s="19"/>
      <c r="H3077" s="18"/>
      <c r="J3077" s="18"/>
      <c r="N3077" s="16"/>
      <c r="O3077" s="17"/>
      <c r="Q3077" s="22"/>
      <c r="R3077" s="23"/>
    </row>
    <row r="3078" spans="1:18" ht="12.75">
      <c r="A3078" s="22"/>
      <c r="D3078" s="19"/>
      <c r="H3078" s="18"/>
      <c r="J3078" s="18"/>
      <c r="N3078" s="16"/>
      <c r="O3078" s="17"/>
      <c r="Q3078" s="22"/>
      <c r="R3078" s="23"/>
    </row>
    <row r="3079" spans="1:18" ht="12.75">
      <c r="A3079" s="22"/>
      <c r="D3079" s="19"/>
      <c r="H3079" s="18"/>
      <c r="J3079" s="18"/>
      <c r="N3079" s="16"/>
      <c r="O3079" s="17"/>
      <c r="Q3079" s="22"/>
      <c r="R3079" s="23"/>
    </row>
    <row r="3080" spans="1:18" ht="12.75">
      <c r="A3080" s="22"/>
      <c r="D3080" s="19"/>
      <c r="H3080" s="18"/>
      <c r="J3080" s="18"/>
      <c r="N3080" s="16"/>
      <c r="O3080" s="17"/>
      <c r="Q3080" s="22"/>
      <c r="R3080" s="23"/>
    </row>
    <row r="3081" spans="1:18" ht="12.75">
      <c r="A3081" s="22"/>
      <c r="D3081" s="19"/>
      <c r="H3081" s="18"/>
      <c r="J3081" s="18"/>
      <c r="N3081" s="16"/>
      <c r="O3081" s="17"/>
      <c r="Q3081" s="22"/>
      <c r="R3081" s="23"/>
    </row>
    <row r="3082" spans="1:18" ht="12.75">
      <c r="A3082" s="22"/>
      <c r="D3082" s="19"/>
      <c r="H3082" s="18"/>
      <c r="J3082" s="18"/>
      <c r="N3082" s="16"/>
      <c r="O3082" s="17"/>
      <c r="Q3082" s="22"/>
      <c r="R3082" s="23"/>
    </row>
    <row r="3083" spans="1:18" ht="12.75">
      <c r="A3083" s="22"/>
      <c r="D3083" s="19"/>
      <c r="H3083" s="18"/>
      <c r="J3083" s="18"/>
      <c r="N3083" s="16"/>
      <c r="O3083" s="17"/>
      <c r="Q3083" s="22"/>
      <c r="R3083" s="23"/>
    </row>
    <row r="3084" spans="1:18" ht="12.75">
      <c r="A3084" s="22"/>
      <c r="D3084" s="19"/>
      <c r="H3084" s="18"/>
      <c r="J3084" s="18"/>
      <c r="N3084" s="16"/>
      <c r="O3084" s="17"/>
      <c r="Q3084" s="22"/>
      <c r="R3084" s="23"/>
    </row>
    <row r="3085" spans="1:18" ht="12.75">
      <c r="A3085" s="22"/>
      <c r="D3085" s="19"/>
      <c r="H3085" s="18"/>
      <c r="J3085" s="18"/>
      <c r="N3085" s="16"/>
      <c r="O3085" s="17"/>
      <c r="Q3085" s="22"/>
      <c r="R3085" s="23"/>
    </row>
    <row r="3086" spans="1:18" ht="12.75">
      <c r="A3086" s="22"/>
      <c r="D3086" s="19"/>
      <c r="H3086" s="18"/>
      <c r="J3086" s="18"/>
      <c r="N3086" s="16"/>
      <c r="O3086" s="17"/>
      <c r="Q3086" s="22"/>
      <c r="R3086" s="23"/>
    </row>
    <row r="3087" spans="1:18" ht="12.75">
      <c r="A3087" s="22"/>
      <c r="D3087" s="19"/>
      <c r="H3087" s="18"/>
      <c r="J3087" s="18"/>
      <c r="N3087" s="16"/>
      <c r="O3087" s="17"/>
      <c r="Q3087" s="22"/>
      <c r="R3087" s="23"/>
    </row>
    <row r="3088" spans="1:18" ht="12.75">
      <c r="A3088" s="22"/>
      <c r="D3088" s="19"/>
      <c r="H3088" s="18"/>
      <c r="J3088" s="18"/>
      <c r="N3088" s="16"/>
      <c r="O3088" s="17"/>
      <c r="Q3088" s="22"/>
      <c r="R3088" s="23"/>
    </row>
    <row r="3089" spans="1:18" ht="12.75">
      <c r="A3089" s="22"/>
      <c r="D3089" s="19"/>
      <c r="H3089" s="18"/>
      <c r="J3089" s="18"/>
      <c r="N3089" s="16"/>
      <c r="O3089" s="17"/>
      <c r="Q3089" s="22"/>
      <c r="R3089" s="23"/>
    </row>
    <row r="3090" spans="1:18" ht="12.75">
      <c r="A3090" s="22"/>
      <c r="D3090" s="19"/>
      <c r="H3090" s="18"/>
      <c r="J3090" s="18"/>
      <c r="N3090" s="16"/>
      <c r="O3090" s="17"/>
      <c r="Q3090" s="22"/>
      <c r="R3090" s="23"/>
    </row>
    <row r="3091" spans="1:18" ht="12.75">
      <c r="A3091" s="22"/>
      <c r="D3091" s="19"/>
      <c r="H3091" s="18"/>
      <c r="J3091" s="18"/>
      <c r="N3091" s="16"/>
      <c r="O3091" s="17"/>
      <c r="Q3091" s="22"/>
      <c r="R3091" s="23"/>
    </row>
    <row r="3092" spans="1:18" ht="12.75">
      <c r="A3092" s="22"/>
      <c r="D3092" s="19"/>
      <c r="H3092" s="18"/>
      <c r="J3092" s="18"/>
      <c r="N3092" s="16"/>
      <c r="O3092" s="17"/>
      <c r="Q3092" s="22"/>
      <c r="R3092" s="23"/>
    </row>
    <row r="3093" spans="1:18" ht="12.75">
      <c r="A3093" s="22"/>
      <c r="D3093" s="19"/>
      <c r="H3093" s="18"/>
      <c r="J3093" s="18"/>
      <c r="N3093" s="16"/>
      <c r="O3093" s="17"/>
      <c r="Q3093" s="22"/>
      <c r="R3093" s="23"/>
    </row>
    <row r="3094" spans="1:18" ht="12.75">
      <c r="A3094" s="22"/>
      <c r="D3094" s="19"/>
      <c r="H3094" s="18"/>
      <c r="J3094" s="18"/>
      <c r="N3094" s="16"/>
      <c r="O3094" s="17"/>
      <c r="Q3094" s="22"/>
      <c r="R3094" s="23"/>
    </row>
    <row r="3095" spans="1:18" ht="12.75">
      <c r="A3095" s="22"/>
      <c r="D3095" s="19"/>
      <c r="H3095" s="18"/>
      <c r="J3095" s="18"/>
      <c r="N3095" s="16"/>
      <c r="O3095" s="17"/>
      <c r="Q3095" s="22"/>
      <c r="R3095" s="23"/>
    </row>
    <row r="3096" spans="1:18" ht="12.75">
      <c r="A3096" s="22"/>
      <c r="D3096" s="19"/>
      <c r="H3096" s="18"/>
      <c r="J3096" s="18"/>
      <c r="N3096" s="16"/>
      <c r="O3096" s="17"/>
      <c r="Q3096" s="22"/>
      <c r="R3096" s="23"/>
    </row>
    <row r="3097" spans="1:18" ht="12.75">
      <c r="A3097" s="22"/>
      <c r="D3097" s="19"/>
      <c r="H3097" s="18"/>
      <c r="J3097" s="18"/>
      <c r="N3097" s="16"/>
      <c r="O3097" s="17"/>
      <c r="Q3097" s="22"/>
      <c r="R3097" s="23"/>
    </row>
    <row r="3098" spans="1:18" ht="12.75">
      <c r="A3098" s="22"/>
      <c r="D3098" s="19"/>
      <c r="H3098" s="18"/>
      <c r="J3098" s="18"/>
      <c r="N3098" s="16"/>
      <c r="O3098" s="17"/>
      <c r="Q3098" s="22"/>
      <c r="R3098" s="23"/>
    </row>
    <row r="3099" spans="1:18" ht="12.75">
      <c r="A3099" s="22"/>
      <c r="D3099" s="19"/>
      <c r="H3099" s="18"/>
      <c r="J3099" s="18"/>
      <c r="N3099" s="16"/>
      <c r="O3099" s="17"/>
      <c r="Q3099" s="22"/>
      <c r="R3099" s="23"/>
    </row>
    <row r="3100" spans="1:18" ht="12.75">
      <c r="A3100" s="22"/>
      <c r="D3100" s="19"/>
      <c r="H3100" s="18"/>
      <c r="J3100" s="18"/>
      <c r="N3100" s="16"/>
      <c r="O3100" s="17"/>
      <c r="Q3100" s="22"/>
      <c r="R3100" s="23"/>
    </row>
    <row r="3101" spans="1:18" ht="12.75">
      <c r="A3101" s="22"/>
      <c r="D3101" s="19"/>
      <c r="H3101" s="18"/>
      <c r="J3101" s="18"/>
      <c r="N3101" s="16"/>
      <c r="O3101" s="17"/>
      <c r="Q3101" s="22"/>
      <c r="R3101" s="23"/>
    </row>
    <row r="3102" spans="1:18" ht="12.75">
      <c r="A3102" s="22"/>
      <c r="D3102" s="19"/>
      <c r="H3102" s="18"/>
      <c r="J3102" s="18"/>
      <c r="N3102" s="16"/>
      <c r="O3102" s="17"/>
      <c r="Q3102" s="22"/>
      <c r="R3102" s="23"/>
    </row>
    <row r="3103" spans="1:18" ht="12.75">
      <c r="A3103" s="22"/>
      <c r="D3103" s="19"/>
      <c r="H3103" s="18"/>
      <c r="J3103" s="18"/>
      <c r="N3103" s="16"/>
      <c r="O3103" s="17"/>
      <c r="Q3103" s="22"/>
      <c r="R3103" s="23"/>
    </row>
    <row r="3104" spans="1:18" ht="12.75">
      <c r="A3104" s="22"/>
      <c r="D3104" s="19"/>
      <c r="H3104" s="18"/>
      <c r="J3104" s="18"/>
      <c r="N3104" s="16"/>
      <c r="O3104" s="17"/>
      <c r="Q3104" s="22"/>
      <c r="R3104" s="23"/>
    </row>
    <row r="3105" spans="1:18" ht="12.75">
      <c r="A3105" s="22"/>
      <c r="D3105" s="19"/>
      <c r="H3105" s="18"/>
      <c r="J3105" s="18"/>
      <c r="N3105" s="16"/>
      <c r="O3105" s="17"/>
      <c r="Q3105" s="22"/>
      <c r="R3105" s="23"/>
    </row>
    <row r="3106" spans="1:18" ht="12.75">
      <c r="A3106" s="22"/>
      <c r="D3106" s="19"/>
      <c r="H3106" s="18"/>
      <c r="J3106" s="18"/>
      <c r="N3106" s="16"/>
      <c r="O3106" s="17"/>
      <c r="Q3106" s="22"/>
      <c r="R3106" s="23"/>
    </row>
    <row r="3107" spans="1:18" ht="12.75">
      <c r="A3107" s="22"/>
      <c r="D3107" s="19"/>
      <c r="H3107" s="18"/>
      <c r="J3107" s="18"/>
      <c r="N3107" s="16"/>
      <c r="O3107" s="17"/>
      <c r="Q3107" s="22"/>
      <c r="R3107" s="23"/>
    </row>
    <row r="3108" spans="1:18" ht="12.75">
      <c r="A3108" s="22"/>
      <c r="D3108" s="19"/>
      <c r="H3108" s="18"/>
      <c r="J3108" s="18"/>
      <c r="N3108" s="16"/>
      <c r="O3108" s="17"/>
      <c r="Q3108" s="22"/>
      <c r="R3108" s="23"/>
    </row>
    <row r="3109" spans="1:18" ht="12.75">
      <c r="A3109" s="22"/>
      <c r="D3109" s="19"/>
      <c r="H3109" s="18"/>
      <c r="J3109" s="18"/>
      <c r="N3109" s="16"/>
      <c r="O3109" s="17"/>
      <c r="Q3109" s="22"/>
      <c r="R3109" s="23"/>
    </row>
    <row r="3110" spans="1:18" ht="12.75">
      <c r="A3110" s="22"/>
      <c r="D3110" s="19"/>
      <c r="H3110" s="18"/>
      <c r="J3110" s="18"/>
      <c r="N3110" s="16"/>
      <c r="O3110" s="17"/>
      <c r="Q3110" s="22"/>
      <c r="R3110" s="23"/>
    </row>
    <row r="3111" spans="1:18" ht="12.75">
      <c r="A3111" s="22"/>
      <c r="D3111" s="19"/>
      <c r="H3111" s="18"/>
      <c r="J3111" s="18"/>
      <c r="N3111" s="16"/>
      <c r="O3111" s="17"/>
      <c r="Q3111" s="22"/>
      <c r="R3111" s="23"/>
    </row>
    <row r="3112" spans="1:18" ht="12.75">
      <c r="A3112" s="22"/>
      <c r="D3112" s="19"/>
      <c r="H3112" s="18"/>
      <c r="J3112" s="18"/>
      <c r="N3112" s="16"/>
      <c r="O3112" s="17"/>
      <c r="Q3112" s="22"/>
      <c r="R3112" s="23"/>
    </row>
    <row r="3113" spans="1:18" ht="12.75">
      <c r="A3113" s="22"/>
      <c r="D3113" s="19"/>
      <c r="H3113" s="18"/>
      <c r="J3113" s="18"/>
      <c r="N3113" s="16"/>
      <c r="O3113" s="17"/>
      <c r="Q3113" s="22"/>
      <c r="R3113" s="23"/>
    </row>
    <row r="3114" spans="1:18" ht="12.75">
      <c r="A3114" s="22"/>
      <c r="D3114" s="19"/>
      <c r="H3114" s="18"/>
      <c r="J3114" s="18"/>
      <c r="N3114" s="16"/>
      <c r="O3114" s="17"/>
      <c r="Q3114" s="22"/>
      <c r="R3114" s="23"/>
    </row>
    <row r="3115" spans="1:18" ht="12.75">
      <c r="A3115" s="22"/>
      <c r="D3115" s="19"/>
      <c r="H3115" s="18"/>
      <c r="J3115" s="18"/>
      <c r="N3115" s="16"/>
      <c r="O3115" s="17"/>
      <c r="Q3115" s="22"/>
      <c r="R3115" s="23"/>
    </row>
    <row r="3116" spans="1:18" ht="12.75">
      <c r="A3116" s="22"/>
      <c r="D3116" s="19"/>
      <c r="H3116" s="18"/>
      <c r="J3116" s="18"/>
      <c r="N3116" s="16"/>
      <c r="O3116" s="17"/>
      <c r="Q3116" s="22"/>
      <c r="R3116" s="23"/>
    </row>
    <row r="3117" spans="1:18" ht="12.75">
      <c r="A3117" s="22"/>
      <c r="D3117" s="19"/>
      <c r="H3117" s="18"/>
      <c r="J3117" s="18"/>
      <c r="N3117" s="16"/>
      <c r="O3117" s="17"/>
      <c r="Q3117" s="22"/>
      <c r="R3117" s="23"/>
    </row>
    <row r="3118" spans="1:18" ht="12.75">
      <c r="A3118" s="22"/>
      <c r="D3118" s="19"/>
      <c r="H3118" s="18"/>
      <c r="J3118" s="18"/>
      <c r="N3118" s="16"/>
      <c r="O3118" s="17"/>
      <c r="Q3118" s="22"/>
      <c r="R3118" s="23"/>
    </row>
    <row r="3119" spans="1:18" ht="12.75">
      <c r="A3119" s="22"/>
      <c r="D3119" s="19"/>
      <c r="H3119" s="18"/>
      <c r="J3119" s="18"/>
      <c r="N3119" s="16"/>
      <c r="O3119" s="17"/>
      <c r="Q3119" s="22"/>
      <c r="R3119" s="23"/>
    </row>
    <row r="3120" spans="1:18" ht="12.75">
      <c r="A3120" s="22"/>
      <c r="D3120" s="19"/>
      <c r="H3120" s="18"/>
      <c r="J3120" s="18"/>
      <c r="N3120" s="16"/>
      <c r="O3120" s="17"/>
      <c r="Q3120" s="22"/>
      <c r="R3120" s="23"/>
    </row>
    <row r="3121" spans="1:18" ht="12.75">
      <c r="A3121" s="22"/>
      <c r="D3121" s="19"/>
      <c r="H3121" s="18"/>
      <c r="J3121" s="18"/>
      <c r="N3121" s="16"/>
      <c r="O3121" s="17"/>
      <c r="Q3121" s="22"/>
      <c r="R3121" s="23"/>
    </row>
    <row r="3122" spans="1:18" ht="12.75">
      <c r="A3122" s="22"/>
      <c r="D3122" s="19"/>
      <c r="H3122" s="18"/>
      <c r="J3122" s="18"/>
      <c r="N3122" s="16"/>
      <c r="O3122" s="17"/>
      <c r="Q3122" s="22"/>
      <c r="R3122" s="23"/>
    </row>
    <row r="3123" spans="1:18" ht="12.75">
      <c r="A3123" s="22"/>
      <c r="D3123" s="19"/>
      <c r="H3123" s="18"/>
      <c r="J3123" s="18"/>
      <c r="N3123" s="16"/>
      <c r="O3123" s="17"/>
      <c r="Q3123" s="22"/>
      <c r="R3123" s="23"/>
    </row>
    <row r="3124" spans="1:18" ht="12.75">
      <c r="A3124" s="22"/>
      <c r="D3124" s="19"/>
      <c r="H3124" s="18"/>
      <c r="J3124" s="18"/>
      <c r="N3124" s="16"/>
      <c r="O3124" s="17"/>
      <c r="Q3124" s="22"/>
      <c r="R3124" s="23"/>
    </row>
    <row r="3125" spans="1:18" ht="12.75">
      <c r="A3125" s="22"/>
      <c r="D3125" s="19"/>
      <c r="H3125" s="18"/>
      <c r="J3125" s="18"/>
      <c r="N3125" s="16"/>
      <c r="O3125" s="17"/>
      <c r="Q3125" s="22"/>
      <c r="R3125" s="23"/>
    </row>
    <row r="3126" spans="1:18" ht="12.75">
      <c r="A3126" s="22"/>
      <c r="D3126" s="19"/>
      <c r="H3126" s="18"/>
      <c r="J3126" s="18"/>
      <c r="N3126" s="16"/>
      <c r="O3126" s="17"/>
      <c r="Q3126" s="22"/>
      <c r="R3126" s="23"/>
    </row>
    <row r="3127" spans="1:18" ht="12.75">
      <c r="A3127" s="22"/>
      <c r="D3127" s="19"/>
      <c r="H3127" s="18"/>
      <c r="J3127" s="18"/>
      <c r="N3127" s="16"/>
      <c r="O3127" s="17"/>
      <c r="Q3127" s="22"/>
      <c r="R3127" s="23"/>
    </row>
    <row r="3128" spans="1:18" ht="12.75">
      <c r="A3128" s="22"/>
      <c r="D3128" s="19"/>
      <c r="H3128" s="18"/>
      <c r="J3128" s="18"/>
      <c r="N3128" s="16"/>
      <c r="O3128" s="17"/>
      <c r="Q3128" s="22"/>
      <c r="R3128" s="23"/>
    </row>
    <row r="3129" spans="1:18" ht="12.75">
      <c r="A3129" s="22"/>
      <c r="D3129" s="19"/>
      <c r="H3129" s="18"/>
      <c r="J3129" s="18"/>
      <c r="N3129" s="16"/>
      <c r="O3129" s="17"/>
      <c r="Q3129" s="22"/>
      <c r="R3129" s="23"/>
    </row>
    <row r="3130" spans="1:18" ht="12.75">
      <c r="A3130" s="22"/>
      <c r="D3130" s="19"/>
      <c r="H3130" s="18"/>
      <c r="J3130" s="18"/>
      <c r="N3130" s="16"/>
      <c r="O3130" s="17"/>
      <c r="Q3130" s="22"/>
      <c r="R3130" s="23"/>
    </row>
    <row r="3131" spans="1:18" ht="12.75">
      <c r="A3131" s="22"/>
      <c r="D3131" s="19"/>
      <c r="H3131" s="18"/>
      <c r="J3131" s="18"/>
      <c r="N3131" s="16"/>
      <c r="O3131" s="17"/>
      <c r="Q3131" s="22"/>
      <c r="R3131" s="23"/>
    </row>
    <row r="3132" spans="1:18" ht="12.75">
      <c r="A3132" s="22"/>
      <c r="D3132" s="19"/>
      <c r="H3132" s="18"/>
      <c r="J3132" s="18"/>
      <c r="N3132" s="16"/>
      <c r="O3132" s="17"/>
      <c r="Q3132" s="22"/>
      <c r="R3132" s="23"/>
    </row>
    <row r="3133" spans="1:18" ht="12.75">
      <c r="A3133" s="22"/>
      <c r="D3133" s="19"/>
      <c r="H3133" s="18"/>
      <c r="J3133" s="18"/>
      <c r="N3133" s="16"/>
      <c r="O3133" s="17"/>
      <c r="Q3133" s="22"/>
      <c r="R3133" s="23"/>
    </row>
    <row r="3134" spans="1:18" ht="12.75">
      <c r="A3134" s="22"/>
      <c r="D3134" s="19"/>
      <c r="H3134" s="18"/>
      <c r="J3134" s="18"/>
      <c r="N3134" s="16"/>
      <c r="O3134" s="17"/>
      <c r="Q3134" s="22"/>
      <c r="R3134" s="23"/>
    </row>
    <row r="3135" spans="1:18" ht="12.75">
      <c r="A3135" s="22"/>
      <c r="D3135" s="19"/>
      <c r="H3135" s="18"/>
      <c r="J3135" s="18"/>
      <c r="N3135" s="16"/>
      <c r="O3135" s="17"/>
      <c r="Q3135" s="22"/>
      <c r="R3135" s="23"/>
    </row>
    <row r="3136" spans="1:18" ht="12.75">
      <c r="A3136" s="22"/>
      <c r="D3136" s="19"/>
      <c r="H3136" s="18"/>
      <c r="J3136" s="18"/>
      <c r="N3136" s="16"/>
      <c r="O3136" s="17"/>
      <c r="Q3136" s="22"/>
      <c r="R3136" s="23"/>
    </row>
    <row r="3137" spans="1:18" ht="12.75">
      <c r="A3137" s="22"/>
      <c r="D3137" s="19"/>
      <c r="H3137" s="18"/>
      <c r="J3137" s="18"/>
      <c r="N3137" s="16"/>
      <c r="O3137" s="17"/>
      <c r="Q3137" s="22"/>
      <c r="R3137" s="23"/>
    </row>
    <row r="3138" spans="1:18" ht="12.75">
      <c r="A3138" s="22"/>
      <c r="D3138" s="19"/>
      <c r="H3138" s="18"/>
      <c r="J3138" s="18"/>
      <c r="N3138" s="16"/>
      <c r="O3138" s="17"/>
      <c r="Q3138" s="22"/>
      <c r="R3138" s="23"/>
    </row>
    <row r="3139" spans="1:18" ht="12.75">
      <c r="A3139" s="22"/>
      <c r="D3139" s="19"/>
      <c r="H3139" s="18"/>
      <c r="J3139" s="18"/>
      <c r="N3139" s="16"/>
      <c r="O3139" s="17"/>
      <c r="Q3139" s="22"/>
      <c r="R3139" s="23"/>
    </row>
    <row r="3140" spans="1:18" ht="12.75">
      <c r="A3140" s="22"/>
      <c r="D3140" s="19"/>
      <c r="H3140" s="18"/>
      <c r="J3140" s="18"/>
      <c r="N3140" s="16"/>
      <c r="O3140" s="17"/>
      <c r="Q3140" s="22"/>
      <c r="R3140" s="23"/>
    </row>
    <row r="3141" spans="1:18" ht="12.75">
      <c r="A3141" s="22"/>
      <c r="D3141" s="19"/>
      <c r="H3141" s="18"/>
      <c r="J3141" s="18"/>
      <c r="N3141" s="16"/>
      <c r="O3141" s="17"/>
      <c r="Q3141" s="22"/>
      <c r="R3141" s="23"/>
    </row>
    <row r="3142" spans="1:18" ht="12.75">
      <c r="A3142" s="22"/>
      <c r="D3142" s="19"/>
      <c r="H3142" s="18"/>
      <c r="J3142" s="18"/>
      <c r="N3142" s="16"/>
      <c r="O3142" s="17"/>
      <c r="Q3142" s="22"/>
      <c r="R3142" s="23"/>
    </row>
    <row r="3143" spans="1:18" ht="12.75">
      <c r="A3143" s="22"/>
      <c r="D3143" s="19"/>
      <c r="H3143" s="18"/>
      <c r="J3143" s="18"/>
      <c r="N3143" s="16"/>
      <c r="O3143" s="17"/>
      <c r="Q3143" s="22"/>
      <c r="R3143" s="23"/>
    </row>
    <row r="3144" spans="1:18" ht="12.75">
      <c r="A3144" s="22"/>
      <c r="D3144" s="19"/>
      <c r="H3144" s="18"/>
      <c r="J3144" s="18"/>
      <c r="N3144" s="16"/>
      <c r="O3144" s="17"/>
      <c r="Q3144" s="22"/>
      <c r="R3144" s="23"/>
    </row>
    <row r="3145" spans="1:18" ht="12.75">
      <c r="A3145" s="22"/>
      <c r="D3145" s="19"/>
      <c r="H3145" s="18"/>
      <c r="J3145" s="18"/>
      <c r="N3145" s="16"/>
      <c r="O3145" s="17"/>
      <c r="Q3145" s="22"/>
      <c r="R3145" s="23"/>
    </row>
    <row r="3146" spans="1:18" ht="12.75">
      <c r="A3146" s="22"/>
      <c r="D3146" s="19"/>
      <c r="H3146" s="18"/>
      <c r="J3146" s="18"/>
      <c r="N3146" s="16"/>
      <c r="O3146" s="17"/>
      <c r="Q3146" s="22"/>
      <c r="R3146" s="23"/>
    </row>
    <row r="3147" spans="1:18" ht="12.75">
      <c r="A3147" s="22"/>
      <c r="D3147" s="19"/>
      <c r="H3147" s="18"/>
      <c r="J3147" s="18"/>
      <c r="N3147" s="16"/>
      <c r="O3147" s="17"/>
      <c r="Q3147" s="22"/>
      <c r="R3147" s="23"/>
    </row>
    <row r="3148" spans="1:18" ht="12.75">
      <c r="A3148" s="22"/>
      <c r="D3148" s="19"/>
      <c r="H3148" s="18"/>
      <c r="J3148" s="18"/>
      <c r="N3148" s="16"/>
      <c r="O3148" s="17"/>
      <c r="Q3148" s="22"/>
      <c r="R3148" s="23"/>
    </row>
    <row r="3149" spans="1:18" ht="12.75">
      <c r="A3149" s="22"/>
      <c r="D3149" s="19"/>
      <c r="H3149" s="18"/>
      <c r="J3149" s="18"/>
      <c r="N3149" s="16"/>
      <c r="O3149" s="17"/>
      <c r="Q3149" s="22"/>
      <c r="R3149" s="23"/>
    </row>
    <row r="3150" spans="1:18" ht="12.75">
      <c r="A3150" s="22"/>
      <c r="D3150" s="19"/>
      <c r="H3150" s="18"/>
      <c r="J3150" s="18"/>
      <c r="N3150" s="16"/>
      <c r="O3150" s="17"/>
      <c r="Q3150" s="22"/>
      <c r="R3150" s="23"/>
    </row>
    <row r="3151" spans="1:18" ht="12.75">
      <c r="A3151" s="22"/>
      <c r="D3151" s="19"/>
      <c r="H3151" s="18"/>
      <c r="J3151" s="18"/>
      <c r="N3151" s="16"/>
      <c r="O3151" s="17"/>
      <c r="Q3151" s="22"/>
      <c r="R3151" s="23"/>
    </row>
    <row r="3152" spans="1:18" ht="12.75">
      <c r="A3152" s="22"/>
      <c r="D3152" s="19"/>
      <c r="H3152" s="18"/>
      <c r="J3152" s="18"/>
      <c r="N3152" s="16"/>
      <c r="O3152" s="17"/>
      <c r="Q3152" s="22"/>
      <c r="R3152" s="23"/>
    </row>
    <row r="3153" spans="1:18" ht="12.75">
      <c r="A3153" s="22"/>
      <c r="D3153" s="19"/>
      <c r="H3153" s="18"/>
      <c r="J3153" s="18"/>
      <c r="N3153" s="16"/>
      <c r="O3153" s="17"/>
      <c r="Q3153" s="22"/>
      <c r="R3153" s="23"/>
    </row>
    <row r="3154" spans="1:18" ht="12.75">
      <c r="A3154" s="22"/>
      <c r="D3154" s="19"/>
      <c r="H3154" s="18"/>
      <c r="J3154" s="18"/>
      <c r="N3154" s="16"/>
      <c r="O3154" s="17"/>
      <c r="Q3154" s="22"/>
      <c r="R3154" s="23"/>
    </row>
    <row r="3155" spans="1:18" ht="12.75">
      <c r="A3155" s="22"/>
      <c r="D3155" s="19"/>
      <c r="H3155" s="18"/>
      <c r="J3155" s="18"/>
      <c r="N3155" s="16"/>
      <c r="O3155" s="17"/>
      <c r="Q3155" s="22"/>
      <c r="R3155" s="23"/>
    </row>
    <row r="3156" spans="1:18" ht="12.75">
      <c r="A3156" s="22"/>
      <c r="D3156" s="19"/>
      <c r="H3156" s="18"/>
      <c r="J3156" s="18"/>
      <c r="N3156" s="16"/>
      <c r="O3156" s="17"/>
      <c r="Q3156" s="22"/>
      <c r="R3156" s="23"/>
    </row>
    <row r="3157" spans="1:18" ht="12.75">
      <c r="A3157" s="22"/>
      <c r="D3157" s="19"/>
      <c r="H3157" s="18"/>
      <c r="J3157" s="18"/>
      <c r="N3157" s="16"/>
      <c r="O3157" s="17"/>
      <c r="Q3157" s="22"/>
      <c r="R3157" s="23"/>
    </row>
    <row r="3158" spans="1:18" ht="12.75">
      <c r="A3158" s="22"/>
      <c r="D3158" s="19"/>
      <c r="H3158" s="18"/>
      <c r="J3158" s="18"/>
      <c r="N3158" s="16"/>
      <c r="O3158" s="17"/>
      <c r="Q3158" s="22"/>
      <c r="R3158" s="23"/>
    </row>
    <row r="3159" spans="1:18" ht="12.75">
      <c r="A3159" s="22"/>
      <c r="D3159" s="19"/>
      <c r="H3159" s="18"/>
      <c r="J3159" s="18"/>
      <c r="N3159" s="16"/>
      <c r="O3159" s="17"/>
      <c r="Q3159" s="22"/>
      <c r="R3159" s="23"/>
    </row>
    <row r="3160" spans="1:18" ht="12.75">
      <c r="A3160" s="22"/>
      <c r="D3160" s="19"/>
      <c r="H3160" s="18"/>
      <c r="J3160" s="18"/>
      <c r="N3160" s="16"/>
      <c r="O3160" s="17"/>
      <c r="Q3160" s="22"/>
      <c r="R3160" s="23"/>
    </row>
    <row r="3161" spans="1:18" ht="12.75">
      <c r="A3161" s="22"/>
      <c r="D3161" s="19"/>
      <c r="H3161" s="18"/>
      <c r="J3161" s="18"/>
      <c r="N3161" s="16"/>
      <c r="O3161" s="17"/>
      <c r="Q3161" s="22"/>
      <c r="R3161" s="23"/>
    </row>
    <row r="3162" spans="1:18" ht="12.75">
      <c r="A3162" s="22"/>
      <c r="D3162" s="19"/>
      <c r="H3162" s="18"/>
      <c r="J3162" s="18"/>
      <c r="N3162" s="16"/>
      <c r="O3162" s="17"/>
      <c r="Q3162" s="22"/>
      <c r="R3162" s="23"/>
    </row>
    <row r="3163" spans="1:18" ht="12.75">
      <c r="A3163" s="22"/>
      <c r="D3163" s="19"/>
      <c r="H3163" s="18"/>
      <c r="J3163" s="18"/>
      <c r="N3163" s="16"/>
      <c r="O3163" s="17"/>
      <c r="Q3163" s="22"/>
      <c r="R3163" s="23"/>
    </row>
    <row r="3164" spans="1:18" ht="12.75">
      <c r="A3164" s="22"/>
      <c r="D3164" s="19"/>
      <c r="H3164" s="18"/>
      <c r="J3164" s="18"/>
      <c r="N3164" s="16"/>
      <c r="O3164" s="17"/>
      <c r="Q3164" s="22"/>
      <c r="R3164" s="23"/>
    </row>
    <row r="3165" spans="1:18" ht="12.75">
      <c r="A3165" s="22"/>
      <c r="D3165" s="19"/>
      <c r="H3165" s="18"/>
      <c r="J3165" s="18"/>
      <c r="N3165" s="16"/>
      <c r="O3165" s="17"/>
      <c r="Q3165" s="22"/>
      <c r="R3165" s="23"/>
    </row>
    <row r="3166" spans="1:18" ht="12.75">
      <c r="A3166" s="22"/>
      <c r="D3166" s="19"/>
      <c r="H3166" s="18"/>
      <c r="J3166" s="18"/>
      <c r="N3166" s="16"/>
      <c r="O3166" s="17"/>
      <c r="Q3166" s="22"/>
      <c r="R3166" s="23"/>
    </row>
    <row r="3167" spans="1:18" ht="12.75">
      <c r="A3167" s="22"/>
      <c r="D3167" s="19"/>
      <c r="H3167" s="18"/>
      <c r="J3167" s="18"/>
      <c r="N3167" s="16"/>
      <c r="O3167" s="17"/>
      <c r="Q3167" s="22"/>
      <c r="R3167" s="23"/>
    </row>
    <row r="3168" spans="1:18" ht="12.75">
      <c r="A3168" s="22"/>
      <c r="D3168" s="19"/>
      <c r="H3168" s="18"/>
      <c r="J3168" s="18"/>
      <c r="N3168" s="16"/>
      <c r="O3168" s="17"/>
      <c r="Q3168" s="22"/>
      <c r="R3168" s="23"/>
    </row>
    <row r="3169" spans="1:18" ht="12.75">
      <c r="A3169" s="22"/>
      <c r="D3169" s="19"/>
      <c r="H3169" s="18"/>
      <c r="J3169" s="18"/>
      <c r="N3169" s="16"/>
      <c r="O3169" s="17"/>
      <c r="Q3169" s="22"/>
      <c r="R3169" s="23"/>
    </row>
    <row r="3170" spans="1:18" ht="12.75">
      <c r="A3170" s="22"/>
      <c r="D3170" s="19"/>
      <c r="H3170" s="18"/>
      <c r="J3170" s="18"/>
      <c r="N3170" s="16"/>
      <c r="O3170" s="17"/>
      <c r="Q3170" s="22"/>
      <c r="R3170" s="23"/>
    </row>
    <row r="3171" spans="1:18" ht="12.75">
      <c r="A3171" s="22"/>
      <c r="D3171" s="19"/>
      <c r="H3171" s="18"/>
      <c r="J3171" s="18"/>
      <c r="N3171" s="16"/>
      <c r="O3171" s="17"/>
      <c r="Q3171" s="22"/>
      <c r="R3171" s="23"/>
    </row>
    <row r="3172" spans="1:18" ht="12.75">
      <c r="A3172" s="22"/>
      <c r="D3172" s="19"/>
      <c r="H3172" s="18"/>
      <c r="J3172" s="18"/>
      <c r="N3172" s="16"/>
      <c r="O3172" s="17"/>
      <c r="Q3172" s="22"/>
      <c r="R3172" s="23"/>
    </row>
    <row r="3173" spans="1:18" ht="12.75">
      <c r="A3173" s="22"/>
      <c r="D3173" s="19"/>
      <c r="H3173" s="18"/>
      <c r="J3173" s="18"/>
      <c r="N3173" s="16"/>
      <c r="O3173" s="17"/>
      <c r="Q3173" s="22"/>
      <c r="R3173" s="23"/>
    </row>
    <row r="3174" spans="1:18" ht="12.75">
      <c r="A3174" s="22"/>
      <c r="D3174" s="19"/>
      <c r="H3174" s="18"/>
      <c r="J3174" s="18"/>
      <c r="N3174" s="16"/>
      <c r="O3174" s="17"/>
      <c r="Q3174" s="22"/>
      <c r="R3174" s="23"/>
    </row>
    <row r="3175" spans="1:18" ht="12.75">
      <c r="A3175" s="22"/>
      <c r="D3175" s="19"/>
      <c r="H3175" s="18"/>
      <c r="J3175" s="18"/>
      <c r="N3175" s="16"/>
      <c r="O3175" s="17"/>
      <c r="Q3175" s="22"/>
      <c r="R3175" s="23"/>
    </row>
    <row r="3176" spans="1:18" ht="12.75">
      <c r="A3176" s="22"/>
      <c r="D3176" s="19"/>
      <c r="H3176" s="18"/>
      <c r="J3176" s="18"/>
      <c r="N3176" s="16"/>
      <c r="O3176" s="17"/>
      <c r="Q3176" s="22"/>
      <c r="R3176" s="23"/>
    </row>
    <row r="3177" spans="1:18" ht="12.75">
      <c r="A3177" s="22"/>
      <c r="D3177" s="19"/>
      <c r="H3177" s="18"/>
      <c r="J3177" s="18"/>
      <c r="N3177" s="16"/>
      <c r="O3177" s="17"/>
      <c r="Q3177" s="22"/>
      <c r="R3177" s="23"/>
    </row>
    <row r="3178" spans="1:18" ht="12.75">
      <c r="A3178" s="22"/>
      <c r="D3178" s="19"/>
      <c r="H3178" s="18"/>
      <c r="J3178" s="18"/>
      <c r="N3178" s="16"/>
      <c r="O3178" s="17"/>
      <c r="Q3178" s="22"/>
      <c r="R3178" s="23"/>
    </row>
    <row r="3179" spans="1:18" ht="12.75">
      <c r="A3179" s="22"/>
      <c r="D3179" s="19"/>
      <c r="H3179" s="18"/>
      <c r="J3179" s="18"/>
      <c r="N3179" s="16"/>
      <c r="O3179" s="17"/>
      <c r="Q3179" s="22"/>
      <c r="R3179" s="23"/>
    </row>
    <row r="3180" spans="1:18" ht="12.75">
      <c r="A3180" s="22"/>
      <c r="D3180" s="19"/>
      <c r="H3180" s="18"/>
      <c r="J3180" s="18"/>
      <c r="N3180" s="16"/>
      <c r="O3180" s="17"/>
      <c r="Q3180" s="22"/>
      <c r="R3180" s="23"/>
    </row>
    <row r="3181" spans="1:18" ht="12.75">
      <c r="A3181" s="22"/>
      <c r="D3181" s="19"/>
      <c r="H3181" s="18"/>
      <c r="J3181" s="18"/>
      <c r="N3181" s="16"/>
      <c r="O3181" s="17"/>
      <c r="Q3181" s="22"/>
      <c r="R3181" s="23"/>
    </row>
    <row r="3182" spans="1:18" ht="12.75">
      <c r="A3182" s="22"/>
      <c r="D3182" s="19"/>
      <c r="H3182" s="18"/>
      <c r="J3182" s="18"/>
      <c r="N3182" s="16"/>
      <c r="O3182" s="17"/>
      <c r="Q3182" s="22"/>
      <c r="R3182" s="23"/>
    </row>
    <row r="3183" spans="1:18" ht="12.75">
      <c r="A3183" s="22"/>
      <c r="D3183" s="19"/>
      <c r="H3183" s="18"/>
      <c r="J3183" s="18"/>
      <c r="N3183" s="16"/>
      <c r="O3183" s="17"/>
      <c r="Q3183" s="22"/>
      <c r="R3183" s="23"/>
    </row>
    <row r="3184" spans="1:18" ht="12.75">
      <c r="A3184" s="22"/>
      <c r="D3184" s="19"/>
      <c r="H3184" s="18"/>
      <c r="J3184" s="18"/>
      <c r="N3184" s="16"/>
      <c r="O3184" s="17"/>
      <c r="Q3184" s="22"/>
      <c r="R3184" s="23"/>
    </row>
    <row r="3185" spans="1:18" ht="12.75">
      <c r="A3185" s="22"/>
      <c r="D3185" s="19"/>
      <c r="H3185" s="18"/>
      <c r="J3185" s="18"/>
      <c r="N3185" s="16"/>
      <c r="O3185" s="17"/>
      <c r="Q3185" s="22"/>
      <c r="R3185" s="23"/>
    </row>
    <row r="3186" spans="1:18" ht="12.75">
      <c r="A3186" s="22"/>
      <c r="D3186" s="19"/>
      <c r="H3186" s="18"/>
      <c r="J3186" s="18"/>
      <c r="N3186" s="16"/>
      <c r="O3186" s="17"/>
      <c r="Q3186" s="22"/>
      <c r="R3186" s="23"/>
    </row>
    <row r="3187" spans="1:18" ht="12.75">
      <c r="A3187" s="22"/>
      <c r="D3187" s="19"/>
      <c r="H3187" s="18"/>
      <c r="J3187" s="18"/>
      <c r="N3187" s="16"/>
      <c r="O3187" s="17"/>
      <c r="Q3187" s="22"/>
      <c r="R3187" s="23"/>
    </row>
    <row r="3188" spans="1:18" ht="12.75">
      <c r="A3188" s="22"/>
      <c r="D3188" s="19"/>
      <c r="H3188" s="18"/>
      <c r="J3188" s="18"/>
      <c r="N3188" s="16"/>
      <c r="O3188" s="17"/>
      <c r="Q3188" s="22"/>
      <c r="R3188" s="23"/>
    </row>
    <row r="3189" spans="1:18" ht="12.75">
      <c r="A3189" s="22"/>
      <c r="D3189" s="19"/>
      <c r="H3189" s="18"/>
      <c r="J3189" s="18"/>
      <c r="N3189" s="16"/>
      <c r="O3189" s="17"/>
      <c r="Q3189" s="22"/>
      <c r="R3189" s="23"/>
    </row>
    <row r="3190" spans="1:18" ht="12.75">
      <c r="A3190" s="22"/>
      <c r="D3190" s="19"/>
      <c r="H3190" s="18"/>
      <c r="J3190" s="18"/>
      <c r="N3190" s="16"/>
      <c r="O3190" s="17"/>
      <c r="Q3190" s="22"/>
      <c r="R3190" s="23"/>
    </row>
    <row r="3191" spans="1:18" ht="12.75">
      <c r="A3191" s="22"/>
      <c r="D3191" s="19"/>
      <c r="H3191" s="18"/>
      <c r="J3191" s="18"/>
      <c r="N3191" s="16"/>
      <c r="O3191" s="17"/>
      <c r="Q3191" s="22"/>
      <c r="R3191" s="23"/>
    </row>
    <row r="3192" spans="1:18" ht="12.75">
      <c r="A3192" s="22"/>
      <c r="D3192" s="19"/>
      <c r="H3192" s="18"/>
      <c r="J3192" s="18"/>
      <c r="N3192" s="16"/>
      <c r="O3192" s="17"/>
      <c r="Q3192" s="22"/>
      <c r="R3192" s="23"/>
    </row>
    <row r="3193" spans="1:18" ht="12.75">
      <c r="A3193" s="22"/>
      <c r="D3193" s="19"/>
      <c r="H3193" s="18"/>
      <c r="J3193" s="18"/>
      <c r="N3193" s="16"/>
      <c r="O3193" s="17"/>
      <c r="Q3193" s="22"/>
      <c r="R3193" s="23"/>
    </row>
    <row r="3194" spans="1:18" ht="12.75">
      <c r="A3194" s="22"/>
      <c r="D3194" s="19"/>
      <c r="H3194" s="18"/>
      <c r="J3194" s="18"/>
      <c r="N3194" s="16"/>
      <c r="O3194" s="17"/>
      <c r="Q3194" s="22"/>
      <c r="R3194" s="23"/>
    </row>
    <row r="3195" spans="1:18" ht="12.75">
      <c r="A3195" s="22"/>
      <c r="D3195" s="19"/>
      <c r="H3195" s="18"/>
      <c r="J3195" s="18"/>
      <c r="N3195" s="16"/>
      <c r="O3195" s="17"/>
      <c r="Q3195" s="22"/>
      <c r="R3195" s="23"/>
    </row>
    <row r="3196" spans="1:18" ht="12.75">
      <c r="A3196" s="22"/>
      <c r="D3196" s="19"/>
      <c r="H3196" s="18"/>
      <c r="J3196" s="18"/>
      <c r="N3196" s="16"/>
      <c r="O3196" s="17"/>
      <c r="Q3196" s="22"/>
      <c r="R3196" s="23"/>
    </row>
    <row r="3197" spans="1:18" ht="12.75">
      <c r="A3197" s="22"/>
      <c r="D3197" s="19"/>
      <c r="H3197" s="18"/>
      <c r="J3197" s="18"/>
      <c r="N3197" s="16"/>
      <c r="O3197" s="17"/>
      <c r="Q3197" s="22"/>
      <c r="R3197" s="23"/>
    </row>
    <row r="3198" spans="1:18" ht="12.75">
      <c r="A3198" s="22"/>
      <c r="D3198" s="19"/>
      <c r="H3198" s="18"/>
      <c r="J3198" s="18"/>
      <c r="N3198" s="16"/>
      <c r="O3198" s="17"/>
      <c r="Q3198" s="22"/>
      <c r="R3198" s="23"/>
    </row>
    <row r="3199" spans="1:18" ht="12.75">
      <c r="A3199" s="22"/>
      <c r="D3199" s="19"/>
      <c r="H3199" s="18"/>
      <c r="J3199" s="18"/>
      <c r="N3199" s="16"/>
      <c r="O3199" s="17"/>
      <c r="Q3199" s="22"/>
      <c r="R3199" s="23"/>
    </row>
    <row r="3200" spans="1:18" ht="12.75">
      <c r="A3200" s="22"/>
      <c r="D3200" s="19"/>
      <c r="H3200" s="18"/>
      <c r="J3200" s="18"/>
      <c r="N3200" s="16"/>
      <c r="O3200" s="17"/>
      <c r="Q3200" s="22"/>
      <c r="R3200" s="23"/>
    </row>
    <row r="3201" spans="1:18" ht="12.75">
      <c r="A3201" s="22"/>
      <c r="D3201" s="19"/>
      <c r="H3201" s="18"/>
      <c r="J3201" s="18"/>
      <c r="N3201" s="16"/>
      <c r="O3201" s="17"/>
      <c r="Q3201" s="22"/>
      <c r="R3201" s="23"/>
    </row>
    <row r="3202" spans="1:18" ht="12.75">
      <c r="A3202" s="22"/>
      <c r="D3202" s="19"/>
      <c r="H3202" s="18"/>
      <c r="J3202" s="18"/>
      <c r="N3202" s="16"/>
      <c r="O3202" s="17"/>
      <c r="Q3202" s="22"/>
      <c r="R3202" s="23"/>
    </row>
    <row r="3203" spans="1:18" ht="12.75">
      <c r="A3203" s="22"/>
      <c r="D3203" s="19"/>
      <c r="H3203" s="18"/>
      <c r="J3203" s="18"/>
      <c r="N3203" s="16"/>
      <c r="O3203" s="17"/>
      <c r="Q3203" s="22"/>
      <c r="R3203" s="23"/>
    </row>
    <row r="3204" spans="1:18" ht="12.75">
      <c r="A3204" s="22"/>
      <c r="D3204" s="19"/>
      <c r="H3204" s="18"/>
      <c r="J3204" s="18"/>
      <c r="N3204" s="16"/>
      <c r="O3204" s="17"/>
      <c r="Q3204" s="22"/>
      <c r="R3204" s="23"/>
    </row>
    <row r="3205" spans="1:18" ht="12.75">
      <c r="A3205" s="22"/>
      <c r="D3205" s="19"/>
      <c r="H3205" s="18"/>
      <c r="J3205" s="18"/>
      <c r="N3205" s="16"/>
      <c r="O3205" s="17"/>
      <c r="Q3205" s="22"/>
      <c r="R3205" s="23"/>
    </row>
    <row r="3206" spans="1:18" ht="12.75">
      <c r="A3206" s="22"/>
      <c r="D3206" s="19"/>
      <c r="H3206" s="18"/>
      <c r="J3206" s="18"/>
      <c r="N3206" s="16"/>
      <c r="O3206" s="17"/>
      <c r="Q3206" s="22"/>
      <c r="R3206" s="23"/>
    </row>
    <row r="3207" spans="1:18" ht="12.75">
      <c r="A3207" s="22"/>
      <c r="D3207" s="19"/>
      <c r="H3207" s="18"/>
      <c r="J3207" s="18"/>
      <c r="N3207" s="16"/>
      <c r="O3207" s="17"/>
      <c r="Q3207" s="22"/>
      <c r="R3207" s="23"/>
    </row>
    <row r="3208" spans="1:18" ht="12.75">
      <c r="A3208" s="22"/>
      <c r="D3208" s="19"/>
      <c r="H3208" s="18"/>
      <c r="J3208" s="18"/>
      <c r="N3208" s="16"/>
      <c r="O3208" s="17"/>
      <c r="Q3208" s="22"/>
      <c r="R3208" s="23"/>
    </row>
    <row r="3209" spans="1:18" ht="12.75">
      <c r="A3209" s="22"/>
      <c r="D3209" s="19"/>
      <c r="H3209" s="18"/>
      <c r="J3209" s="18"/>
      <c r="N3209" s="16"/>
      <c r="O3209" s="17"/>
      <c r="Q3209" s="22"/>
      <c r="R3209" s="23"/>
    </row>
    <row r="3210" spans="1:18" ht="12.75">
      <c r="A3210" s="22"/>
      <c r="D3210" s="19"/>
      <c r="H3210" s="18"/>
      <c r="J3210" s="18"/>
      <c r="N3210" s="16"/>
      <c r="O3210" s="17"/>
      <c r="Q3210" s="22"/>
      <c r="R3210" s="23"/>
    </row>
    <row r="3211" spans="1:18" ht="12.75">
      <c r="A3211" s="22"/>
      <c r="D3211" s="19"/>
      <c r="H3211" s="18"/>
      <c r="J3211" s="18"/>
      <c r="N3211" s="16"/>
      <c r="O3211" s="17"/>
      <c r="Q3211" s="22"/>
      <c r="R3211" s="23"/>
    </row>
    <row r="3212" spans="1:18" ht="12.75">
      <c r="A3212" s="22"/>
      <c r="D3212" s="19"/>
      <c r="H3212" s="18"/>
      <c r="J3212" s="18"/>
      <c r="N3212" s="16"/>
      <c r="O3212" s="17"/>
      <c r="Q3212" s="22"/>
      <c r="R3212" s="23"/>
    </row>
    <row r="3213" spans="1:18" ht="12.75">
      <c r="A3213" s="22"/>
      <c r="D3213" s="19"/>
      <c r="H3213" s="18"/>
      <c r="J3213" s="18"/>
      <c r="N3213" s="16"/>
      <c r="O3213" s="17"/>
      <c r="Q3213" s="22"/>
      <c r="R3213" s="23"/>
    </row>
    <row r="3214" spans="1:18" ht="12.75">
      <c r="A3214" s="22"/>
      <c r="D3214" s="19"/>
      <c r="H3214" s="18"/>
      <c r="J3214" s="18"/>
      <c r="N3214" s="16"/>
      <c r="O3214" s="17"/>
      <c r="Q3214" s="22"/>
      <c r="R3214" s="23"/>
    </row>
    <row r="3215" spans="1:18" ht="12.75">
      <c r="A3215" s="22"/>
      <c r="D3215" s="19"/>
      <c r="H3215" s="18"/>
      <c r="J3215" s="18"/>
      <c r="N3215" s="16"/>
      <c r="O3215" s="17"/>
      <c r="Q3215" s="22"/>
      <c r="R3215" s="23"/>
    </row>
    <row r="3216" spans="1:18" ht="12.75">
      <c r="A3216" s="22"/>
      <c r="D3216" s="19"/>
      <c r="H3216" s="18"/>
      <c r="J3216" s="18"/>
      <c r="N3216" s="16"/>
      <c r="O3216" s="17"/>
      <c r="Q3216" s="22"/>
      <c r="R3216" s="23"/>
    </row>
    <row r="3217" spans="1:18" ht="12.75">
      <c r="A3217" s="22"/>
      <c r="D3217" s="19"/>
      <c r="H3217" s="18"/>
      <c r="J3217" s="18"/>
      <c r="N3217" s="16"/>
      <c r="O3217" s="17"/>
      <c r="Q3217" s="22"/>
      <c r="R3217" s="23"/>
    </row>
    <row r="3218" spans="1:18" ht="12.75">
      <c r="A3218" s="22"/>
      <c r="D3218" s="19"/>
      <c r="H3218" s="18"/>
      <c r="J3218" s="18"/>
      <c r="N3218" s="16"/>
      <c r="O3218" s="17"/>
      <c r="Q3218" s="22"/>
      <c r="R3218" s="23"/>
    </row>
    <row r="3219" spans="1:18" ht="12.75">
      <c r="A3219" s="22"/>
      <c r="D3219" s="19"/>
      <c r="H3219" s="18"/>
      <c r="J3219" s="18"/>
      <c r="N3219" s="16"/>
      <c r="O3219" s="17"/>
      <c r="Q3219" s="22"/>
      <c r="R3219" s="23"/>
    </row>
    <row r="3220" spans="1:18" ht="12.75">
      <c r="A3220" s="22"/>
      <c r="D3220" s="19"/>
      <c r="H3220" s="18"/>
      <c r="J3220" s="18"/>
      <c r="N3220" s="16"/>
      <c r="O3220" s="17"/>
      <c r="Q3220" s="22"/>
      <c r="R3220" s="23"/>
    </row>
    <row r="3221" spans="1:18" ht="12.75">
      <c r="A3221" s="22"/>
      <c r="D3221" s="19"/>
      <c r="H3221" s="18"/>
      <c r="J3221" s="18"/>
      <c r="N3221" s="16"/>
      <c r="O3221" s="17"/>
      <c r="Q3221" s="22"/>
      <c r="R3221" s="23"/>
    </row>
    <row r="3222" spans="1:18" ht="12.75">
      <c r="A3222" s="22"/>
      <c r="D3222" s="19"/>
      <c r="H3222" s="18"/>
      <c r="J3222" s="18"/>
      <c r="N3222" s="16"/>
      <c r="O3222" s="17"/>
      <c r="Q3222" s="22"/>
      <c r="R3222" s="23"/>
    </row>
    <row r="3223" spans="1:18" ht="12.75">
      <c r="A3223" s="22"/>
      <c r="D3223" s="19"/>
      <c r="H3223" s="18"/>
      <c r="J3223" s="18"/>
      <c r="N3223" s="16"/>
      <c r="O3223" s="17"/>
      <c r="Q3223" s="22"/>
      <c r="R3223" s="23"/>
    </row>
    <row r="3224" spans="1:18" ht="12.75">
      <c r="A3224" s="22"/>
      <c r="D3224" s="19"/>
      <c r="H3224" s="18"/>
      <c r="J3224" s="18"/>
      <c r="N3224" s="16"/>
      <c r="O3224" s="17"/>
      <c r="Q3224" s="22"/>
      <c r="R3224" s="23"/>
    </row>
    <row r="3225" spans="1:18" ht="12.75">
      <c r="A3225" s="22"/>
      <c r="D3225" s="19"/>
      <c r="H3225" s="18"/>
      <c r="J3225" s="18"/>
      <c r="N3225" s="16"/>
      <c r="O3225" s="17"/>
      <c r="Q3225" s="22"/>
      <c r="R3225" s="23"/>
    </row>
    <row r="3226" spans="1:18" ht="12.75">
      <c r="A3226" s="22"/>
      <c r="D3226" s="19"/>
      <c r="H3226" s="18"/>
      <c r="J3226" s="18"/>
      <c r="N3226" s="16"/>
      <c r="O3226" s="17"/>
      <c r="Q3226" s="22"/>
      <c r="R3226" s="23"/>
    </row>
    <row r="3227" spans="1:18" ht="12.75">
      <c r="A3227" s="22"/>
      <c r="D3227" s="19"/>
      <c r="H3227" s="18"/>
      <c r="J3227" s="18"/>
      <c r="N3227" s="16"/>
      <c r="O3227" s="17"/>
      <c r="Q3227" s="22"/>
      <c r="R3227" s="23"/>
    </row>
    <row r="3228" spans="1:18" ht="12.75">
      <c r="A3228" s="22"/>
      <c r="D3228" s="19"/>
      <c r="H3228" s="18"/>
      <c r="J3228" s="18"/>
      <c r="N3228" s="16"/>
      <c r="O3228" s="17"/>
      <c r="Q3228" s="22"/>
      <c r="R3228" s="23"/>
    </row>
    <row r="3229" spans="1:18" ht="12.75">
      <c r="A3229" s="22"/>
      <c r="D3229" s="19"/>
      <c r="H3229" s="18"/>
      <c r="J3229" s="18"/>
      <c r="N3229" s="16"/>
      <c r="O3229" s="17"/>
      <c r="Q3229" s="22"/>
      <c r="R3229" s="23"/>
    </row>
    <row r="3230" spans="1:18" ht="12.75">
      <c r="A3230" s="22"/>
      <c r="D3230" s="19"/>
      <c r="H3230" s="18"/>
      <c r="J3230" s="18"/>
      <c r="N3230" s="16"/>
      <c r="O3230" s="17"/>
      <c r="Q3230" s="22"/>
      <c r="R3230" s="23"/>
    </row>
    <row r="3231" spans="1:18" ht="12.75">
      <c r="A3231" s="22"/>
      <c r="D3231" s="19"/>
      <c r="H3231" s="18"/>
      <c r="J3231" s="18"/>
      <c r="N3231" s="16"/>
      <c r="O3231" s="17"/>
      <c r="Q3231" s="22"/>
      <c r="R3231" s="23"/>
    </row>
    <row r="3232" spans="1:18" ht="12.75">
      <c r="A3232" s="22"/>
      <c r="D3232" s="19"/>
      <c r="H3232" s="18"/>
      <c r="J3232" s="18"/>
      <c r="N3232" s="16"/>
      <c r="O3232" s="17"/>
      <c r="Q3232" s="22"/>
      <c r="R3232" s="23"/>
    </row>
    <row r="3233" spans="1:18" ht="12.75">
      <c r="A3233" s="22"/>
      <c r="D3233" s="19"/>
      <c r="H3233" s="18"/>
      <c r="J3233" s="18"/>
      <c r="N3233" s="16"/>
      <c r="O3233" s="17"/>
      <c r="Q3233" s="22"/>
      <c r="R3233" s="23"/>
    </row>
    <row r="3234" spans="1:18" ht="12.75">
      <c r="A3234" s="22"/>
      <c r="D3234" s="19"/>
      <c r="H3234" s="18"/>
      <c r="J3234" s="18"/>
      <c r="N3234" s="16"/>
      <c r="O3234" s="17"/>
      <c r="Q3234" s="22"/>
      <c r="R3234" s="23"/>
    </row>
    <row r="3235" spans="1:18" ht="12.75">
      <c r="A3235" s="22"/>
      <c r="D3235" s="19"/>
      <c r="H3235" s="18"/>
      <c r="J3235" s="18"/>
      <c r="N3235" s="16"/>
      <c r="O3235" s="17"/>
      <c r="Q3235" s="22"/>
      <c r="R3235" s="23"/>
    </row>
    <row r="3236" spans="1:18" ht="12.75">
      <c r="A3236" s="22"/>
      <c r="D3236" s="19"/>
      <c r="H3236" s="18"/>
      <c r="J3236" s="18"/>
      <c r="N3236" s="16"/>
      <c r="O3236" s="17"/>
      <c r="Q3236" s="22"/>
      <c r="R3236" s="23"/>
    </row>
    <row r="3237" spans="1:18" ht="12.75">
      <c r="A3237" s="22"/>
      <c r="D3237" s="19"/>
      <c r="H3237" s="18"/>
      <c r="J3237" s="18"/>
      <c r="N3237" s="16"/>
      <c r="O3237" s="17"/>
      <c r="Q3237" s="22"/>
      <c r="R3237" s="23"/>
    </row>
    <row r="3238" spans="1:18" ht="12.75">
      <c r="A3238" s="22"/>
      <c r="D3238" s="19"/>
      <c r="H3238" s="18"/>
      <c r="J3238" s="18"/>
      <c r="N3238" s="16"/>
      <c r="O3238" s="17"/>
      <c r="Q3238" s="22"/>
      <c r="R3238" s="23"/>
    </row>
    <row r="3239" spans="1:18" ht="12.75">
      <c r="A3239" s="22"/>
      <c r="D3239" s="19"/>
      <c r="H3239" s="18"/>
      <c r="J3239" s="18"/>
      <c r="N3239" s="16"/>
      <c r="O3239" s="17"/>
      <c r="Q3239" s="22"/>
      <c r="R3239" s="23"/>
    </row>
    <row r="3240" spans="1:18" ht="12.75">
      <c r="A3240" s="22"/>
      <c r="D3240" s="19"/>
      <c r="H3240" s="18"/>
      <c r="J3240" s="18"/>
      <c r="N3240" s="16"/>
      <c r="O3240" s="17"/>
      <c r="Q3240" s="22"/>
      <c r="R3240" s="23"/>
    </row>
    <row r="3241" spans="1:18" ht="12.75">
      <c r="A3241" s="22"/>
      <c r="D3241" s="19"/>
      <c r="H3241" s="18"/>
      <c r="J3241" s="18"/>
      <c r="N3241" s="16"/>
      <c r="O3241" s="17"/>
      <c r="Q3241" s="22"/>
      <c r="R3241" s="23"/>
    </row>
    <row r="3242" spans="1:18" ht="12.75">
      <c r="A3242" s="22"/>
      <c r="D3242" s="19"/>
      <c r="H3242" s="18"/>
      <c r="J3242" s="18"/>
      <c r="N3242" s="16"/>
      <c r="O3242" s="17"/>
      <c r="Q3242" s="22"/>
      <c r="R3242" s="23"/>
    </row>
    <row r="3243" spans="1:18" ht="12.75">
      <c r="A3243" s="22"/>
      <c r="D3243" s="19"/>
      <c r="H3243" s="18"/>
      <c r="J3243" s="18"/>
      <c r="N3243" s="16"/>
      <c r="O3243" s="17"/>
      <c r="Q3243" s="22"/>
      <c r="R3243" s="23"/>
    </row>
    <row r="3244" spans="1:18" ht="12.75">
      <c r="A3244" s="22"/>
      <c r="D3244" s="19"/>
      <c r="H3244" s="18"/>
      <c r="J3244" s="18"/>
      <c r="N3244" s="16"/>
      <c r="O3244" s="17"/>
      <c r="Q3244" s="22"/>
      <c r="R3244" s="23"/>
    </row>
    <row r="3245" spans="1:18" ht="12.75">
      <c r="A3245" s="22"/>
      <c r="D3245" s="19"/>
      <c r="H3245" s="18"/>
      <c r="J3245" s="18"/>
      <c r="N3245" s="16"/>
      <c r="O3245" s="17"/>
      <c r="Q3245" s="22"/>
      <c r="R3245" s="23"/>
    </row>
    <row r="3246" spans="1:18" ht="12.75">
      <c r="A3246" s="22"/>
      <c r="D3246" s="19"/>
      <c r="H3246" s="18"/>
      <c r="J3246" s="18"/>
      <c r="N3246" s="16"/>
      <c r="O3246" s="17"/>
      <c r="Q3246" s="22"/>
      <c r="R3246" s="23"/>
    </row>
    <row r="3247" spans="1:18" ht="12.75">
      <c r="A3247" s="22"/>
      <c r="D3247" s="19"/>
      <c r="H3247" s="18"/>
      <c r="J3247" s="18"/>
      <c r="N3247" s="16"/>
      <c r="O3247" s="17"/>
      <c r="Q3247" s="22"/>
      <c r="R3247" s="23"/>
    </row>
    <row r="3248" spans="1:18" ht="12.75">
      <c r="A3248" s="22"/>
      <c r="D3248" s="19"/>
      <c r="H3248" s="18"/>
      <c r="J3248" s="18"/>
      <c r="N3248" s="16"/>
      <c r="O3248" s="17"/>
      <c r="Q3248" s="22"/>
      <c r="R3248" s="23"/>
    </row>
    <row r="3249" spans="1:18" ht="12.75">
      <c r="A3249" s="22"/>
      <c r="D3249" s="19"/>
      <c r="H3249" s="18"/>
      <c r="J3249" s="18"/>
      <c r="N3249" s="16"/>
      <c r="O3249" s="17"/>
      <c r="Q3249" s="22"/>
      <c r="R3249" s="23"/>
    </row>
    <row r="3250" spans="1:18" ht="12.75">
      <c r="A3250" s="22"/>
      <c r="D3250" s="19"/>
      <c r="H3250" s="18"/>
      <c r="J3250" s="18"/>
      <c r="N3250" s="16"/>
      <c r="O3250" s="17"/>
      <c r="Q3250" s="22"/>
      <c r="R3250" s="23"/>
    </row>
    <row r="3251" spans="1:18" ht="12.75">
      <c r="A3251" s="22"/>
      <c r="D3251" s="19"/>
      <c r="H3251" s="18"/>
      <c r="J3251" s="18"/>
      <c r="N3251" s="16"/>
      <c r="O3251" s="17"/>
      <c r="Q3251" s="22"/>
      <c r="R3251" s="23"/>
    </row>
    <row r="3252" spans="1:18" ht="12.75">
      <c r="A3252" s="22"/>
      <c r="D3252" s="19"/>
      <c r="H3252" s="18"/>
      <c r="J3252" s="18"/>
      <c r="N3252" s="16"/>
      <c r="O3252" s="17"/>
      <c r="Q3252" s="22"/>
      <c r="R3252" s="23"/>
    </row>
    <row r="3253" spans="1:18" ht="12.75">
      <c r="A3253" s="22"/>
      <c r="D3253" s="19"/>
      <c r="H3253" s="18"/>
      <c r="J3253" s="18"/>
      <c r="N3253" s="16"/>
      <c r="O3253" s="17"/>
      <c r="Q3253" s="22"/>
      <c r="R3253" s="23"/>
    </row>
    <row r="3254" spans="1:18" ht="12.75">
      <c r="A3254" s="22"/>
      <c r="D3254" s="19"/>
      <c r="H3254" s="18"/>
      <c r="J3254" s="18"/>
      <c r="N3254" s="16"/>
      <c r="O3254" s="17"/>
      <c r="Q3254" s="22"/>
      <c r="R3254" s="23"/>
    </row>
    <row r="3255" spans="1:18" ht="12.75">
      <c r="A3255" s="22"/>
      <c r="D3255" s="19"/>
      <c r="H3255" s="18"/>
      <c r="J3255" s="18"/>
      <c r="N3255" s="16"/>
      <c r="O3255" s="17"/>
      <c r="Q3255" s="22"/>
      <c r="R3255" s="23"/>
    </row>
    <row r="3256" spans="1:18" ht="12.75">
      <c r="A3256" s="22"/>
      <c r="D3256" s="19"/>
      <c r="H3256" s="18"/>
      <c r="J3256" s="18"/>
      <c r="N3256" s="16"/>
      <c r="O3256" s="17"/>
      <c r="Q3256" s="22"/>
      <c r="R3256" s="23"/>
    </row>
    <row r="3257" spans="1:18" ht="12.75">
      <c r="A3257" s="22"/>
      <c r="D3257" s="19"/>
      <c r="H3257" s="18"/>
      <c r="J3257" s="18"/>
      <c r="N3257" s="16"/>
      <c r="O3257" s="17"/>
      <c r="Q3257" s="22"/>
      <c r="R3257" s="23"/>
    </row>
    <row r="3258" spans="1:18" ht="12.75">
      <c r="A3258" s="22"/>
      <c r="D3258" s="19"/>
      <c r="H3258" s="18"/>
      <c r="J3258" s="18"/>
      <c r="N3258" s="16"/>
      <c r="O3258" s="17"/>
      <c r="Q3258" s="22"/>
      <c r="R3258" s="23"/>
    </row>
    <row r="3259" spans="1:18" ht="12.75">
      <c r="A3259" s="22"/>
      <c r="D3259" s="19"/>
      <c r="H3259" s="18"/>
      <c r="J3259" s="18"/>
      <c r="N3259" s="16"/>
      <c r="O3259" s="17"/>
      <c r="Q3259" s="22"/>
      <c r="R3259" s="23"/>
    </row>
    <row r="3260" spans="1:18" ht="12.75">
      <c r="A3260" s="22"/>
      <c r="D3260" s="19"/>
      <c r="H3260" s="18"/>
      <c r="J3260" s="18"/>
      <c r="N3260" s="16"/>
      <c r="O3260" s="17"/>
      <c r="Q3260" s="22"/>
      <c r="R3260" s="23"/>
    </row>
    <row r="3261" spans="1:18" ht="12.75">
      <c r="A3261" s="22"/>
      <c r="D3261" s="19"/>
      <c r="H3261" s="18"/>
      <c r="J3261" s="18"/>
      <c r="N3261" s="16"/>
      <c r="O3261" s="17"/>
      <c r="Q3261" s="22"/>
      <c r="R3261" s="23"/>
    </row>
    <row r="3262" spans="1:18" ht="12.75">
      <c r="A3262" s="22"/>
      <c r="D3262" s="19"/>
      <c r="H3262" s="18"/>
      <c r="J3262" s="18"/>
      <c r="N3262" s="16"/>
      <c r="O3262" s="17"/>
      <c r="Q3262" s="22"/>
      <c r="R3262" s="23"/>
    </row>
    <row r="3263" spans="1:18" ht="12.75">
      <c r="A3263" s="22"/>
      <c r="D3263" s="19"/>
      <c r="H3263" s="18"/>
      <c r="J3263" s="18"/>
      <c r="N3263" s="16"/>
      <c r="O3263" s="17"/>
      <c r="Q3263" s="22"/>
      <c r="R3263" s="23"/>
    </row>
    <row r="3264" spans="1:18" ht="12.75">
      <c r="A3264" s="22"/>
      <c r="D3264" s="19"/>
      <c r="H3264" s="18"/>
      <c r="J3264" s="18"/>
      <c r="N3264" s="16"/>
      <c r="O3264" s="17"/>
      <c r="Q3264" s="22"/>
      <c r="R3264" s="23"/>
    </row>
    <row r="3265" spans="1:18" ht="12.75">
      <c r="A3265" s="22"/>
      <c r="D3265" s="19"/>
      <c r="H3265" s="18"/>
      <c r="J3265" s="18"/>
      <c r="N3265" s="16"/>
      <c r="O3265" s="17"/>
      <c r="Q3265" s="22"/>
      <c r="R3265" s="23"/>
    </row>
    <row r="3266" spans="1:18" ht="12.75">
      <c r="A3266" s="22"/>
      <c r="D3266" s="19"/>
      <c r="H3266" s="18"/>
      <c r="J3266" s="18"/>
      <c r="N3266" s="16"/>
      <c r="O3266" s="17"/>
      <c r="Q3266" s="22"/>
      <c r="R3266" s="23"/>
    </row>
    <row r="3267" spans="1:18" ht="12.75">
      <c r="A3267" s="22"/>
      <c r="D3267" s="19"/>
      <c r="H3267" s="18"/>
      <c r="J3267" s="18"/>
      <c r="N3267" s="16"/>
      <c r="O3267" s="17"/>
      <c r="Q3267" s="22"/>
      <c r="R3267" s="23"/>
    </row>
    <row r="3268" spans="1:18" ht="12.75">
      <c r="A3268" s="22"/>
      <c r="D3268" s="19"/>
      <c r="H3268" s="18"/>
      <c r="J3268" s="18"/>
      <c r="N3268" s="16"/>
      <c r="O3268" s="17"/>
      <c r="Q3268" s="22"/>
      <c r="R3268" s="23"/>
    </row>
    <row r="3269" spans="1:18" ht="12.75">
      <c r="A3269" s="22"/>
      <c r="D3269" s="19"/>
      <c r="H3269" s="18"/>
      <c r="J3269" s="18"/>
      <c r="N3269" s="16"/>
      <c r="O3269" s="17"/>
      <c r="Q3269" s="22"/>
      <c r="R3269" s="23"/>
    </row>
    <row r="3270" spans="1:18" ht="12.75">
      <c r="A3270" s="22"/>
      <c r="D3270" s="19"/>
      <c r="H3270" s="18"/>
      <c r="J3270" s="18"/>
      <c r="N3270" s="16"/>
      <c r="O3270" s="17"/>
      <c r="Q3270" s="22"/>
      <c r="R3270" s="23"/>
    </row>
    <row r="3271" spans="1:18" ht="12.75">
      <c r="A3271" s="22"/>
      <c r="D3271" s="19"/>
      <c r="H3271" s="18"/>
      <c r="J3271" s="18"/>
      <c r="N3271" s="16"/>
      <c r="O3271" s="17"/>
      <c r="Q3271" s="22"/>
      <c r="R3271" s="23"/>
    </row>
    <row r="3272" spans="1:18" ht="12.75">
      <c r="A3272" s="22"/>
      <c r="D3272" s="19"/>
      <c r="H3272" s="18"/>
      <c r="J3272" s="18"/>
      <c r="N3272" s="16"/>
      <c r="O3272" s="17"/>
      <c r="Q3272" s="22"/>
      <c r="R3272" s="23"/>
    </row>
    <row r="3273" spans="1:18" ht="12.75">
      <c r="A3273" s="22"/>
      <c r="D3273" s="19"/>
      <c r="H3273" s="18"/>
      <c r="J3273" s="18"/>
      <c r="N3273" s="16"/>
      <c r="O3273" s="17"/>
      <c r="Q3273" s="22"/>
      <c r="R3273" s="23"/>
    </row>
    <row r="3274" spans="1:18" ht="12.75">
      <c r="A3274" s="22"/>
      <c r="D3274" s="19"/>
      <c r="H3274" s="18"/>
      <c r="J3274" s="18"/>
      <c r="N3274" s="16"/>
      <c r="O3274" s="17"/>
      <c r="Q3274" s="22"/>
      <c r="R3274" s="23"/>
    </row>
    <row r="3275" spans="1:18" ht="12.75">
      <c r="A3275" s="22"/>
      <c r="D3275" s="19"/>
      <c r="H3275" s="18"/>
      <c r="J3275" s="18"/>
      <c r="N3275" s="16"/>
      <c r="O3275" s="17"/>
      <c r="Q3275" s="22"/>
      <c r="R3275" s="23"/>
    </row>
    <row r="3276" spans="1:18" ht="12.75">
      <c r="A3276" s="22"/>
      <c r="D3276" s="19"/>
      <c r="H3276" s="18"/>
      <c r="J3276" s="18"/>
      <c r="N3276" s="16"/>
      <c r="O3276" s="17"/>
      <c r="Q3276" s="22"/>
      <c r="R3276" s="23"/>
    </row>
    <row r="3277" spans="1:18" ht="12.75">
      <c r="A3277" s="22"/>
      <c r="D3277" s="19"/>
      <c r="H3277" s="18"/>
      <c r="J3277" s="18"/>
      <c r="N3277" s="16"/>
      <c r="O3277" s="17"/>
      <c r="Q3277" s="22"/>
      <c r="R3277" s="23"/>
    </row>
    <row r="3278" spans="1:18" ht="12.75">
      <c r="A3278" s="22"/>
      <c r="D3278" s="19"/>
      <c r="H3278" s="18"/>
      <c r="J3278" s="18"/>
      <c r="N3278" s="16"/>
      <c r="O3278" s="17"/>
      <c r="Q3278" s="22"/>
      <c r="R3278" s="23"/>
    </row>
    <row r="3279" spans="1:18" ht="12.75">
      <c r="A3279" s="22"/>
      <c r="D3279" s="19"/>
      <c r="H3279" s="18"/>
      <c r="J3279" s="18"/>
      <c r="N3279" s="16"/>
      <c r="O3279" s="17"/>
      <c r="Q3279" s="22"/>
      <c r="R3279" s="23"/>
    </row>
    <row r="3280" spans="1:18" ht="12.75">
      <c r="A3280" s="22"/>
      <c r="D3280" s="19"/>
      <c r="H3280" s="18"/>
      <c r="J3280" s="18"/>
      <c r="N3280" s="16"/>
      <c r="O3280" s="17"/>
      <c r="Q3280" s="22"/>
      <c r="R3280" s="23"/>
    </row>
    <row r="3281" spans="1:18" ht="12.75">
      <c r="A3281" s="22"/>
      <c r="D3281" s="19"/>
      <c r="H3281" s="18"/>
      <c r="J3281" s="18"/>
      <c r="N3281" s="16"/>
      <c r="O3281" s="17"/>
      <c r="Q3281" s="22"/>
      <c r="R3281" s="23"/>
    </row>
    <row r="3282" spans="1:18" ht="12.75">
      <c r="A3282" s="22"/>
      <c r="D3282" s="19"/>
      <c r="H3282" s="18"/>
      <c r="J3282" s="18"/>
      <c r="N3282" s="16"/>
      <c r="O3282" s="17"/>
      <c r="Q3282" s="22"/>
      <c r="R3282" s="23"/>
    </row>
    <row r="3283" spans="1:18" ht="12.75">
      <c r="A3283" s="22"/>
      <c r="D3283" s="19"/>
      <c r="H3283" s="18"/>
      <c r="J3283" s="18"/>
      <c r="N3283" s="16"/>
      <c r="O3283" s="17"/>
      <c r="Q3283" s="22"/>
      <c r="R3283" s="23"/>
    </row>
    <row r="3284" spans="1:18" ht="12.75">
      <c r="A3284" s="22"/>
      <c r="D3284" s="19"/>
      <c r="H3284" s="18"/>
      <c r="J3284" s="18"/>
      <c r="N3284" s="16"/>
      <c r="O3284" s="17"/>
      <c r="Q3284" s="22"/>
      <c r="R3284" s="23"/>
    </row>
    <row r="3285" spans="1:18" ht="12.75">
      <c r="A3285" s="22"/>
      <c r="D3285" s="19"/>
      <c r="H3285" s="18"/>
      <c r="J3285" s="18"/>
      <c r="N3285" s="16"/>
      <c r="O3285" s="17"/>
      <c r="Q3285" s="22"/>
      <c r="R3285" s="23"/>
    </row>
    <row r="3286" spans="1:18" ht="12.75">
      <c r="A3286" s="22"/>
      <c r="D3286" s="19"/>
      <c r="H3286" s="18"/>
      <c r="J3286" s="18"/>
      <c r="N3286" s="16"/>
      <c r="O3286" s="17"/>
      <c r="Q3286" s="22"/>
      <c r="R3286" s="23"/>
    </row>
    <row r="3287" spans="1:18" ht="12.75">
      <c r="A3287" s="22"/>
      <c r="D3287" s="19"/>
      <c r="H3287" s="18"/>
      <c r="J3287" s="18"/>
      <c r="N3287" s="16"/>
      <c r="O3287" s="17"/>
      <c r="Q3287" s="22"/>
      <c r="R3287" s="23"/>
    </row>
    <row r="3288" spans="1:18" ht="12.75">
      <c r="A3288" s="22"/>
      <c r="D3288" s="19"/>
      <c r="H3288" s="18"/>
      <c r="J3288" s="18"/>
      <c r="N3288" s="16"/>
      <c r="O3288" s="17"/>
      <c r="Q3288" s="22"/>
      <c r="R3288" s="23"/>
    </row>
    <row r="3289" spans="1:18" ht="12.75">
      <c r="A3289" s="22"/>
      <c r="D3289" s="19"/>
      <c r="H3289" s="18"/>
      <c r="J3289" s="18"/>
      <c r="N3289" s="16"/>
      <c r="O3289" s="17"/>
      <c r="Q3289" s="22"/>
      <c r="R3289" s="23"/>
    </row>
    <row r="3290" spans="1:18" ht="12.75">
      <c r="A3290" s="22"/>
      <c r="D3290" s="19"/>
      <c r="H3290" s="18"/>
      <c r="J3290" s="18"/>
      <c r="N3290" s="16"/>
      <c r="O3290" s="17"/>
      <c r="Q3290" s="22"/>
      <c r="R3290" s="23"/>
    </row>
    <row r="3291" spans="1:18" ht="12.75">
      <c r="A3291" s="22"/>
      <c r="D3291" s="19"/>
      <c r="H3291" s="18"/>
      <c r="J3291" s="18"/>
      <c r="N3291" s="16"/>
      <c r="O3291" s="17"/>
      <c r="Q3291" s="22"/>
      <c r="R3291" s="23"/>
    </row>
    <row r="3292" spans="1:18" ht="12.75">
      <c r="A3292" s="22"/>
      <c r="D3292" s="19"/>
      <c r="H3292" s="18"/>
      <c r="J3292" s="18"/>
      <c r="N3292" s="16"/>
      <c r="O3292" s="17"/>
      <c r="Q3292" s="22"/>
      <c r="R3292" s="23"/>
    </row>
    <row r="3293" spans="1:18" ht="12.75">
      <c r="A3293" s="22"/>
      <c r="D3293" s="19"/>
      <c r="H3293" s="18"/>
      <c r="J3293" s="18"/>
      <c r="N3293" s="16"/>
      <c r="O3293" s="17"/>
      <c r="Q3293" s="22"/>
      <c r="R3293" s="23"/>
    </row>
    <row r="3294" spans="1:18" ht="12.75">
      <c r="A3294" s="22"/>
      <c r="D3294" s="19"/>
      <c r="H3294" s="18"/>
      <c r="J3294" s="18"/>
      <c r="N3294" s="16"/>
      <c r="O3294" s="17"/>
      <c r="Q3294" s="22"/>
      <c r="R3294" s="23"/>
    </row>
    <row r="3295" spans="1:18" ht="12.75">
      <c r="A3295" s="22"/>
      <c r="D3295" s="19"/>
      <c r="H3295" s="18"/>
      <c r="J3295" s="18"/>
      <c r="N3295" s="16"/>
      <c r="O3295" s="17"/>
      <c r="Q3295" s="22"/>
      <c r="R3295" s="23"/>
    </row>
    <row r="3296" spans="1:18" ht="12.75">
      <c r="A3296" s="22"/>
      <c r="D3296" s="19"/>
      <c r="H3296" s="18"/>
      <c r="J3296" s="18"/>
      <c r="N3296" s="16"/>
      <c r="O3296" s="17"/>
      <c r="Q3296" s="22"/>
      <c r="R3296" s="23"/>
    </row>
    <row r="3297" spans="1:18" ht="12.75">
      <c r="A3297" s="22"/>
      <c r="D3297" s="19"/>
      <c r="H3297" s="18"/>
      <c r="J3297" s="18"/>
      <c r="N3297" s="16"/>
      <c r="O3297" s="17"/>
      <c r="Q3297" s="22"/>
      <c r="R3297" s="23"/>
    </row>
    <row r="3298" spans="1:18" ht="12.75">
      <c r="A3298" s="22"/>
      <c r="D3298" s="19"/>
      <c r="H3298" s="18"/>
      <c r="J3298" s="18"/>
      <c r="N3298" s="16"/>
      <c r="O3298" s="17"/>
      <c r="Q3298" s="22"/>
      <c r="R3298" s="23"/>
    </row>
    <row r="3299" spans="1:18" ht="12.75">
      <c r="A3299" s="22"/>
      <c r="D3299" s="19"/>
      <c r="H3299" s="18"/>
      <c r="J3299" s="18"/>
      <c r="N3299" s="16"/>
      <c r="O3299" s="17"/>
      <c r="Q3299" s="22"/>
      <c r="R3299" s="23"/>
    </row>
    <row r="3300" spans="1:18" ht="12.75">
      <c r="A3300" s="22"/>
      <c r="D3300" s="19"/>
      <c r="H3300" s="18"/>
      <c r="J3300" s="18"/>
      <c r="N3300" s="16"/>
      <c r="O3300" s="17"/>
      <c r="Q3300" s="22"/>
      <c r="R3300" s="23"/>
    </row>
    <row r="3301" spans="1:18" ht="12.75">
      <c r="A3301" s="22"/>
      <c r="D3301" s="19"/>
      <c r="H3301" s="18"/>
      <c r="J3301" s="18"/>
      <c r="N3301" s="16"/>
      <c r="O3301" s="17"/>
      <c r="Q3301" s="22"/>
      <c r="R3301" s="23"/>
    </row>
    <row r="3302" spans="1:18" ht="12.75">
      <c r="A3302" s="22"/>
      <c r="D3302" s="19"/>
      <c r="H3302" s="18"/>
      <c r="J3302" s="18"/>
      <c r="N3302" s="16"/>
      <c r="O3302" s="17"/>
      <c r="Q3302" s="22"/>
      <c r="R3302" s="23"/>
    </row>
    <row r="3303" spans="1:18" ht="12.75">
      <c r="A3303" s="22"/>
      <c r="D3303" s="19"/>
      <c r="H3303" s="18"/>
      <c r="J3303" s="18"/>
      <c r="N3303" s="16"/>
      <c r="O3303" s="17"/>
      <c r="Q3303" s="22"/>
      <c r="R3303" s="23"/>
    </row>
    <row r="3304" spans="1:18" ht="12.75">
      <c r="A3304" s="22"/>
      <c r="D3304" s="19"/>
      <c r="H3304" s="18"/>
      <c r="J3304" s="18"/>
      <c r="N3304" s="16"/>
      <c r="O3304" s="17"/>
      <c r="Q3304" s="22"/>
      <c r="R3304" s="23"/>
    </row>
    <row r="3305" spans="1:18" ht="12.75">
      <c r="A3305" s="22"/>
      <c r="D3305" s="19"/>
      <c r="H3305" s="18"/>
      <c r="J3305" s="18"/>
      <c r="N3305" s="16"/>
      <c r="O3305" s="17"/>
      <c r="Q3305" s="22"/>
      <c r="R3305" s="23"/>
    </row>
    <row r="3306" spans="1:18" ht="12.75">
      <c r="A3306" s="22"/>
      <c r="D3306" s="19"/>
      <c r="H3306" s="18"/>
      <c r="J3306" s="18"/>
      <c r="N3306" s="16"/>
      <c r="O3306" s="17"/>
      <c r="Q3306" s="22"/>
      <c r="R3306" s="23"/>
    </row>
    <row r="3307" spans="1:18" ht="12.75">
      <c r="A3307" s="22"/>
      <c r="D3307" s="19"/>
      <c r="H3307" s="18"/>
      <c r="J3307" s="18"/>
      <c r="N3307" s="16"/>
      <c r="O3307" s="17"/>
      <c r="Q3307" s="22"/>
      <c r="R3307" s="23"/>
    </row>
    <row r="3308" spans="1:18" ht="12.75">
      <c r="A3308" s="22"/>
      <c r="D3308" s="19"/>
      <c r="H3308" s="18"/>
      <c r="J3308" s="18"/>
      <c r="N3308" s="16"/>
      <c r="O3308" s="17"/>
      <c r="Q3308" s="22"/>
      <c r="R3308" s="23"/>
    </row>
    <row r="3309" spans="1:18" ht="12.75">
      <c r="A3309" s="22"/>
      <c r="D3309" s="19"/>
      <c r="H3309" s="18"/>
      <c r="J3309" s="18"/>
      <c r="N3309" s="16"/>
      <c r="O3309" s="17"/>
      <c r="Q3309" s="22"/>
      <c r="R3309" s="23"/>
    </row>
    <row r="3310" spans="1:18" ht="12.75">
      <c r="A3310" s="22"/>
      <c r="D3310" s="19"/>
      <c r="H3310" s="18"/>
      <c r="J3310" s="18"/>
      <c r="N3310" s="16"/>
      <c r="O3310" s="17"/>
      <c r="Q3310" s="22"/>
      <c r="R3310" s="23"/>
    </row>
    <row r="3311" spans="1:18" ht="12.75">
      <c r="A3311" s="22"/>
      <c r="D3311" s="19"/>
      <c r="H3311" s="18"/>
      <c r="J3311" s="18"/>
      <c r="N3311" s="16"/>
      <c r="O3311" s="17"/>
      <c r="Q3311" s="22"/>
      <c r="R3311" s="23"/>
    </row>
    <row r="3312" spans="1:18" ht="12.75">
      <c r="A3312" s="22"/>
      <c r="D3312" s="19"/>
      <c r="H3312" s="18"/>
      <c r="J3312" s="18"/>
      <c r="N3312" s="16"/>
      <c r="O3312" s="17"/>
      <c r="Q3312" s="22"/>
      <c r="R3312" s="23"/>
    </row>
    <row r="3313" spans="1:18" ht="12.75">
      <c r="A3313" s="22"/>
      <c r="D3313" s="19"/>
      <c r="H3313" s="18"/>
      <c r="J3313" s="18"/>
      <c r="N3313" s="16"/>
      <c r="O3313" s="17"/>
      <c r="Q3313" s="22"/>
      <c r="R3313" s="23"/>
    </row>
    <row r="3314" spans="1:18" ht="12.75">
      <c r="A3314" s="22"/>
      <c r="D3314" s="19"/>
      <c r="H3314" s="18"/>
      <c r="J3314" s="18"/>
      <c r="N3314" s="16"/>
      <c r="O3314" s="17"/>
      <c r="Q3314" s="22"/>
      <c r="R3314" s="23"/>
    </row>
    <row r="3315" spans="1:18" ht="12.75">
      <c r="A3315" s="22"/>
      <c r="D3315" s="19"/>
      <c r="H3315" s="18"/>
      <c r="J3315" s="18"/>
      <c r="N3315" s="16"/>
      <c r="O3315" s="17"/>
      <c r="Q3315" s="22"/>
      <c r="R3315" s="23"/>
    </row>
    <row r="3316" spans="1:18" ht="12.75">
      <c r="A3316" s="22"/>
      <c r="D3316" s="19"/>
      <c r="H3316" s="18"/>
      <c r="J3316" s="18"/>
      <c r="N3316" s="16"/>
      <c r="O3316" s="17"/>
      <c r="Q3316" s="22"/>
      <c r="R3316" s="23"/>
    </row>
    <row r="3317" spans="1:18" ht="12.75">
      <c r="A3317" s="22"/>
      <c r="D3317" s="19"/>
      <c r="H3317" s="18"/>
      <c r="J3317" s="18"/>
      <c r="N3317" s="16"/>
      <c r="O3317" s="17"/>
      <c r="Q3317" s="22"/>
      <c r="R3317" s="23"/>
    </row>
    <row r="3318" spans="1:18" ht="12.75">
      <c r="A3318" s="22"/>
      <c r="D3318" s="19"/>
      <c r="H3318" s="18"/>
      <c r="J3318" s="18"/>
      <c r="N3318" s="16"/>
      <c r="O3318" s="17"/>
      <c r="Q3318" s="22"/>
      <c r="R3318" s="23"/>
    </row>
    <row r="3319" spans="1:18" ht="12.75">
      <c r="A3319" s="22"/>
      <c r="D3319" s="19"/>
      <c r="H3319" s="18"/>
      <c r="J3319" s="18"/>
      <c r="N3319" s="16"/>
      <c r="O3319" s="17"/>
      <c r="Q3319" s="22"/>
      <c r="R3319" s="23"/>
    </row>
    <row r="3320" spans="1:18" ht="12.75">
      <c r="A3320" s="22"/>
      <c r="D3320" s="19"/>
      <c r="H3320" s="18"/>
      <c r="J3320" s="18"/>
      <c r="N3320" s="16"/>
      <c r="O3320" s="17"/>
      <c r="Q3320" s="22"/>
      <c r="R3320" s="23"/>
    </row>
    <row r="3321" spans="1:18" ht="12.75">
      <c r="A3321" s="22"/>
      <c r="D3321" s="19"/>
      <c r="H3321" s="18"/>
      <c r="J3321" s="18"/>
      <c r="N3321" s="16"/>
      <c r="O3321" s="17"/>
      <c r="Q3321" s="22"/>
      <c r="R3321" s="23"/>
    </row>
    <row r="3322" spans="1:18" ht="12.75">
      <c r="A3322" s="22"/>
      <c r="D3322" s="19"/>
      <c r="H3322" s="18"/>
      <c r="J3322" s="18"/>
      <c r="N3322" s="16"/>
      <c r="O3322" s="17"/>
      <c r="Q3322" s="22"/>
      <c r="R3322" s="23"/>
    </row>
    <row r="3323" spans="1:18" ht="12.75">
      <c r="A3323" s="22"/>
      <c r="D3323" s="19"/>
      <c r="H3323" s="18"/>
      <c r="J3323" s="18"/>
      <c r="N3323" s="16"/>
      <c r="O3323" s="17"/>
      <c r="Q3323" s="22"/>
      <c r="R3323" s="23"/>
    </row>
    <row r="3324" spans="1:18" ht="12.75">
      <c r="A3324" s="22"/>
      <c r="D3324" s="19"/>
      <c r="H3324" s="18"/>
      <c r="J3324" s="18"/>
      <c r="N3324" s="16"/>
      <c r="O3324" s="17"/>
      <c r="Q3324" s="22"/>
      <c r="R3324" s="23"/>
    </row>
    <row r="3325" spans="1:18" ht="12.75">
      <c r="A3325" s="22"/>
      <c r="D3325" s="19"/>
      <c r="H3325" s="18"/>
      <c r="J3325" s="18"/>
      <c r="N3325" s="16"/>
      <c r="O3325" s="17"/>
      <c r="Q3325" s="22"/>
      <c r="R3325" s="23"/>
    </row>
    <row r="3326" spans="1:18" ht="12.75">
      <c r="A3326" s="22"/>
      <c r="D3326" s="19"/>
      <c r="H3326" s="18"/>
      <c r="J3326" s="18"/>
      <c r="N3326" s="16"/>
      <c r="O3326" s="17"/>
      <c r="Q3326" s="22"/>
      <c r="R3326" s="23"/>
    </row>
    <row r="3327" spans="1:18" ht="12.75">
      <c r="A3327" s="22"/>
      <c r="D3327" s="19"/>
      <c r="H3327" s="18"/>
      <c r="J3327" s="18"/>
      <c r="N3327" s="16"/>
      <c r="O3327" s="17"/>
      <c r="Q3327" s="22"/>
      <c r="R3327" s="23"/>
    </row>
    <row r="3328" spans="1:18" ht="12.75">
      <c r="A3328" s="22"/>
      <c r="D3328" s="19"/>
      <c r="H3328" s="18"/>
      <c r="J3328" s="18"/>
      <c r="N3328" s="16"/>
      <c r="O3328" s="17"/>
      <c r="Q3328" s="22"/>
      <c r="R3328" s="23"/>
    </row>
    <row r="3329" spans="1:18" ht="12.75">
      <c r="A3329" s="22"/>
      <c r="D3329" s="19"/>
      <c r="H3329" s="18"/>
      <c r="J3329" s="18"/>
      <c r="N3329" s="16"/>
      <c r="O3329" s="17"/>
      <c r="Q3329" s="22"/>
      <c r="R3329" s="23"/>
    </row>
    <row r="3330" spans="1:18" ht="12.75">
      <c r="A3330" s="22"/>
      <c r="D3330" s="19"/>
      <c r="H3330" s="18"/>
      <c r="J3330" s="18"/>
      <c r="N3330" s="16"/>
      <c r="O3330" s="17"/>
      <c r="Q3330" s="22"/>
      <c r="R3330" s="23"/>
    </row>
    <row r="3331" spans="1:18" ht="12.75">
      <c r="A3331" s="22"/>
      <c r="D3331" s="19"/>
      <c r="H3331" s="18"/>
      <c r="J3331" s="18"/>
      <c r="N3331" s="16"/>
      <c r="O3331" s="17"/>
      <c r="Q3331" s="22"/>
      <c r="R3331" s="23"/>
    </row>
    <row r="3332" spans="1:18" ht="12.75">
      <c r="A3332" s="22"/>
      <c r="D3332" s="19"/>
      <c r="H3332" s="18"/>
      <c r="J3332" s="18"/>
      <c r="N3332" s="16"/>
      <c r="O3332" s="17"/>
      <c r="Q3332" s="22"/>
      <c r="R3332" s="23"/>
    </row>
    <row r="3333" spans="1:18" ht="12.75">
      <c r="A3333" s="22"/>
      <c r="D3333" s="19"/>
      <c r="H3333" s="18"/>
      <c r="J3333" s="18"/>
      <c r="N3333" s="16"/>
      <c r="O3333" s="17"/>
      <c r="Q3333" s="22"/>
      <c r="R3333" s="23"/>
    </row>
    <row r="3334" spans="1:18" ht="12.75">
      <c r="A3334" s="22"/>
      <c r="D3334" s="19"/>
      <c r="H3334" s="18"/>
      <c r="J3334" s="18"/>
      <c r="N3334" s="16"/>
      <c r="O3334" s="17"/>
      <c r="Q3334" s="22"/>
      <c r="R3334" s="23"/>
    </row>
    <row r="3335" spans="1:18" ht="12.75">
      <c r="A3335" s="22"/>
      <c r="D3335" s="19"/>
      <c r="H3335" s="18"/>
      <c r="J3335" s="18"/>
      <c r="N3335" s="16"/>
      <c r="O3335" s="17"/>
      <c r="Q3335" s="22"/>
      <c r="R3335" s="23"/>
    </row>
    <row r="3336" spans="1:18" ht="12.75">
      <c r="A3336" s="22"/>
      <c r="D3336" s="19"/>
      <c r="H3336" s="18"/>
      <c r="J3336" s="18"/>
      <c r="N3336" s="16"/>
      <c r="O3336" s="17"/>
      <c r="Q3336" s="22"/>
      <c r="R3336" s="23"/>
    </row>
    <row r="3337" spans="1:18" ht="12.75">
      <c r="A3337" s="22"/>
      <c r="D3337" s="19"/>
      <c r="H3337" s="18"/>
      <c r="J3337" s="18"/>
      <c r="N3337" s="16"/>
      <c r="O3337" s="17"/>
      <c r="Q3337" s="22"/>
      <c r="R3337" s="23"/>
    </row>
    <row r="3338" spans="1:18" ht="12.75">
      <c r="A3338" s="22"/>
      <c r="D3338" s="19"/>
      <c r="H3338" s="18"/>
      <c r="J3338" s="18"/>
      <c r="N3338" s="16"/>
      <c r="O3338" s="17"/>
      <c r="Q3338" s="22"/>
      <c r="R3338" s="23"/>
    </row>
    <row r="3339" spans="1:18" ht="12.75">
      <c r="A3339" s="22"/>
      <c r="D3339" s="19"/>
      <c r="H3339" s="18"/>
      <c r="J3339" s="18"/>
      <c r="N3339" s="16"/>
      <c r="O3339" s="17"/>
      <c r="Q3339" s="22"/>
      <c r="R3339" s="23"/>
    </row>
    <row r="3340" spans="1:18" ht="12.75">
      <c r="A3340" s="22"/>
      <c r="D3340" s="19"/>
      <c r="H3340" s="18"/>
      <c r="J3340" s="18"/>
      <c r="N3340" s="16"/>
      <c r="O3340" s="17"/>
      <c r="Q3340" s="22"/>
      <c r="R3340" s="23"/>
    </row>
    <row r="3341" spans="1:18" ht="12.75">
      <c r="A3341" s="22"/>
      <c r="D3341" s="19"/>
      <c r="H3341" s="18"/>
      <c r="J3341" s="18"/>
      <c r="N3341" s="16"/>
      <c r="O3341" s="17"/>
      <c r="Q3341" s="22"/>
      <c r="R3341" s="23"/>
    </row>
    <row r="3342" spans="1:18" ht="12.75">
      <c r="A3342" s="22"/>
      <c r="D3342" s="19"/>
      <c r="H3342" s="18"/>
      <c r="J3342" s="18"/>
      <c r="N3342" s="16"/>
      <c r="O3342" s="17"/>
      <c r="Q3342" s="22"/>
      <c r="R3342" s="23"/>
    </row>
    <row r="3343" spans="1:18" ht="12.75">
      <c r="A3343" s="22"/>
      <c r="D3343" s="19"/>
      <c r="H3343" s="18"/>
      <c r="J3343" s="18"/>
      <c r="N3343" s="16"/>
      <c r="O3343" s="17"/>
      <c r="Q3343" s="22"/>
      <c r="R3343" s="23"/>
    </row>
    <row r="3344" spans="1:18" ht="12.75">
      <c r="A3344" s="22"/>
      <c r="D3344" s="19"/>
      <c r="H3344" s="18"/>
      <c r="J3344" s="18"/>
      <c r="N3344" s="16"/>
      <c r="O3344" s="17"/>
      <c r="Q3344" s="22"/>
      <c r="R3344" s="23"/>
    </row>
    <row r="3345" spans="1:18" ht="12.75">
      <c r="A3345" s="22"/>
      <c r="D3345" s="19"/>
      <c r="H3345" s="18"/>
      <c r="J3345" s="18"/>
      <c r="N3345" s="16"/>
      <c r="O3345" s="17"/>
      <c r="Q3345" s="22"/>
      <c r="R3345" s="23"/>
    </row>
    <row r="3346" spans="1:18" ht="12.75">
      <c r="A3346" s="22"/>
      <c r="D3346" s="19"/>
      <c r="H3346" s="18"/>
      <c r="J3346" s="18"/>
      <c r="N3346" s="16"/>
      <c r="O3346" s="17"/>
      <c r="Q3346" s="22"/>
      <c r="R3346" s="23"/>
    </row>
    <row r="3347" spans="1:18" ht="12.75">
      <c r="A3347" s="22"/>
      <c r="D3347" s="19"/>
      <c r="H3347" s="18"/>
      <c r="J3347" s="18"/>
      <c r="N3347" s="16"/>
      <c r="O3347" s="17"/>
      <c r="Q3347" s="22"/>
      <c r="R3347" s="23"/>
    </row>
    <row r="3348" spans="1:18" ht="12.75">
      <c r="A3348" s="22"/>
      <c r="D3348" s="19"/>
      <c r="H3348" s="18"/>
      <c r="J3348" s="18"/>
      <c r="N3348" s="16"/>
      <c r="O3348" s="17"/>
      <c r="Q3348" s="22"/>
      <c r="R3348" s="23"/>
    </row>
    <row r="3349" spans="1:18" ht="12.75">
      <c r="A3349" s="22"/>
      <c r="D3349" s="19"/>
      <c r="H3349" s="18"/>
      <c r="J3349" s="18"/>
      <c r="N3349" s="16"/>
      <c r="O3349" s="17"/>
      <c r="Q3349" s="22"/>
      <c r="R3349" s="23"/>
    </row>
    <row r="3350" spans="1:18" ht="12.75">
      <c r="A3350" s="22"/>
      <c r="D3350" s="19"/>
      <c r="H3350" s="18"/>
      <c r="J3350" s="18"/>
      <c r="N3350" s="16"/>
      <c r="O3350" s="17"/>
      <c r="Q3350" s="22"/>
      <c r="R3350" s="23"/>
    </row>
    <row r="3351" spans="1:18" ht="12.75">
      <c r="A3351" s="22"/>
      <c r="D3351" s="19"/>
      <c r="H3351" s="18"/>
      <c r="J3351" s="18"/>
      <c r="N3351" s="16"/>
      <c r="O3351" s="17"/>
      <c r="Q3351" s="22"/>
      <c r="R3351" s="23"/>
    </row>
    <row r="3352" spans="1:18" ht="12.75">
      <c r="A3352" s="22"/>
      <c r="D3352" s="19"/>
      <c r="H3352" s="18"/>
      <c r="J3352" s="18"/>
      <c r="N3352" s="16"/>
      <c r="O3352" s="17"/>
      <c r="Q3352" s="22"/>
      <c r="R3352" s="23"/>
    </row>
    <row r="3353" spans="1:18" ht="12.75">
      <c r="A3353" s="22"/>
      <c r="D3353" s="19"/>
      <c r="H3353" s="18"/>
      <c r="J3353" s="18"/>
      <c r="N3353" s="16"/>
      <c r="O3353" s="17"/>
      <c r="Q3353" s="22"/>
      <c r="R3353" s="23"/>
    </row>
    <row r="3354" spans="1:18" ht="12.75">
      <c r="A3354" s="22"/>
      <c r="D3354" s="19"/>
      <c r="H3354" s="18"/>
      <c r="J3354" s="18"/>
      <c r="N3354" s="16"/>
      <c r="O3354" s="17"/>
      <c r="Q3354" s="22"/>
      <c r="R3354" s="23"/>
    </row>
    <row r="3355" spans="1:18" ht="12.75">
      <c r="A3355" s="22"/>
      <c r="D3355" s="19"/>
      <c r="H3355" s="18"/>
      <c r="J3355" s="18"/>
      <c r="N3355" s="16"/>
      <c r="O3355" s="17"/>
      <c r="Q3355" s="22"/>
      <c r="R3355" s="23"/>
    </row>
    <row r="3356" spans="1:18" ht="12.75">
      <c r="A3356" s="22"/>
      <c r="D3356" s="19"/>
      <c r="H3356" s="18"/>
      <c r="J3356" s="18"/>
      <c r="N3356" s="16"/>
      <c r="O3356" s="17"/>
      <c r="Q3356" s="22"/>
      <c r="R3356" s="23"/>
    </row>
    <row r="3357" spans="1:18" ht="12.75">
      <c r="A3357" s="22"/>
      <c r="D3357" s="19"/>
      <c r="H3357" s="18"/>
      <c r="J3357" s="18"/>
      <c r="N3357" s="16"/>
      <c r="O3357" s="17"/>
      <c r="Q3357" s="22"/>
      <c r="R3357" s="23"/>
    </row>
    <row r="3358" spans="1:18" ht="12.75">
      <c r="A3358" s="22"/>
      <c r="D3358" s="19"/>
      <c r="H3358" s="18"/>
      <c r="J3358" s="18"/>
      <c r="N3358" s="16"/>
      <c r="O3358" s="17"/>
      <c r="Q3358" s="22"/>
      <c r="R3358" s="23"/>
    </row>
    <row r="3359" spans="1:18" ht="12.75">
      <c r="A3359" s="22"/>
      <c r="D3359" s="19"/>
      <c r="H3359" s="18"/>
      <c r="J3359" s="18"/>
      <c r="N3359" s="16"/>
      <c r="O3359" s="17"/>
      <c r="Q3359" s="22"/>
      <c r="R3359" s="23"/>
    </row>
    <row r="3360" spans="1:18" ht="12.75">
      <c r="A3360" s="22"/>
      <c r="D3360" s="19"/>
      <c r="H3360" s="18"/>
      <c r="J3360" s="18"/>
      <c r="N3360" s="16"/>
      <c r="O3360" s="17"/>
      <c r="Q3360" s="22"/>
      <c r="R3360" s="23"/>
    </row>
    <row r="3361" spans="1:18" ht="12.75">
      <c r="A3361" s="22"/>
      <c r="D3361" s="19"/>
      <c r="H3361" s="18"/>
      <c r="J3361" s="18"/>
      <c r="N3361" s="16"/>
      <c r="O3361" s="17"/>
      <c r="Q3361" s="22"/>
      <c r="R3361" s="23"/>
    </row>
    <row r="3362" spans="1:18" ht="12.75">
      <c r="A3362" s="22"/>
      <c r="D3362" s="19"/>
      <c r="H3362" s="18"/>
      <c r="J3362" s="18"/>
      <c r="N3362" s="16"/>
      <c r="O3362" s="17"/>
      <c r="Q3362" s="22"/>
      <c r="R3362" s="23"/>
    </row>
    <row r="3363" spans="1:18" ht="12.75">
      <c r="A3363" s="22"/>
      <c r="D3363" s="19"/>
      <c r="H3363" s="18"/>
      <c r="J3363" s="18"/>
      <c r="N3363" s="16"/>
      <c r="O3363" s="17"/>
      <c r="Q3363" s="22"/>
      <c r="R3363" s="23"/>
    </row>
    <row r="3364" spans="1:18" ht="12.75">
      <c r="A3364" s="22"/>
      <c r="D3364" s="19"/>
      <c r="H3364" s="18"/>
      <c r="J3364" s="18"/>
      <c r="N3364" s="16"/>
      <c r="O3364" s="17"/>
      <c r="Q3364" s="22"/>
      <c r="R3364" s="23"/>
    </row>
    <row r="3365" spans="1:18" ht="12.75">
      <c r="A3365" s="22"/>
      <c r="D3365" s="19"/>
      <c r="H3365" s="18"/>
      <c r="J3365" s="18"/>
      <c r="N3365" s="16"/>
      <c r="O3365" s="17"/>
      <c r="Q3365" s="22"/>
      <c r="R3365" s="23"/>
    </row>
    <row r="3366" spans="1:18" ht="12.75">
      <c r="A3366" s="22"/>
      <c r="D3366" s="19"/>
      <c r="H3366" s="18"/>
      <c r="J3366" s="18"/>
      <c r="N3366" s="16"/>
      <c r="O3366" s="17"/>
      <c r="Q3366" s="22"/>
      <c r="R3366" s="23"/>
    </row>
    <row r="3367" spans="1:18" ht="12.75">
      <c r="A3367" s="22"/>
      <c r="D3367" s="19"/>
      <c r="H3367" s="18"/>
      <c r="J3367" s="18"/>
      <c r="N3367" s="16"/>
      <c r="O3367" s="17"/>
      <c r="Q3367" s="22"/>
      <c r="R3367" s="23"/>
    </row>
    <row r="3368" spans="1:18" ht="12.75">
      <c r="A3368" s="22"/>
      <c r="D3368" s="19"/>
      <c r="H3368" s="18"/>
      <c r="J3368" s="18"/>
      <c r="N3368" s="16"/>
      <c r="O3368" s="17"/>
      <c r="Q3368" s="22"/>
      <c r="R3368" s="23"/>
    </row>
    <row r="3369" spans="1:18" ht="12.75">
      <c r="A3369" s="22"/>
      <c r="D3369" s="19"/>
      <c r="H3369" s="18"/>
      <c r="J3369" s="18"/>
      <c r="N3369" s="16"/>
      <c r="O3369" s="17"/>
      <c r="Q3369" s="22"/>
      <c r="R3369" s="23"/>
    </row>
    <row r="3370" spans="1:18" ht="12.75">
      <c r="A3370" s="22"/>
      <c r="D3370" s="19"/>
      <c r="H3370" s="18"/>
      <c r="J3370" s="18"/>
      <c r="N3370" s="16"/>
      <c r="O3370" s="17"/>
      <c r="Q3370" s="22"/>
      <c r="R3370" s="23"/>
    </row>
    <row r="3371" spans="1:18" ht="12.75">
      <c r="A3371" s="22"/>
      <c r="D3371" s="19"/>
      <c r="H3371" s="18"/>
      <c r="J3371" s="18"/>
      <c r="N3371" s="16"/>
      <c r="O3371" s="17"/>
      <c r="Q3371" s="22"/>
      <c r="R3371" s="23"/>
    </row>
    <row r="3372" spans="1:18" ht="12.75">
      <c r="A3372" s="22"/>
      <c r="D3372" s="19"/>
      <c r="H3372" s="18"/>
      <c r="J3372" s="18"/>
      <c r="N3372" s="16"/>
      <c r="O3372" s="17"/>
      <c r="Q3372" s="22"/>
      <c r="R3372" s="23"/>
    </row>
    <row r="3373" spans="1:18" ht="12.75">
      <c r="A3373" s="22"/>
      <c r="D3373" s="19"/>
      <c r="H3373" s="18"/>
      <c r="J3373" s="18"/>
      <c r="N3373" s="16"/>
      <c r="O3373" s="17"/>
      <c r="Q3373" s="22"/>
      <c r="R3373" s="23"/>
    </row>
    <row r="3374" spans="1:18" ht="12.75">
      <c r="A3374" s="22"/>
      <c r="D3374" s="19"/>
      <c r="H3374" s="18"/>
      <c r="J3374" s="18"/>
      <c r="N3374" s="16"/>
      <c r="O3374" s="17"/>
      <c r="Q3374" s="22"/>
      <c r="R3374" s="23"/>
    </row>
    <row r="3375" spans="1:18" ht="12.75">
      <c r="A3375" s="22"/>
      <c r="D3375" s="19"/>
      <c r="H3375" s="18"/>
      <c r="J3375" s="18"/>
      <c r="N3375" s="16"/>
      <c r="O3375" s="17"/>
      <c r="Q3375" s="22"/>
      <c r="R3375" s="23"/>
    </row>
    <row r="3376" spans="1:18" ht="12.75">
      <c r="A3376" s="22"/>
      <c r="D3376" s="19"/>
      <c r="H3376" s="18"/>
      <c r="J3376" s="18"/>
      <c r="N3376" s="16"/>
      <c r="O3376" s="17"/>
      <c r="Q3376" s="22"/>
      <c r="R3376" s="23"/>
    </row>
    <row r="3377" spans="1:18" ht="12.75">
      <c r="A3377" s="22"/>
      <c r="D3377" s="19"/>
      <c r="H3377" s="18"/>
      <c r="J3377" s="18"/>
      <c r="N3377" s="16"/>
      <c r="O3377" s="17"/>
      <c r="Q3377" s="22"/>
      <c r="R3377" s="23"/>
    </row>
    <row r="3378" spans="1:18" ht="12.75">
      <c r="A3378" s="22"/>
      <c r="D3378" s="19"/>
      <c r="H3378" s="18"/>
      <c r="J3378" s="18"/>
      <c r="N3378" s="16"/>
      <c r="O3378" s="17"/>
      <c r="Q3378" s="22"/>
      <c r="R3378" s="23"/>
    </row>
    <row r="3379" spans="1:18" ht="12.75">
      <c r="A3379" s="22"/>
      <c r="D3379" s="19"/>
      <c r="H3379" s="18"/>
      <c r="J3379" s="18"/>
      <c r="N3379" s="16"/>
      <c r="O3379" s="17"/>
      <c r="Q3379" s="22"/>
      <c r="R3379" s="23"/>
    </row>
    <row r="3380" spans="1:18" ht="12.75">
      <c r="A3380" s="22"/>
      <c r="D3380" s="19"/>
      <c r="H3380" s="18"/>
      <c r="J3380" s="18"/>
      <c r="N3380" s="16"/>
      <c r="O3380" s="17"/>
      <c r="Q3380" s="22"/>
      <c r="R3380" s="23"/>
    </row>
    <row r="3381" spans="1:18" ht="12.75">
      <c r="A3381" s="22"/>
      <c r="D3381" s="19"/>
      <c r="H3381" s="18"/>
      <c r="J3381" s="18"/>
      <c r="N3381" s="16"/>
      <c r="O3381" s="17"/>
      <c r="Q3381" s="22"/>
      <c r="R3381" s="23"/>
    </row>
    <row r="3382" spans="1:18" ht="12.75">
      <c r="A3382" s="22"/>
      <c r="D3382" s="19"/>
      <c r="H3382" s="18"/>
      <c r="J3382" s="18"/>
      <c r="N3382" s="16"/>
      <c r="O3382" s="17"/>
      <c r="Q3382" s="22"/>
      <c r="R3382" s="23"/>
    </row>
    <row r="3383" spans="1:18" ht="12.75">
      <c r="A3383" s="22"/>
      <c r="D3383" s="19"/>
      <c r="H3383" s="18"/>
      <c r="J3383" s="18"/>
      <c r="N3383" s="16"/>
      <c r="O3383" s="17"/>
      <c r="Q3383" s="22"/>
      <c r="R3383" s="23"/>
    </row>
    <row r="3384" spans="1:18" ht="12.75">
      <c r="A3384" s="22"/>
      <c r="D3384" s="19"/>
      <c r="H3384" s="18"/>
      <c r="J3384" s="18"/>
      <c r="N3384" s="16"/>
      <c r="O3384" s="17"/>
      <c r="Q3384" s="22"/>
      <c r="R3384" s="23"/>
    </row>
    <row r="3385" spans="1:18" ht="12.75">
      <c r="A3385" s="22"/>
      <c r="D3385" s="19"/>
      <c r="H3385" s="18"/>
      <c r="J3385" s="18"/>
      <c r="N3385" s="16"/>
      <c r="O3385" s="17"/>
      <c r="Q3385" s="22"/>
      <c r="R3385" s="23"/>
    </row>
    <row r="3386" spans="1:18" ht="12.75">
      <c r="A3386" s="22"/>
      <c r="D3386" s="19"/>
      <c r="H3386" s="18"/>
      <c r="J3386" s="18"/>
      <c r="N3386" s="16"/>
      <c r="O3386" s="17"/>
      <c r="Q3386" s="22"/>
      <c r="R3386" s="23"/>
    </row>
    <row r="3387" spans="1:18" ht="12.75">
      <c r="A3387" s="22"/>
      <c r="D3387" s="19"/>
      <c r="H3387" s="18"/>
      <c r="J3387" s="18"/>
      <c r="N3387" s="16"/>
      <c r="O3387" s="17"/>
      <c r="Q3387" s="22"/>
      <c r="R3387" s="23"/>
    </row>
    <row r="3388" spans="1:18" ht="12.75">
      <c r="A3388" s="22"/>
      <c r="D3388" s="19"/>
      <c r="H3388" s="18"/>
      <c r="J3388" s="18"/>
      <c r="N3388" s="16"/>
      <c r="O3388" s="17"/>
      <c r="Q3388" s="22"/>
      <c r="R3388" s="23"/>
    </row>
    <row r="3389" spans="1:18" ht="12.75">
      <c r="A3389" s="22"/>
      <c r="D3389" s="19"/>
      <c r="H3389" s="18"/>
      <c r="J3389" s="18"/>
      <c r="N3389" s="16"/>
      <c r="O3389" s="17"/>
      <c r="Q3389" s="22"/>
      <c r="R3389" s="23"/>
    </row>
    <row r="3390" spans="1:18" ht="12.75">
      <c r="A3390" s="22"/>
      <c r="D3390" s="19"/>
      <c r="H3390" s="18"/>
      <c r="J3390" s="18"/>
      <c r="N3390" s="16"/>
      <c r="O3390" s="17"/>
      <c r="Q3390" s="22"/>
      <c r="R3390" s="23"/>
    </row>
    <row r="3391" spans="1:18" ht="12.75">
      <c r="A3391" s="22"/>
      <c r="D3391" s="19"/>
      <c r="H3391" s="18"/>
      <c r="J3391" s="18"/>
      <c r="N3391" s="16"/>
      <c r="O3391" s="17"/>
      <c r="Q3391" s="22"/>
      <c r="R3391" s="23"/>
    </row>
    <row r="3392" spans="1:18" ht="12.75">
      <c r="A3392" s="22"/>
      <c r="D3392" s="19"/>
      <c r="H3392" s="18"/>
      <c r="J3392" s="18"/>
      <c r="N3392" s="16"/>
      <c r="O3392" s="17"/>
      <c r="Q3392" s="22"/>
      <c r="R3392" s="23"/>
    </row>
    <row r="3393" spans="1:18" ht="12.75">
      <c r="A3393" s="22"/>
      <c r="D3393" s="19"/>
      <c r="H3393" s="18"/>
      <c r="J3393" s="18"/>
      <c r="N3393" s="16"/>
      <c r="O3393" s="17"/>
      <c r="Q3393" s="22"/>
      <c r="R3393" s="23"/>
    </row>
    <row r="3394" spans="1:18" ht="12.75">
      <c r="A3394" s="22"/>
      <c r="D3394" s="19"/>
      <c r="H3394" s="18"/>
      <c r="J3394" s="18"/>
      <c r="N3394" s="16"/>
      <c r="O3394" s="17"/>
      <c r="Q3394" s="22"/>
      <c r="R3394" s="23"/>
    </row>
    <row r="3395" spans="1:18" ht="12.75">
      <c r="A3395" s="22"/>
      <c r="D3395" s="19"/>
      <c r="H3395" s="18"/>
      <c r="J3395" s="18"/>
      <c r="N3395" s="16"/>
      <c r="O3395" s="17"/>
      <c r="Q3395" s="22"/>
      <c r="R3395" s="23"/>
    </row>
    <row r="3396" spans="1:18" ht="12.75">
      <c r="A3396" s="22"/>
      <c r="D3396" s="19"/>
      <c r="H3396" s="18"/>
      <c r="J3396" s="18"/>
      <c r="N3396" s="16"/>
      <c r="O3396" s="17"/>
      <c r="Q3396" s="22"/>
      <c r="R3396" s="23"/>
    </row>
    <row r="3397" spans="1:18" ht="12.75">
      <c r="A3397" s="22"/>
      <c r="D3397" s="19"/>
      <c r="H3397" s="18"/>
      <c r="J3397" s="18"/>
      <c r="N3397" s="16"/>
      <c r="O3397" s="17"/>
      <c r="Q3397" s="22"/>
      <c r="R3397" s="23"/>
    </row>
    <row r="3398" spans="1:18" ht="12.75">
      <c r="A3398" s="22"/>
      <c r="D3398" s="19"/>
      <c r="H3398" s="18"/>
      <c r="J3398" s="18"/>
      <c r="N3398" s="16"/>
      <c r="O3398" s="17"/>
      <c r="Q3398" s="22"/>
      <c r="R3398" s="23"/>
    </row>
    <row r="3399" spans="1:18" ht="12.75">
      <c r="A3399" s="22"/>
      <c r="D3399" s="19"/>
      <c r="H3399" s="18"/>
      <c r="J3399" s="18"/>
      <c r="N3399" s="16"/>
      <c r="O3399" s="17"/>
      <c r="Q3399" s="22"/>
      <c r="R3399" s="23"/>
    </row>
    <row r="3400" spans="1:18" ht="12.75">
      <c r="A3400" s="22"/>
      <c r="D3400" s="19"/>
      <c r="H3400" s="18"/>
      <c r="J3400" s="18"/>
      <c r="N3400" s="16"/>
      <c r="O3400" s="17"/>
      <c r="Q3400" s="22"/>
      <c r="R3400" s="23"/>
    </row>
    <row r="3401" spans="1:18" ht="12.75">
      <c r="A3401" s="22"/>
      <c r="D3401" s="19"/>
      <c r="H3401" s="18"/>
      <c r="J3401" s="18"/>
      <c r="N3401" s="16"/>
      <c r="O3401" s="17"/>
      <c r="Q3401" s="22"/>
      <c r="R3401" s="23"/>
    </row>
    <row r="3402" spans="1:18" ht="12.75">
      <c r="A3402" s="22"/>
      <c r="D3402" s="19"/>
      <c r="H3402" s="18"/>
      <c r="J3402" s="18"/>
      <c r="N3402" s="16"/>
      <c r="O3402" s="17"/>
      <c r="Q3402" s="22"/>
      <c r="R3402" s="23"/>
    </row>
    <row r="3403" spans="1:18" ht="12.75">
      <c r="A3403" s="22"/>
      <c r="D3403" s="19"/>
      <c r="H3403" s="18"/>
      <c r="J3403" s="18"/>
      <c r="N3403" s="16"/>
      <c r="O3403" s="17"/>
      <c r="Q3403" s="22"/>
      <c r="R3403" s="23"/>
    </row>
    <row r="3404" spans="1:18" ht="12.75">
      <c r="A3404" s="22"/>
      <c r="D3404" s="19"/>
      <c r="H3404" s="18"/>
      <c r="J3404" s="18"/>
      <c r="N3404" s="16"/>
      <c r="O3404" s="17"/>
      <c r="Q3404" s="22"/>
      <c r="R3404" s="23"/>
    </row>
    <row r="3405" spans="1:18" ht="12.75">
      <c r="A3405" s="22"/>
      <c r="D3405" s="19"/>
      <c r="H3405" s="18"/>
      <c r="J3405" s="18"/>
      <c r="N3405" s="16"/>
      <c r="O3405" s="17"/>
      <c r="Q3405" s="22"/>
      <c r="R3405" s="23"/>
    </row>
    <row r="3406" spans="1:18" ht="12.75">
      <c r="A3406" s="22"/>
      <c r="D3406" s="19"/>
      <c r="H3406" s="18"/>
      <c r="J3406" s="18"/>
      <c r="N3406" s="16"/>
      <c r="O3406" s="17"/>
      <c r="Q3406" s="22"/>
      <c r="R3406" s="23"/>
    </row>
    <row r="3407" spans="1:18" ht="12.75">
      <c r="A3407" s="22"/>
      <c r="D3407" s="19"/>
      <c r="H3407" s="18"/>
      <c r="J3407" s="18"/>
      <c r="N3407" s="16"/>
      <c r="O3407" s="17"/>
      <c r="Q3407" s="22"/>
      <c r="R3407" s="23"/>
    </row>
    <row r="3408" spans="1:18" ht="12.75">
      <c r="A3408" s="22"/>
      <c r="D3408" s="19"/>
      <c r="H3408" s="18"/>
      <c r="J3408" s="18"/>
      <c r="N3408" s="16"/>
      <c r="O3408" s="17"/>
      <c r="Q3408" s="22"/>
      <c r="R3408" s="23"/>
    </row>
    <row r="3409" spans="1:18" ht="12.75">
      <c r="A3409" s="22"/>
      <c r="D3409" s="19"/>
      <c r="H3409" s="18"/>
      <c r="J3409" s="18"/>
      <c r="N3409" s="16"/>
      <c r="O3409" s="17"/>
      <c r="Q3409" s="22"/>
      <c r="R3409" s="23"/>
    </row>
    <row r="3410" spans="1:18" ht="12.75">
      <c r="A3410" s="22"/>
      <c r="D3410" s="19"/>
      <c r="H3410" s="18"/>
      <c r="J3410" s="18"/>
      <c r="N3410" s="16"/>
      <c r="O3410" s="17"/>
      <c r="Q3410" s="22"/>
      <c r="R3410" s="23"/>
    </row>
    <row r="3411" spans="1:18" ht="12.75">
      <c r="A3411" s="22"/>
      <c r="D3411" s="19"/>
      <c r="H3411" s="18"/>
      <c r="J3411" s="18"/>
      <c r="N3411" s="16"/>
      <c r="O3411" s="17"/>
      <c r="Q3411" s="22"/>
      <c r="R3411" s="23"/>
    </row>
    <row r="3412" spans="1:18" ht="12.75">
      <c r="A3412" s="22"/>
      <c r="D3412" s="19"/>
      <c r="H3412" s="18"/>
      <c r="J3412" s="18"/>
      <c r="N3412" s="16"/>
      <c r="O3412" s="17"/>
      <c r="Q3412" s="22"/>
      <c r="R3412" s="23"/>
    </row>
    <row r="3413" spans="1:18" ht="12.75">
      <c r="A3413" s="22"/>
      <c r="D3413" s="19"/>
      <c r="H3413" s="18"/>
      <c r="J3413" s="18"/>
      <c r="N3413" s="16"/>
      <c r="O3413" s="17"/>
      <c r="Q3413" s="22"/>
      <c r="R3413" s="23"/>
    </row>
    <row r="3414" spans="1:18" ht="12.75">
      <c r="A3414" s="22"/>
      <c r="D3414" s="19"/>
      <c r="H3414" s="18"/>
      <c r="J3414" s="18"/>
      <c r="N3414" s="16"/>
      <c r="O3414" s="17"/>
      <c r="Q3414" s="22"/>
      <c r="R3414" s="23"/>
    </row>
    <row r="3415" spans="1:18" ht="12.75">
      <c r="A3415" s="22"/>
      <c r="D3415" s="19"/>
      <c r="H3415" s="18"/>
      <c r="J3415" s="18"/>
      <c r="N3415" s="16"/>
      <c r="O3415" s="17"/>
      <c r="Q3415" s="22"/>
      <c r="R3415" s="23"/>
    </row>
    <row r="3416" spans="1:18" ht="12.75">
      <c r="A3416" s="22"/>
      <c r="D3416" s="19"/>
      <c r="H3416" s="18"/>
      <c r="J3416" s="18"/>
      <c r="N3416" s="16"/>
      <c r="O3416" s="17"/>
      <c r="Q3416" s="22"/>
      <c r="R3416" s="23"/>
    </row>
    <row r="3417" spans="1:18" ht="12.75">
      <c r="A3417" s="22"/>
      <c r="D3417" s="19"/>
      <c r="H3417" s="18"/>
      <c r="J3417" s="18"/>
      <c r="N3417" s="16"/>
      <c r="O3417" s="17"/>
      <c r="Q3417" s="22"/>
      <c r="R3417" s="23"/>
    </row>
    <row r="3418" spans="1:18" ht="12.75">
      <c r="A3418" s="22"/>
      <c r="D3418" s="19"/>
      <c r="H3418" s="18"/>
      <c r="J3418" s="18"/>
      <c r="N3418" s="16"/>
      <c r="O3418" s="17"/>
      <c r="Q3418" s="22"/>
      <c r="R3418" s="23"/>
    </row>
    <row r="3419" spans="1:18" ht="12.75">
      <c r="A3419" s="22"/>
      <c r="D3419" s="19"/>
      <c r="H3419" s="18"/>
      <c r="J3419" s="18"/>
      <c r="N3419" s="16"/>
      <c r="O3419" s="17"/>
      <c r="Q3419" s="22"/>
      <c r="R3419" s="23"/>
    </row>
    <row r="3420" spans="1:18" ht="12.75">
      <c r="A3420" s="22"/>
      <c r="D3420" s="19"/>
      <c r="H3420" s="18"/>
      <c r="J3420" s="18"/>
      <c r="N3420" s="16"/>
      <c r="O3420" s="17"/>
      <c r="Q3420" s="22"/>
      <c r="R3420" s="23"/>
    </row>
    <row r="3421" spans="1:18" ht="12.75">
      <c r="A3421" s="22"/>
      <c r="D3421" s="19"/>
      <c r="H3421" s="18"/>
      <c r="J3421" s="18"/>
      <c r="N3421" s="16"/>
      <c r="O3421" s="17"/>
      <c r="Q3421" s="22"/>
      <c r="R3421" s="23"/>
    </row>
    <row r="3422" spans="1:18" ht="12.75">
      <c r="A3422" s="22"/>
      <c r="D3422" s="19"/>
      <c r="H3422" s="18"/>
      <c r="J3422" s="18"/>
      <c r="N3422" s="16"/>
      <c r="O3422" s="17"/>
      <c r="Q3422" s="22"/>
      <c r="R3422" s="23"/>
    </row>
    <row r="3423" spans="1:18" ht="12.75">
      <c r="A3423" s="22"/>
      <c r="D3423" s="19"/>
      <c r="H3423" s="18"/>
      <c r="J3423" s="18"/>
      <c r="N3423" s="16"/>
      <c r="O3423" s="17"/>
      <c r="Q3423" s="22"/>
      <c r="R3423" s="23"/>
    </row>
    <row r="3424" spans="1:18" ht="12.75">
      <c r="A3424" s="22"/>
      <c r="D3424" s="19"/>
      <c r="H3424" s="18"/>
      <c r="J3424" s="18"/>
      <c r="N3424" s="16"/>
      <c r="O3424" s="17"/>
      <c r="Q3424" s="22"/>
      <c r="R3424" s="23"/>
    </row>
    <row r="3425" spans="1:18" ht="12.75">
      <c r="A3425" s="22"/>
      <c r="D3425" s="19"/>
      <c r="H3425" s="18"/>
      <c r="J3425" s="18"/>
      <c r="N3425" s="16"/>
      <c r="O3425" s="17"/>
      <c r="Q3425" s="22"/>
      <c r="R3425" s="23"/>
    </row>
    <row r="3426" spans="1:18" ht="12.75">
      <c r="A3426" s="22"/>
      <c r="D3426" s="19"/>
      <c r="H3426" s="18"/>
      <c r="J3426" s="18"/>
      <c r="N3426" s="16"/>
      <c r="O3426" s="17"/>
      <c r="Q3426" s="22"/>
      <c r="R3426" s="23"/>
    </row>
    <row r="3427" spans="1:18" ht="12.75">
      <c r="A3427" s="22"/>
      <c r="D3427" s="19"/>
      <c r="H3427" s="18"/>
      <c r="J3427" s="18"/>
      <c r="N3427" s="16"/>
      <c r="O3427" s="17"/>
      <c r="Q3427" s="22"/>
      <c r="R3427" s="23"/>
    </row>
    <row r="3428" spans="1:18" ht="12.75">
      <c r="A3428" s="22"/>
      <c r="D3428" s="19"/>
      <c r="H3428" s="18"/>
      <c r="J3428" s="18"/>
      <c r="N3428" s="16"/>
      <c r="O3428" s="17"/>
      <c r="Q3428" s="22"/>
      <c r="R3428" s="23"/>
    </row>
    <row r="3429" spans="1:18" ht="12.75">
      <c r="A3429" s="22"/>
      <c r="D3429" s="19"/>
      <c r="H3429" s="18"/>
      <c r="J3429" s="18"/>
      <c r="N3429" s="16"/>
      <c r="O3429" s="17"/>
      <c r="Q3429" s="22"/>
      <c r="R3429" s="23"/>
    </row>
    <row r="3430" spans="1:18" ht="12.75">
      <c r="A3430" s="22"/>
      <c r="D3430" s="19"/>
      <c r="H3430" s="18"/>
      <c r="J3430" s="18"/>
      <c r="N3430" s="16"/>
      <c r="O3430" s="17"/>
      <c r="Q3430" s="22"/>
      <c r="R3430" s="23"/>
    </row>
    <row r="3431" spans="1:18" ht="12.75">
      <c r="A3431" s="22"/>
      <c r="D3431" s="19"/>
      <c r="H3431" s="18"/>
      <c r="J3431" s="18"/>
      <c r="N3431" s="16"/>
      <c r="O3431" s="17"/>
      <c r="Q3431" s="22"/>
      <c r="R3431" s="23"/>
    </row>
    <row r="3432" spans="1:18" ht="12.75">
      <c r="A3432" s="22"/>
      <c r="D3432" s="19"/>
      <c r="H3432" s="18"/>
      <c r="J3432" s="18"/>
      <c r="N3432" s="16"/>
      <c r="O3432" s="17"/>
      <c r="Q3432" s="22"/>
      <c r="R3432" s="23"/>
    </row>
    <row r="3433" spans="1:18" ht="12.75">
      <c r="A3433" s="22"/>
      <c r="D3433" s="19"/>
      <c r="H3433" s="18"/>
      <c r="J3433" s="18"/>
      <c r="N3433" s="16"/>
      <c r="O3433" s="17"/>
      <c r="Q3433" s="22"/>
      <c r="R3433" s="23"/>
    </row>
    <row r="3434" spans="1:18" ht="12.75">
      <c r="A3434" s="22"/>
      <c r="D3434" s="19"/>
      <c r="H3434" s="18"/>
      <c r="J3434" s="18"/>
      <c r="N3434" s="16"/>
      <c r="O3434" s="17"/>
      <c r="Q3434" s="22"/>
      <c r="R3434" s="23"/>
    </row>
    <row r="3435" spans="1:18" ht="12.75">
      <c r="A3435" s="22"/>
      <c r="D3435" s="19"/>
      <c r="H3435" s="18"/>
      <c r="J3435" s="18"/>
      <c r="N3435" s="16"/>
      <c r="O3435" s="17"/>
      <c r="Q3435" s="22"/>
      <c r="R3435" s="23"/>
    </row>
    <row r="3436" spans="1:18" ht="12.75">
      <c r="A3436" s="22"/>
      <c r="D3436" s="19"/>
      <c r="H3436" s="18"/>
      <c r="J3436" s="18"/>
      <c r="N3436" s="16"/>
      <c r="O3436" s="17"/>
      <c r="Q3436" s="22"/>
      <c r="R3436" s="23"/>
    </row>
    <row r="3437" spans="1:18" ht="12.75">
      <c r="A3437" s="22"/>
      <c r="D3437" s="19"/>
      <c r="H3437" s="18"/>
      <c r="J3437" s="18"/>
      <c r="N3437" s="16"/>
      <c r="O3437" s="17"/>
      <c r="Q3437" s="22"/>
      <c r="R3437" s="23"/>
    </row>
    <row r="3438" spans="1:18" ht="12.75">
      <c r="A3438" s="22"/>
      <c r="D3438" s="19"/>
      <c r="H3438" s="18"/>
      <c r="J3438" s="18"/>
      <c r="N3438" s="16"/>
      <c r="O3438" s="17"/>
      <c r="Q3438" s="22"/>
      <c r="R3438" s="23"/>
    </row>
    <row r="3439" spans="1:18" ht="12.75">
      <c r="A3439" s="22"/>
      <c r="D3439" s="19"/>
      <c r="H3439" s="18"/>
      <c r="J3439" s="18"/>
      <c r="N3439" s="16"/>
      <c r="O3439" s="17"/>
      <c r="Q3439" s="22"/>
      <c r="R3439" s="23"/>
    </row>
    <row r="3440" spans="1:18" ht="12.75">
      <c r="A3440" s="22"/>
      <c r="D3440" s="19"/>
      <c r="H3440" s="18"/>
      <c r="J3440" s="18"/>
      <c r="N3440" s="16"/>
      <c r="O3440" s="17"/>
      <c r="Q3440" s="22"/>
      <c r="R3440" s="23"/>
    </row>
    <row r="3441" spans="1:18" ht="12.75">
      <c r="A3441" s="22"/>
      <c r="D3441" s="19"/>
      <c r="H3441" s="18"/>
      <c r="J3441" s="18"/>
      <c r="N3441" s="16"/>
      <c r="O3441" s="17"/>
      <c r="Q3441" s="22"/>
      <c r="R3441" s="23"/>
    </row>
    <row r="3442" spans="1:18" ht="12.75">
      <c r="A3442" s="22"/>
      <c r="D3442" s="19"/>
      <c r="H3442" s="18"/>
      <c r="J3442" s="18"/>
      <c r="N3442" s="16"/>
      <c r="O3442" s="17"/>
      <c r="Q3442" s="22"/>
      <c r="R3442" s="23"/>
    </row>
    <row r="3443" spans="1:18" ht="12.75">
      <c r="A3443" s="22"/>
      <c r="D3443" s="19"/>
      <c r="H3443" s="18"/>
      <c r="J3443" s="18"/>
      <c r="N3443" s="16"/>
      <c r="O3443" s="17"/>
      <c r="Q3443" s="22"/>
      <c r="R3443" s="23"/>
    </row>
    <row r="3444" spans="1:18" ht="12.75">
      <c r="A3444" s="22"/>
      <c r="D3444" s="19"/>
      <c r="H3444" s="18"/>
      <c r="J3444" s="18"/>
      <c r="N3444" s="16"/>
      <c r="O3444" s="17"/>
      <c r="Q3444" s="22"/>
      <c r="R3444" s="23"/>
    </row>
    <row r="3445" spans="1:18" ht="12.75">
      <c r="A3445" s="22"/>
      <c r="D3445" s="19"/>
      <c r="H3445" s="18"/>
      <c r="J3445" s="18"/>
      <c r="N3445" s="16"/>
      <c r="O3445" s="17"/>
      <c r="Q3445" s="22"/>
      <c r="R3445" s="23"/>
    </row>
    <row r="3446" spans="1:18" ht="12.75">
      <c r="A3446" s="22"/>
      <c r="D3446" s="19"/>
      <c r="H3446" s="18"/>
      <c r="J3446" s="18"/>
      <c r="N3446" s="16"/>
      <c r="O3446" s="17"/>
      <c r="Q3446" s="22"/>
      <c r="R3446" s="23"/>
    </row>
    <row r="3447" spans="1:18" ht="12.75">
      <c r="A3447" s="22"/>
      <c r="D3447" s="19"/>
      <c r="H3447" s="18"/>
      <c r="J3447" s="18"/>
      <c r="N3447" s="16"/>
      <c r="O3447" s="17"/>
      <c r="Q3447" s="22"/>
      <c r="R3447" s="23"/>
    </row>
    <row r="3448" spans="1:18" ht="12.75">
      <c r="A3448" s="22"/>
      <c r="D3448" s="19"/>
      <c r="H3448" s="18"/>
      <c r="J3448" s="18"/>
      <c r="N3448" s="16"/>
      <c r="O3448" s="17"/>
      <c r="Q3448" s="22"/>
      <c r="R3448" s="23"/>
    </row>
    <row r="3449" spans="1:18" ht="12.75">
      <c r="A3449" s="22"/>
      <c r="D3449" s="19"/>
      <c r="H3449" s="18"/>
      <c r="J3449" s="18"/>
      <c r="N3449" s="16"/>
      <c r="O3449" s="17"/>
      <c r="Q3449" s="22"/>
      <c r="R3449" s="23"/>
    </row>
    <row r="3450" spans="1:18" ht="12.75">
      <c r="A3450" s="22"/>
      <c r="D3450" s="19"/>
      <c r="H3450" s="18"/>
      <c r="J3450" s="18"/>
      <c r="N3450" s="16"/>
      <c r="O3450" s="17"/>
      <c r="Q3450" s="22"/>
      <c r="R3450" s="23"/>
    </row>
    <row r="3451" spans="1:18" ht="12.75">
      <c r="A3451" s="22"/>
      <c r="D3451" s="19"/>
      <c r="H3451" s="18"/>
      <c r="J3451" s="18"/>
      <c r="N3451" s="16"/>
      <c r="O3451" s="17"/>
      <c r="Q3451" s="22"/>
      <c r="R3451" s="23"/>
    </row>
    <row r="3452" spans="1:18" ht="12.75">
      <c r="A3452" s="22"/>
      <c r="D3452" s="19"/>
      <c r="H3452" s="18"/>
      <c r="J3452" s="18"/>
      <c r="N3452" s="16"/>
      <c r="O3452" s="17"/>
      <c r="Q3452" s="22"/>
      <c r="R3452" s="23"/>
    </row>
    <row r="3453" spans="1:18" ht="12.75">
      <c r="A3453" s="22"/>
      <c r="D3453" s="19"/>
      <c r="H3453" s="18"/>
      <c r="J3453" s="18"/>
      <c r="N3453" s="16"/>
      <c r="O3453" s="17"/>
      <c r="Q3453" s="22"/>
      <c r="R3453" s="23"/>
    </row>
    <row r="3454" spans="1:18" ht="12.75">
      <c r="A3454" s="22"/>
      <c r="D3454" s="19"/>
      <c r="H3454" s="18"/>
      <c r="J3454" s="18"/>
      <c r="N3454" s="16"/>
      <c r="O3454" s="17"/>
      <c r="Q3454" s="22"/>
      <c r="R3454" s="23"/>
    </row>
    <row r="3455" spans="1:18" ht="12.75">
      <c r="A3455" s="22"/>
      <c r="D3455" s="19"/>
      <c r="H3455" s="18"/>
      <c r="J3455" s="18"/>
      <c r="N3455" s="16"/>
      <c r="O3455" s="17"/>
      <c r="Q3455" s="22"/>
      <c r="R3455" s="23"/>
    </row>
    <row r="3456" spans="1:18" ht="12.75">
      <c r="A3456" s="22"/>
      <c r="D3456" s="19"/>
      <c r="H3456" s="18"/>
      <c r="J3456" s="18"/>
      <c r="N3456" s="16"/>
      <c r="O3456" s="17"/>
      <c r="Q3456" s="22"/>
      <c r="R3456" s="23"/>
    </row>
    <row r="3457" spans="1:18" ht="12.75">
      <c r="A3457" s="22"/>
      <c r="D3457" s="19"/>
      <c r="H3457" s="18"/>
      <c r="J3457" s="18"/>
      <c r="N3457" s="16"/>
      <c r="O3457" s="17"/>
      <c r="Q3457" s="22"/>
      <c r="R3457" s="23"/>
    </row>
    <row r="3458" spans="1:18" ht="12.75">
      <c r="A3458" s="22"/>
      <c r="D3458" s="19"/>
      <c r="H3458" s="18"/>
      <c r="J3458" s="18"/>
      <c r="N3458" s="16"/>
      <c r="O3458" s="17"/>
      <c r="Q3458" s="22"/>
      <c r="R3458" s="23"/>
    </row>
    <row r="3459" spans="1:18" ht="12.75">
      <c r="A3459" s="22"/>
      <c r="D3459" s="19"/>
      <c r="H3459" s="18"/>
      <c r="J3459" s="18"/>
      <c r="N3459" s="16"/>
      <c r="O3459" s="17"/>
      <c r="Q3459" s="22"/>
      <c r="R3459" s="23"/>
    </row>
    <row r="3460" spans="1:18" ht="12.75">
      <c r="A3460" s="22"/>
      <c r="D3460" s="19"/>
      <c r="H3460" s="18"/>
      <c r="J3460" s="18"/>
      <c r="N3460" s="16"/>
      <c r="O3460" s="17"/>
      <c r="Q3460" s="22"/>
      <c r="R3460" s="23"/>
    </row>
    <row r="3461" spans="1:18" ht="12.75">
      <c r="A3461" s="22"/>
      <c r="D3461" s="19"/>
      <c r="H3461" s="18"/>
      <c r="J3461" s="18"/>
      <c r="N3461" s="16"/>
      <c r="O3461" s="17"/>
      <c r="Q3461" s="22"/>
      <c r="R3461" s="23"/>
    </row>
    <row r="3462" spans="1:18" ht="12.75">
      <c r="A3462" s="22"/>
      <c r="D3462" s="19"/>
      <c r="H3462" s="18"/>
      <c r="J3462" s="18"/>
      <c r="N3462" s="16"/>
      <c r="O3462" s="17"/>
      <c r="Q3462" s="22"/>
      <c r="R3462" s="23"/>
    </row>
    <row r="3463" spans="1:18" ht="12.75">
      <c r="A3463" s="22"/>
      <c r="D3463" s="19"/>
      <c r="H3463" s="18"/>
      <c r="J3463" s="18"/>
      <c r="N3463" s="16"/>
      <c r="O3463" s="17"/>
      <c r="Q3463" s="22"/>
      <c r="R3463" s="23"/>
    </row>
    <row r="3464" spans="1:18" ht="12.75">
      <c r="A3464" s="22"/>
      <c r="D3464" s="19"/>
      <c r="H3464" s="18"/>
      <c r="J3464" s="18"/>
      <c r="N3464" s="16"/>
      <c r="O3464" s="17"/>
      <c r="Q3464" s="22"/>
      <c r="R3464" s="23"/>
    </row>
    <row r="3465" spans="1:18" ht="12.75">
      <c r="A3465" s="22"/>
      <c r="D3465" s="19"/>
      <c r="H3465" s="18"/>
      <c r="J3465" s="18"/>
      <c r="N3465" s="16"/>
      <c r="O3465" s="17"/>
      <c r="Q3465" s="22"/>
      <c r="R3465" s="23"/>
    </row>
    <row r="3466" spans="1:18" ht="12.75">
      <c r="A3466" s="22"/>
      <c r="D3466" s="19"/>
      <c r="H3466" s="18"/>
      <c r="J3466" s="18"/>
      <c r="N3466" s="16"/>
      <c r="O3466" s="17"/>
      <c r="Q3466" s="22"/>
      <c r="R3466" s="23"/>
    </row>
    <row r="3467" spans="1:18" ht="12.75">
      <c r="A3467" s="22"/>
      <c r="D3467" s="19"/>
      <c r="H3467" s="18"/>
      <c r="J3467" s="18"/>
      <c r="N3467" s="16"/>
      <c r="O3467" s="17"/>
      <c r="Q3467" s="22"/>
      <c r="R3467" s="23"/>
    </row>
    <row r="3468" spans="1:18" ht="12.75">
      <c r="A3468" s="22"/>
      <c r="D3468" s="19"/>
      <c r="H3468" s="18"/>
      <c r="J3468" s="18"/>
      <c r="N3468" s="16"/>
      <c r="O3468" s="17"/>
      <c r="Q3468" s="22"/>
      <c r="R3468" s="23"/>
    </row>
    <row r="3469" spans="1:18" ht="12.75">
      <c r="A3469" s="22"/>
      <c r="D3469" s="19"/>
      <c r="H3469" s="18"/>
      <c r="J3469" s="18"/>
      <c r="N3469" s="16"/>
      <c r="O3469" s="17"/>
      <c r="Q3469" s="22"/>
      <c r="R3469" s="23"/>
    </row>
    <row r="3470" spans="1:18" ht="12.75">
      <c r="A3470" s="22"/>
      <c r="D3470" s="19"/>
      <c r="H3470" s="18"/>
      <c r="J3470" s="18"/>
      <c r="N3470" s="16"/>
      <c r="O3470" s="17"/>
      <c r="Q3470" s="22"/>
      <c r="R3470" s="23"/>
    </row>
    <row r="3471" spans="1:18" ht="12.75">
      <c r="A3471" s="22"/>
      <c r="D3471" s="19"/>
      <c r="H3471" s="18"/>
      <c r="J3471" s="18"/>
      <c r="N3471" s="16"/>
      <c r="O3471" s="17"/>
      <c r="Q3471" s="22"/>
      <c r="R3471" s="23"/>
    </row>
    <row r="3472" spans="1:18" ht="12.75">
      <c r="A3472" s="22"/>
      <c r="D3472" s="19"/>
      <c r="H3472" s="18"/>
      <c r="J3472" s="18"/>
      <c r="N3472" s="16"/>
      <c r="O3472" s="17"/>
      <c r="Q3472" s="22"/>
      <c r="R3472" s="23"/>
    </row>
    <row r="3473" spans="1:18" ht="12.75">
      <c r="A3473" s="22"/>
      <c r="D3473" s="19"/>
      <c r="H3473" s="18"/>
      <c r="J3473" s="18"/>
      <c r="N3473" s="16"/>
      <c r="O3473" s="17"/>
      <c r="Q3473" s="22"/>
      <c r="R3473" s="23"/>
    </row>
    <row r="3474" spans="1:18" ht="12.75">
      <c r="A3474" s="22"/>
      <c r="D3474" s="19"/>
      <c r="H3474" s="18"/>
      <c r="J3474" s="18"/>
      <c r="N3474" s="16"/>
      <c r="O3474" s="17"/>
      <c r="Q3474" s="22"/>
      <c r="R3474" s="23"/>
    </row>
    <row r="3475" spans="1:18" ht="12.75">
      <c r="A3475" s="22"/>
      <c r="D3475" s="19"/>
      <c r="H3475" s="18"/>
      <c r="J3475" s="18"/>
      <c r="N3475" s="16"/>
      <c r="O3475" s="17"/>
      <c r="Q3475" s="22"/>
      <c r="R3475" s="23"/>
    </row>
    <row r="3476" spans="1:18" ht="12.75">
      <c r="A3476" s="22"/>
      <c r="D3476" s="19"/>
      <c r="H3476" s="18"/>
      <c r="J3476" s="18"/>
      <c r="N3476" s="16"/>
      <c r="O3476" s="17"/>
      <c r="Q3476" s="22"/>
      <c r="R3476" s="23"/>
    </row>
    <row r="3477" spans="1:18" ht="12.75">
      <c r="A3477" s="22"/>
      <c r="D3477" s="19"/>
      <c r="H3477" s="18"/>
      <c r="J3477" s="18"/>
      <c r="N3477" s="16"/>
      <c r="O3477" s="17"/>
      <c r="Q3477" s="22"/>
      <c r="R3477" s="23"/>
    </row>
    <row r="3478" spans="1:18" ht="12.75">
      <c r="A3478" s="22"/>
      <c r="D3478" s="19"/>
      <c r="H3478" s="18"/>
      <c r="J3478" s="18"/>
      <c r="N3478" s="16"/>
      <c r="O3478" s="17"/>
      <c r="Q3478" s="22"/>
      <c r="R3478" s="23"/>
    </row>
    <row r="3479" spans="1:18" ht="12.75">
      <c r="A3479" s="22"/>
      <c r="D3479" s="19"/>
      <c r="H3479" s="18"/>
      <c r="J3479" s="18"/>
      <c r="N3479" s="16"/>
      <c r="O3479" s="17"/>
      <c r="Q3479" s="22"/>
      <c r="R3479" s="23"/>
    </row>
    <row r="3480" spans="1:18" ht="12.75">
      <c r="A3480" s="22"/>
      <c r="D3480" s="19"/>
      <c r="H3480" s="18"/>
      <c r="J3480" s="18"/>
      <c r="N3480" s="16"/>
      <c r="O3480" s="17"/>
      <c r="Q3480" s="22"/>
      <c r="R3480" s="23"/>
    </row>
    <row r="3481" spans="1:18" ht="12.75">
      <c r="A3481" s="22"/>
      <c r="D3481" s="19"/>
      <c r="H3481" s="18"/>
      <c r="J3481" s="18"/>
      <c r="N3481" s="16"/>
      <c r="O3481" s="17"/>
      <c r="Q3481" s="22"/>
      <c r="R3481" s="23"/>
    </row>
    <row r="3482" spans="1:18" ht="12.75">
      <c r="A3482" s="22"/>
      <c r="D3482" s="19"/>
      <c r="H3482" s="18"/>
      <c r="J3482" s="18"/>
      <c r="N3482" s="16"/>
      <c r="O3482" s="17"/>
      <c r="Q3482" s="22"/>
      <c r="R3482" s="23"/>
    </row>
    <row r="3483" spans="1:18" ht="12.75">
      <c r="A3483" s="22"/>
      <c r="D3483" s="19"/>
      <c r="H3483" s="18"/>
      <c r="J3483" s="18"/>
      <c r="N3483" s="16"/>
      <c r="O3483" s="17"/>
      <c r="Q3483" s="22"/>
      <c r="R3483" s="23"/>
    </row>
    <row r="3484" spans="1:18" ht="12.75">
      <c r="A3484" s="22"/>
      <c r="D3484" s="19"/>
      <c r="H3484" s="18"/>
      <c r="J3484" s="18"/>
      <c r="N3484" s="16"/>
      <c r="O3484" s="17"/>
      <c r="Q3484" s="22"/>
      <c r="R3484" s="23"/>
    </row>
    <row r="3485" spans="1:18" ht="12.75">
      <c r="A3485" s="22"/>
      <c r="D3485" s="19"/>
      <c r="H3485" s="18"/>
      <c r="J3485" s="18"/>
      <c r="N3485" s="16"/>
      <c r="O3485" s="17"/>
      <c r="Q3485" s="22"/>
      <c r="R3485" s="23"/>
    </row>
    <row r="3486" spans="1:18" ht="12.75">
      <c r="A3486" s="22"/>
      <c r="D3486" s="19"/>
      <c r="H3486" s="18"/>
      <c r="J3486" s="18"/>
      <c r="N3486" s="16"/>
      <c r="O3486" s="17"/>
      <c r="Q3486" s="22"/>
      <c r="R3486" s="23"/>
    </row>
    <row r="3487" spans="1:18" ht="12.75">
      <c r="A3487" s="22"/>
      <c r="D3487" s="19"/>
      <c r="H3487" s="18"/>
      <c r="J3487" s="18"/>
      <c r="N3487" s="16"/>
      <c r="O3487" s="17"/>
      <c r="Q3487" s="22"/>
      <c r="R3487" s="23"/>
    </row>
    <row r="3488" spans="1:18" ht="12.75">
      <c r="A3488" s="22"/>
      <c r="D3488" s="19"/>
      <c r="H3488" s="18"/>
      <c r="J3488" s="18"/>
      <c r="N3488" s="16"/>
      <c r="O3488" s="17"/>
      <c r="Q3488" s="22"/>
      <c r="R3488" s="23"/>
    </row>
    <row r="3489" spans="1:18" ht="12.75">
      <c r="A3489" s="22"/>
      <c r="D3489" s="19"/>
      <c r="H3489" s="18"/>
      <c r="J3489" s="18"/>
      <c r="N3489" s="16"/>
      <c r="O3489" s="17"/>
      <c r="Q3489" s="22"/>
      <c r="R3489" s="23"/>
    </row>
    <row r="3490" spans="1:18" ht="12.75">
      <c r="A3490" s="22"/>
      <c r="D3490" s="19"/>
      <c r="H3490" s="18"/>
      <c r="J3490" s="18"/>
      <c r="N3490" s="16"/>
      <c r="O3490" s="17"/>
      <c r="Q3490" s="22"/>
      <c r="R3490" s="23"/>
    </row>
    <row r="3491" spans="1:18" ht="12.75">
      <c r="A3491" s="22"/>
      <c r="D3491" s="19"/>
      <c r="H3491" s="18"/>
      <c r="J3491" s="18"/>
      <c r="N3491" s="16"/>
      <c r="O3491" s="17"/>
      <c r="Q3491" s="22"/>
      <c r="R3491" s="23"/>
    </row>
    <row r="3492" spans="1:18" ht="12.75">
      <c r="A3492" s="22"/>
      <c r="D3492" s="19"/>
      <c r="H3492" s="18"/>
      <c r="J3492" s="18"/>
      <c r="N3492" s="16"/>
      <c r="O3492" s="17"/>
      <c r="Q3492" s="22"/>
      <c r="R3492" s="23"/>
    </row>
    <row r="3493" spans="1:18" ht="12.75">
      <c r="A3493" s="22"/>
      <c r="D3493" s="19"/>
      <c r="H3493" s="18"/>
      <c r="J3493" s="18"/>
      <c r="N3493" s="16"/>
      <c r="O3493" s="17"/>
      <c r="Q3493" s="22"/>
      <c r="R3493" s="23"/>
    </row>
    <row r="3494" spans="1:18" ht="12.75">
      <c r="A3494" s="22"/>
      <c r="D3494" s="19"/>
      <c r="H3494" s="18"/>
      <c r="J3494" s="18"/>
      <c r="N3494" s="16"/>
      <c r="O3494" s="17"/>
      <c r="Q3494" s="22"/>
      <c r="R3494" s="23"/>
    </row>
    <row r="3495" spans="1:18" ht="12.75">
      <c r="A3495" s="22"/>
      <c r="D3495" s="19"/>
      <c r="H3495" s="18"/>
      <c r="J3495" s="18"/>
      <c r="N3495" s="16"/>
      <c r="O3495" s="17"/>
      <c r="Q3495" s="22"/>
      <c r="R3495" s="23"/>
    </row>
    <row r="3496" spans="1:18" ht="12.75">
      <c r="A3496" s="22"/>
      <c r="D3496" s="19"/>
      <c r="H3496" s="18"/>
      <c r="J3496" s="18"/>
      <c r="N3496" s="16"/>
      <c r="O3496" s="17"/>
      <c r="Q3496" s="22"/>
      <c r="R3496" s="23"/>
    </row>
    <row r="3497" spans="1:18" ht="12.75">
      <c r="A3497" s="22"/>
      <c r="D3497" s="19"/>
      <c r="H3497" s="18"/>
      <c r="J3497" s="18"/>
      <c r="N3497" s="16"/>
      <c r="O3497" s="17"/>
      <c r="Q3497" s="22"/>
      <c r="R3497" s="23"/>
    </row>
    <row r="3498" spans="1:18" ht="12.75">
      <c r="A3498" s="22"/>
      <c r="D3498" s="19"/>
      <c r="H3498" s="18"/>
      <c r="J3498" s="18"/>
      <c r="N3498" s="16"/>
      <c r="O3498" s="17"/>
      <c r="Q3498" s="22"/>
      <c r="R3498" s="23"/>
    </row>
    <row r="3499" spans="1:18" ht="12.75">
      <c r="A3499" s="22"/>
      <c r="D3499" s="19"/>
      <c r="H3499" s="18"/>
      <c r="J3499" s="18"/>
      <c r="N3499" s="16"/>
      <c r="O3499" s="17"/>
      <c r="Q3499" s="22"/>
      <c r="R3499" s="23"/>
    </row>
    <row r="3500" spans="1:18" ht="12.75">
      <c r="A3500" s="22"/>
      <c r="D3500" s="19"/>
      <c r="H3500" s="18"/>
      <c r="J3500" s="18"/>
      <c r="N3500" s="16"/>
      <c r="O3500" s="17"/>
      <c r="Q3500" s="22"/>
      <c r="R3500" s="23"/>
    </row>
    <row r="3501" spans="1:18" ht="12.75">
      <c r="A3501" s="22"/>
      <c r="D3501" s="19"/>
      <c r="H3501" s="18"/>
      <c r="J3501" s="18"/>
      <c r="N3501" s="16"/>
      <c r="O3501" s="17"/>
      <c r="Q3501" s="22"/>
      <c r="R3501" s="23"/>
    </row>
    <row r="3502" spans="1:18" ht="12.75">
      <c r="A3502" s="22"/>
      <c r="D3502" s="19"/>
      <c r="H3502" s="18"/>
      <c r="J3502" s="18"/>
      <c r="N3502" s="16"/>
      <c r="O3502" s="17"/>
      <c r="Q3502" s="22"/>
      <c r="R3502" s="23"/>
    </row>
    <row r="3503" spans="1:18" ht="12.75">
      <c r="A3503" s="22"/>
      <c r="D3503" s="19"/>
      <c r="H3503" s="18"/>
      <c r="J3503" s="18"/>
      <c r="N3503" s="16"/>
      <c r="O3503" s="17"/>
      <c r="Q3503" s="22"/>
      <c r="R3503" s="23"/>
    </row>
    <row r="3504" spans="1:18" ht="12.75">
      <c r="A3504" s="22"/>
      <c r="D3504" s="19"/>
      <c r="H3504" s="18"/>
      <c r="J3504" s="18"/>
      <c r="N3504" s="16"/>
      <c r="O3504" s="17"/>
      <c r="Q3504" s="22"/>
      <c r="R3504" s="23"/>
    </row>
    <row r="3505" spans="1:18" ht="12.75">
      <c r="A3505" s="22"/>
      <c r="D3505" s="19"/>
      <c r="H3505" s="18"/>
      <c r="J3505" s="18"/>
      <c r="N3505" s="16"/>
      <c r="O3505" s="17"/>
      <c r="Q3505" s="22"/>
      <c r="R3505" s="23"/>
    </row>
    <row r="3506" spans="1:18" ht="12.75">
      <c r="A3506" s="22"/>
      <c r="D3506" s="19"/>
      <c r="H3506" s="18"/>
      <c r="J3506" s="18"/>
      <c r="N3506" s="16"/>
      <c r="O3506" s="17"/>
      <c r="Q3506" s="22"/>
      <c r="R3506" s="23"/>
    </row>
    <row r="3507" spans="1:18" ht="12.75">
      <c r="A3507" s="22"/>
      <c r="D3507" s="19"/>
      <c r="H3507" s="18"/>
      <c r="J3507" s="18"/>
      <c r="N3507" s="16"/>
      <c r="O3507" s="17"/>
      <c r="Q3507" s="22"/>
      <c r="R3507" s="23"/>
    </row>
    <row r="3508" spans="1:18" ht="12.75">
      <c r="A3508" s="22"/>
      <c r="D3508" s="19"/>
      <c r="H3508" s="18"/>
      <c r="J3508" s="18"/>
      <c r="N3508" s="16"/>
      <c r="O3508" s="17"/>
      <c r="Q3508" s="22"/>
      <c r="R3508" s="23"/>
    </row>
    <row r="3509" spans="1:18" ht="12.75">
      <c r="A3509" s="22"/>
      <c r="D3509" s="19"/>
      <c r="H3509" s="18"/>
      <c r="J3509" s="18"/>
      <c r="N3509" s="16"/>
      <c r="O3509" s="17"/>
      <c r="Q3509" s="22"/>
      <c r="R3509" s="23"/>
    </row>
    <row r="3510" spans="1:18" ht="12.75">
      <c r="A3510" s="22"/>
      <c r="D3510" s="19"/>
      <c r="H3510" s="18"/>
      <c r="J3510" s="18"/>
      <c r="N3510" s="16"/>
      <c r="O3510" s="17"/>
      <c r="Q3510" s="22"/>
      <c r="R3510" s="23"/>
    </row>
    <row r="3511" spans="1:18" ht="12.75">
      <c r="A3511" s="22"/>
      <c r="D3511" s="19"/>
      <c r="H3511" s="18"/>
      <c r="J3511" s="18"/>
      <c r="N3511" s="16"/>
      <c r="O3511" s="17"/>
      <c r="Q3511" s="22"/>
      <c r="R3511" s="23"/>
    </row>
    <row r="3512" spans="1:18" ht="12.75">
      <c r="A3512" s="22"/>
      <c r="D3512" s="19"/>
      <c r="H3512" s="18"/>
      <c r="J3512" s="18"/>
      <c r="N3512" s="16"/>
      <c r="O3512" s="17"/>
      <c r="Q3512" s="22"/>
      <c r="R3512" s="23"/>
    </row>
    <row r="3513" spans="1:18" ht="12.75">
      <c r="A3513" s="22"/>
      <c r="D3513" s="19"/>
      <c r="H3513" s="18"/>
      <c r="J3513" s="18"/>
      <c r="N3513" s="16"/>
      <c r="O3513" s="17"/>
      <c r="Q3513" s="22"/>
      <c r="R3513" s="23"/>
    </row>
    <row r="3514" spans="1:18" ht="12.75">
      <c r="A3514" s="22"/>
      <c r="D3514" s="19"/>
      <c r="H3514" s="18"/>
      <c r="J3514" s="18"/>
      <c r="N3514" s="16"/>
      <c r="O3514" s="17"/>
      <c r="Q3514" s="22"/>
      <c r="R3514" s="23"/>
    </row>
    <row r="3515" spans="1:18" ht="12.75">
      <c r="A3515" s="22"/>
      <c r="D3515" s="19"/>
      <c r="H3515" s="18"/>
      <c r="J3515" s="18"/>
      <c r="N3515" s="16"/>
      <c r="O3515" s="17"/>
      <c r="Q3515" s="22"/>
      <c r="R3515" s="23"/>
    </row>
    <row r="3516" spans="1:18" ht="12.75">
      <c r="A3516" s="22"/>
      <c r="D3516" s="19"/>
      <c r="H3516" s="18"/>
      <c r="J3516" s="18"/>
      <c r="N3516" s="16"/>
      <c r="O3516" s="17"/>
      <c r="Q3516" s="22"/>
      <c r="R3516" s="23"/>
    </row>
    <row r="3517" spans="1:18" ht="12.75">
      <c r="A3517" s="22"/>
      <c r="D3517" s="19"/>
      <c r="H3517" s="18"/>
      <c r="J3517" s="18"/>
      <c r="N3517" s="16"/>
      <c r="O3517" s="17"/>
      <c r="Q3517" s="22"/>
      <c r="R3517" s="23"/>
    </row>
    <row r="3518" spans="1:18" ht="12.75">
      <c r="A3518" s="22"/>
      <c r="D3518" s="19"/>
      <c r="H3518" s="18"/>
      <c r="J3518" s="18"/>
      <c r="N3518" s="16"/>
      <c r="O3518" s="17"/>
      <c r="Q3518" s="22"/>
      <c r="R3518" s="23"/>
    </row>
    <row r="3519" spans="1:18" ht="12.75">
      <c r="A3519" s="22"/>
      <c r="D3519" s="19"/>
      <c r="H3519" s="18"/>
      <c r="J3519" s="18"/>
      <c r="N3519" s="16"/>
      <c r="O3519" s="17"/>
      <c r="Q3519" s="22"/>
      <c r="R3519" s="23"/>
    </row>
    <row r="3520" spans="1:18" ht="12.75">
      <c r="A3520" s="22"/>
      <c r="D3520" s="19"/>
      <c r="H3520" s="18"/>
      <c r="J3520" s="18"/>
      <c r="N3520" s="16"/>
      <c r="O3520" s="17"/>
      <c r="Q3520" s="22"/>
      <c r="R3520" s="23"/>
    </row>
    <row r="3521" spans="1:18" ht="12.75">
      <c r="A3521" s="22"/>
      <c r="D3521" s="19"/>
      <c r="H3521" s="18"/>
      <c r="J3521" s="18"/>
      <c r="N3521" s="16"/>
      <c r="O3521" s="17"/>
      <c r="Q3521" s="22"/>
      <c r="R3521" s="23"/>
    </row>
    <row r="3522" spans="1:18" ht="12.75">
      <c r="A3522" s="22"/>
      <c r="D3522" s="19"/>
      <c r="H3522" s="18"/>
      <c r="J3522" s="18"/>
      <c r="N3522" s="16"/>
      <c r="O3522" s="17"/>
      <c r="Q3522" s="22"/>
      <c r="R3522" s="23"/>
    </row>
    <row r="3523" spans="1:18" ht="12.75">
      <c r="A3523" s="22"/>
      <c r="D3523" s="19"/>
      <c r="H3523" s="18"/>
      <c r="J3523" s="18"/>
      <c r="N3523" s="16"/>
      <c r="O3523" s="17"/>
      <c r="Q3523" s="22"/>
      <c r="R3523" s="23"/>
    </row>
    <row r="3524" spans="1:18" ht="12.75">
      <c r="A3524" s="22"/>
      <c r="D3524" s="19"/>
      <c r="H3524" s="18"/>
      <c r="J3524" s="18"/>
      <c r="N3524" s="16"/>
      <c r="O3524" s="17"/>
      <c r="Q3524" s="22"/>
      <c r="R3524" s="23"/>
    </row>
    <row r="3525" spans="1:18" ht="12.75">
      <c r="A3525" s="22"/>
      <c r="D3525" s="19"/>
      <c r="H3525" s="18"/>
      <c r="J3525" s="18"/>
      <c r="N3525" s="16"/>
      <c r="O3525" s="17"/>
      <c r="Q3525" s="22"/>
      <c r="R3525" s="23"/>
    </row>
    <row r="3526" spans="1:18" ht="12.75">
      <c r="A3526" s="22"/>
      <c r="D3526" s="19"/>
      <c r="H3526" s="18"/>
      <c r="J3526" s="18"/>
      <c r="N3526" s="16"/>
      <c r="O3526" s="17"/>
      <c r="Q3526" s="22"/>
      <c r="R3526" s="23"/>
    </row>
    <row r="3527" spans="1:18" ht="12.75">
      <c r="A3527" s="22"/>
      <c r="D3527" s="19"/>
      <c r="H3527" s="18"/>
      <c r="J3527" s="18"/>
      <c r="N3527" s="16"/>
      <c r="O3527" s="17"/>
      <c r="Q3527" s="22"/>
      <c r="R3527" s="23"/>
    </row>
    <row r="3528" spans="1:18" ht="12.75">
      <c r="A3528" s="22"/>
      <c r="D3528" s="19"/>
      <c r="H3528" s="18"/>
      <c r="J3528" s="18"/>
      <c r="N3528" s="16"/>
      <c r="O3528" s="17"/>
      <c r="Q3528" s="22"/>
      <c r="R3528" s="23"/>
    </row>
    <row r="3529" spans="1:18" ht="12.75">
      <c r="A3529" s="22"/>
      <c r="D3529" s="19"/>
      <c r="H3529" s="18"/>
      <c r="J3529" s="18"/>
      <c r="N3529" s="16"/>
      <c r="O3529" s="17"/>
      <c r="Q3529" s="22"/>
      <c r="R3529" s="23"/>
    </row>
    <row r="3530" spans="1:18" ht="12.75">
      <c r="A3530" s="22"/>
      <c r="D3530" s="19"/>
      <c r="H3530" s="18"/>
      <c r="J3530" s="18"/>
      <c r="N3530" s="16"/>
      <c r="O3530" s="17"/>
      <c r="Q3530" s="22"/>
      <c r="R3530" s="23"/>
    </row>
    <row r="3531" spans="1:18" ht="12.75">
      <c r="A3531" s="22"/>
      <c r="D3531" s="19"/>
      <c r="H3531" s="18"/>
      <c r="J3531" s="18"/>
      <c r="N3531" s="16"/>
      <c r="O3531" s="17"/>
      <c r="Q3531" s="22"/>
      <c r="R3531" s="23"/>
    </row>
    <row r="3532" spans="1:18" ht="12.75">
      <c r="A3532" s="22"/>
      <c r="D3532" s="19"/>
      <c r="H3532" s="18"/>
      <c r="J3532" s="18"/>
      <c r="N3532" s="16"/>
      <c r="O3532" s="17"/>
      <c r="Q3532" s="22"/>
      <c r="R3532" s="23"/>
    </row>
    <row r="3533" spans="1:18" ht="12.75">
      <c r="A3533" s="22"/>
      <c r="D3533" s="19"/>
      <c r="H3533" s="18"/>
      <c r="J3533" s="18"/>
      <c r="N3533" s="16"/>
      <c r="O3533" s="17"/>
      <c r="Q3533" s="22"/>
      <c r="R3533" s="23"/>
    </row>
    <row r="3534" spans="1:18" ht="12.75">
      <c r="A3534" s="22"/>
      <c r="D3534" s="19"/>
      <c r="H3534" s="18"/>
      <c r="J3534" s="18"/>
      <c r="N3534" s="16"/>
      <c r="O3534" s="17"/>
      <c r="Q3534" s="22"/>
      <c r="R3534" s="23"/>
    </row>
    <row r="3535" spans="1:18" ht="12.75">
      <c r="A3535" s="22"/>
      <c r="D3535" s="19"/>
      <c r="H3535" s="18"/>
      <c r="J3535" s="18"/>
      <c r="N3535" s="16"/>
      <c r="O3535" s="17"/>
      <c r="Q3535" s="22"/>
      <c r="R3535" s="23"/>
    </row>
    <row r="3536" spans="1:18" ht="12.75">
      <c r="A3536" s="22"/>
      <c r="D3536" s="19"/>
      <c r="H3536" s="18"/>
      <c r="J3536" s="18"/>
      <c r="N3536" s="16"/>
      <c r="O3536" s="17"/>
      <c r="Q3536" s="22"/>
      <c r="R3536" s="23"/>
    </row>
    <row r="3537" spans="1:18" ht="12.75">
      <c r="A3537" s="22"/>
      <c r="D3537" s="19"/>
      <c r="H3537" s="18"/>
      <c r="J3537" s="18"/>
      <c r="N3537" s="16"/>
      <c r="O3537" s="17"/>
      <c r="Q3537" s="22"/>
      <c r="R3537" s="23"/>
    </row>
    <row r="3538" spans="1:18" ht="12.75">
      <c r="A3538" s="22"/>
      <c r="D3538" s="19"/>
      <c r="H3538" s="18"/>
      <c r="J3538" s="18"/>
      <c r="N3538" s="16"/>
      <c r="O3538" s="17"/>
      <c r="Q3538" s="22"/>
      <c r="R3538" s="23"/>
    </row>
    <row r="3539" spans="1:18" ht="12.75">
      <c r="A3539" s="22"/>
      <c r="D3539" s="19"/>
      <c r="H3539" s="18"/>
      <c r="J3539" s="18"/>
      <c r="N3539" s="16"/>
      <c r="O3539" s="17"/>
      <c r="Q3539" s="22"/>
      <c r="R3539" s="23"/>
    </row>
    <row r="3540" spans="1:18" ht="12.75">
      <c r="A3540" s="22"/>
      <c r="D3540" s="19"/>
      <c r="H3540" s="18"/>
      <c r="J3540" s="18"/>
      <c r="N3540" s="16"/>
      <c r="O3540" s="17"/>
      <c r="Q3540" s="22"/>
      <c r="R3540" s="23"/>
    </row>
    <row r="3541" spans="1:18" ht="12.75">
      <c r="A3541" s="22"/>
      <c r="D3541" s="19"/>
      <c r="H3541" s="18"/>
      <c r="J3541" s="18"/>
      <c r="N3541" s="16"/>
      <c r="O3541" s="17"/>
      <c r="Q3541" s="22"/>
      <c r="R3541" s="23"/>
    </row>
    <row r="3542" spans="1:18" ht="12.75">
      <c r="A3542" s="22"/>
      <c r="D3542" s="19"/>
      <c r="H3542" s="18"/>
      <c r="J3542" s="18"/>
      <c r="N3542" s="16"/>
      <c r="O3542" s="17"/>
      <c r="Q3542" s="22"/>
      <c r="R3542" s="23"/>
    </row>
    <row r="3543" spans="1:18" ht="12.75">
      <c r="A3543" s="22"/>
      <c r="D3543" s="19"/>
      <c r="H3543" s="18"/>
      <c r="J3543" s="18"/>
      <c r="N3543" s="16"/>
      <c r="O3543" s="17"/>
      <c r="Q3543" s="22"/>
      <c r="R3543" s="23"/>
    </row>
    <row r="3544" spans="1:18" ht="12.75">
      <c r="A3544" s="22"/>
      <c r="D3544" s="19"/>
      <c r="H3544" s="18"/>
      <c r="J3544" s="18"/>
      <c r="N3544" s="16"/>
      <c r="O3544" s="17"/>
      <c r="Q3544" s="22"/>
      <c r="R3544" s="23"/>
    </row>
    <row r="3545" spans="1:18" ht="12.75">
      <c r="A3545" s="22"/>
      <c r="D3545" s="19"/>
      <c r="H3545" s="18"/>
      <c r="J3545" s="18"/>
      <c r="N3545" s="16"/>
      <c r="O3545" s="17"/>
      <c r="Q3545" s="22"/>
      <c r="R3545" s="23"/>
    </row>
    <row r="3546" spans="1:18" ht="12.75">
      <c r="A3546" s="22"/>
      <c r="D3546" s="19"/>
      <c r="H3546" s="18"/>
      <c r="J3546" s="18"/>
      <c r="N3546" s="16"/>
      <c r="O3546" s="17"/>
      <c r="Q3546" s="22"/>
      <c r="R3546" s="23"/>
    </row>
    <row r="3547" spans="1:18" ht="12.75">
      <c r="A3547" s="22"/>
      <c r="D3547" s="19"/>
      <c r="H3547" s="18"/>
      <c r="J3547" s="18"/>
      <c r="N3547" s="16"/>
      <c r="O3547" s="17"/>
      <c r="Q3547" s="22"/>
      <c r="R3547" s="23"/>
    </row>
    <row r="3548" spans="1:18" ht="12.75">
      <c r="A3548" s="22"/>
      <c r="D3548" s="19"/>
      <c r="H3548" s="18"/>
      <c r="J3548" s="18"/>
      <c r="N3548" s="16"/>
      <c r="O3548" s="17"/>
      <c r="Q3548" s="22"/>
      <c r="R3548" s="23"/>
    </row>
    <row r="3549" spans="1:18" ht="12.75">
      <c r="A3549" s="22"/>
      <c r="D3549" s="19"/>
      <c r="H3549" s="18"/>
      <c r="J3549" s="18"/>
      <c r="N3549" s="16"/>
      <c r="O3549" s="17"/>
      <c r="Q3549" s="22"/>
      <c r="R3549" s="23"/>
    </row>
    <row r="3550" spans="1:18" ht="12.75">
      <c r="A3550" s="22"/>
      <c r="D3550" s="19"/>
      <c r="H3550" s="18"/>
      <c r="J3550" s="18"/>
      <c r="N3550" s="16"/>
      <c r="O3550" s="17"/>
      <c r="Q3550" s="22"/>
      <c r="R3550" s="23"/>
    </row>
    <row r="3551" spans="1:18" ht="12.75">
      <c r="A3551" s="22"/>
      <c r="D3551" s="19"/>
      <c r="H3551" s="18"/>
      <c r="J3551" s="18"/>
      <c r="N3551" s="16"/>
      <c r="O3551" s="17"/>
      <c r="Q3551" s="22"/>
      <c r="R3551" s="23"/>
    </row>
    <row r="3552" spans="1:18" ht="12.75">
      <c r="A3552" s="22"/>
      <c r="D3552" s="19"/>
      <c r="H3552" s="18"/>
      <c r="J3552" s="18"/>
      <c r="N3552" s="16"/>
      <c r="O3552" s="17"/>
      <c r="Q3552" s="22"/>
      <c r="R3552" s="23"/>
    </row>
    <row r="3553" spans="1:18" ht="12.75">
      <c r="A3553" s="22"/>
      <c r="D3553" s="19"/>
      <c r="H3553" s="18"/>
      <c r="J3553" s="18"/>
      <c r="N3553" s="16"/>
      <c r="O3553" s="17"/>
      <c r="Q3553" s="22"/>
      <c r="R3553" s="23"/>
    </row>
    <row r="3554" spans="1:18" ht="12.75">
      <c r="A3554" s="22"/>
      <c r="D3554" s="19"/>
      <c r="H3554" s="18"/>
      <c r="J3554" s="18"/>
      <c r="N3554" s="16"/>
      <c r="O3554" s="17"/>
      <c r="Q3554" s="22"/>
      <c r="R3554" s="23"/>
    </row>
    <row r="3555" spans="1:18" ht="12.75">
      <c r="A3555" s="22"/>
      <c r="D3555" s="19"/>
      <c r="H3555" s="18"/>
      <c r="J3555" s="18"/>
      <c r="N3555" s="16"/>
      <c r="O3555" s="17"/>
      <c r="Q3555" s="22"/>
      <c r="R3555" s="23"/>
    </row>
    <row r="3556" spans="1:18" ht="12.75">
      <c r="A3556" s="22"/>
      <c r="D3556" s="19"/>
      <c r="H3556" s="18"/>
      <c r="J3556" s="18"/>
      <c r="N3556" s="16"/>
      <c r="O3556" s="17"/>
      <c r="Q3556" s="22"/>
      <c r="R3556" s="23"/>
    </row>
    <row r="3557" spans="1:18" ht="12.75">
      <c r="A3557" s="22"/>
      <c r="D3557" s="19"/>
      <c r="H3557" s="18"/>
      <c r="J3557" s="18"/>
      <c r="N3557" s="16"/>
      <c r="O3557" s="17"/>
      <c r="Q3557" s="22"/>
      <c r="R3557" s="23"/>
    </row>
    <row r="3558" spans="1:18" ht="12.75">
      <c r="A3558" s="22"/>
      <c r="D3558" s="19"/>
      <c r="H3558" s="18"/>
      <c r="J3558" s="18"/>
      <c r="N3558" s="16"/>
      <c r="O3558" s="17"/>
      <c r="Q3558" s="22"/>
      <c r="R3558" s="23"/>
    </row>
    <row r="3559" spans="1:18" ht="12.75">
      <c r="A3559" s="22"/>
      <c r="D3559" s="19"/>
      <c r="H3559" s="18"/>
      <c r="J3559" s="18"/>
      <c r="N3559" s="16"/>
      <c r="O3559" s="17"/>
      <c r="Q3559" s="22"/>
      <c r="R3559" s="23"/>
    </row>
    <row r="3560" spans="1:18" ht="12.75">
      <c r="A3560" s="22"/>
      <c r="D3560" s="19"/>
      <c r="H3560" s="18"/>
      <c r="J3560" s="18"/>
      <c r="N3560" s="16"/>
      <c r="O3560" s="17"/>
      <c r="Q3560" s="22"/>
      <c r="R3560" s="23"/>
    </row>
    <row r="3561" spans="1:18" ht="12.75">
      <c r="A3561" s="22"/>
      <c r="D3561" s="19"/>
      <c r="H3561" s="18"/>
      <c r="J3561" s="18"/>
      <c r="N3561" s="16"/>
      <c r="O3561" s="17"/>
      <c r="Q3561" s="22"/>
      <c r="R3561" s="23"/>
    </row>
    <row r="3562" spans="1:18" ht="12.75">
      <c r="A3562" s="22"/>
      <c r="D3562" s="19"/>
      <c r="H3562" s="18"/>
      <c r="J3562" s="18"/>
      <c r="N3562" s="16"/>
      <c r="O3562" s="17"/>
      <c r="Q3562" s="22"/>
      <c r="R3562" s="23"/>
    </row>
    <row r="3563" spans="1:18" ht="12.75">
      <c r="A3563" s="22"/>
      <c r="D3563" s="19"/>
      <c r="H3563" s="18"/>
      <c r="J3563" s="18"/>
      <c r="N3563" s="16"/>
      <c r="O3563" s="17"/>
      <c r="Q3563" s="22"/>
      <c r="R3563" s="23"/>
    </row>
    <row r="3564" spans="1:18" ht="12.75">
      <c r="A3564" s="22"/>
      <c r="D3564" s="19"/>
      <c r="H3564" s="18"/>
      <c r="J3564" s="18"/>
      <c r="N3564" s="16"/>
      <c r="O3564" s="17"/>
      <c r="Q3564" s="22"/>
      <c r="R3564" s="23"/>
    </row>
    <row r="3565" spans="1:18" ht="12.75">
      <c r="A3565" s="22"/>
      <c r="D3565" s="19"/>
      <c r="H3565" s="18"/>
      <c r="J3565" s="18"/>
      <c r="N3565" s="16"/>
      <c r="O3565" s="17"/>
      <c r="Q3565" s="22"/>
      <c r="R3565" s="23"/>
    </row>
    <row r="3566" spans="1:18" ht="12.75">
      <c r="A3566" s="22"/>
      <c r="D3566" s="19"/>
      <c r="H3566" s="18"/>
      <c r="J3566" s="18"/>
      <c r="N3566" s="16"/>
      <c r="O3566" s="17"/>
      <c r="Q3566" s="22"/>
      <c r="R3566" s="23"/>
    </row>
    <row r="3567" spans="1:18" ht="12.75">
      <c r="A3567" s="22"/>
      <c r="D3567" s="19"/>
      <c r="H3567" s="18"/>
      <c r="J3567" s="18"/>
      <c r="N3567" s="16"/>
      <c r="O3567" s="17"/>
      <c r="Q3567" s="22"/>
      <c r="R3567" s="23"/>
    </row>
    <row r="3568" spans="1:18" ht="12.75">
      <c r="A3568" s="22"/>
      <c r="D3568" s="19"/>
      <c r="H3568" s="18"/>
      <c r="J3568" s="18"/>
      <c r="N3568" s="16"/>
      <c r="O3568" s="17"/>
      <c r="Q3568" s="22"/>
      <c r="R3568" s="23"/>
    </row>
    <row r="3569" spans="1:18" ht="12.75">
      <c r="A3569" s="22"/>
      <c r="D3569" s="19"/>
      <c r="H3569" s="18"/>
      <c r="J3569" s="18"/>
      <c r="N3569" s="16"/>
      <c r="O3569" s="17"/>
      <c r="Q3569" s="22"/>
      <c r="R3569" s="23"/>
    </row>
    <row r="3570" spans="1:18" ht="12.75">
      <c r="A3570" s="22"/>
      <c r="D3570" s="19"/>
      <c r="H3570" s="18"/>
      <c r="J3570" s="18"/>
      <c r="N3570" s="16"/>
      <c r="O3570" s="17"/>
      <c r="Q3570" s="22"/>
      <c r="R3570" s="23"/>
    </row>
    <row r="3571" spans="1:18" ht="12.75">
      <c r="A3571" s="22"/>
      <c r="D3571" s="19"/>
      <c r="H3571" s="18"/>
      <c r="J3571" s="18"/>
      <c r="N3571" s="16"/>
      <c r="O3571" s="17"/>
      <c r="Q3571" s="22"/>
      <c r="R3571" s="23"/>
    </row>
    <row r="3572" spans="1:18" ht="12.75">
      <c r="A3572" s="22"/>
      <c r="D3572" s="19"/>
      <c r="H3572" s="18"/>
      <c r="J3572" s="18"/>
      <c r="N3572" s="16"/>
      <c r="O3572" s="17"/>
      <c r="Q3572" s="22"/>
      <c r="R3572" s="23"/>
    </row>
    <row r="3573" spans="1:18" ht="12.75">
      <c r="A3573" s="22"/>
      <c r="D3573" s="19"/>
      <c r="H3573" s="18"/>
      <c r="J3573" s="18"/>
      <c r="N3573" s="16"/>
      <c r="O3573" s="17"/>
      <c r="Q3573" s="22"/>
      <c r="R3573" s="23"/>
    </row>
    <row r="3574" spans="1:18" ht="12.75">
      <c r="A3574" s="22"/>
      <c r="D3574" s="19"/>
      <c r="H3574" s="18"/>
      <c r="J3574" s="18"/>
      <c r="N3574" s="16"/>
      <c r="O3574" s="17"/>
      <c r="Q3574" s="22"/>
      <c r="R3574" s="23"/>
    </row>
    <row r="3575" spans="1:18" ht="12.75">
      <c r="A3575" s="22"/>
      <c r="D3575" s="19"/>
      <c r="H3575" s="18"/>
      <c r="J3575" s="18"/>
      <c r="N3575" s="16"/>
      <c r="O3575" s="17"/>
      <c r="Q3575" s="22"/>
      <c r="R3575" s="23"/>
    </row>
    <row r="3576" spans="1:18" ht="12.75">
      <c r="A3576" s="22"/>
      <c r="D3576" s="19"/>
      <c r="H3576" s="18"/>
      <c r="J3576" s="18"/>
      <c r="N3576" s="16"/>
      <c r="O3576" s="17"/>
      <c r="Q3576" s="22"/>
      <c r="R3576" s="23"/>
    </row>
    <row r="3577" spans="1:18" ht="12.75">
      <c r="A3577" s="22"/>
      <c r="D3577" s="19"/>
      <c r="H3577" s="18"/>
      <c r="J3577" s="18"/>
      <c r="N3577" s="16"/>
      <c r="O3577" s="17"/>
      <c r="Q3577" s="22"/>
      <c r="R3577" s="23"/>
    </row>
    <row r="3578" spans="1:18" ht="12.75">
      <c r="A3578" s="22"/>
      <c r="D3578" s="19"/>
      <c r="H3578" s="18"/>
      <c r="J3578" s="18"/>
      <c r="N3578" s="16"/>
      <c r="O3578" s="17"/>
      <c r="Q3578" s="22"/>
      <c r="R3578" s="23"/>
    </row>
    <row r="3579" spans="1:18" ht="12.75">
      <c r="A3579" s="22"/>
      <c r="D3579" s="19"/>
      <c r="H3579" s="18"/>
      <c r="J3579" s="18"/>
      <c r="N3579" s="16"/>
      <c r="O3579" s="17"/>
      <c r="Q3579" s="22"/>
      <c r="R3579" s="23"/>
    </row>
    <row r="3580" spans="1:18" ht="12.75">
      <c r="A3580" s="22"/>
      <c r="D3580" s="19"/>
      <c r="H3580" s="18"/>
      <c r="J3580" s="18"/>
      <c r="N3580" s="16"/>
      <c r="O3580" s="17"/>
      <c r="Q3580" s="22"/>
      <c r="R3580" s="23"/>
    </row>
    <row r="3581" spans="1:18" ht="12.75">
      <c r="A3581" s="22"/>
      <c r="D3581" s="19"/>
      <c r="H3581" s="18"/>
      <c r="J3581" s="18"/>
      <c r="N3581" s="16"/>
      <c r="O3581" s="17"/>
      <c r="Q3581" s="22"/>
      <c r="R3581" s="23"/>
    </row>
    <row r="3582" spans="1:18" ht="12.75">
      <c r="A3582" s="22"/>
      <c r="D3582" s="19"/>
      <c r="H3582" s="18"/>
      <c r="J3582" s="18"/>
      <c r="N3582" s="16"/>
      <c r="O3582" s="17"/>
      <c r="Q3582" s="22"/>
      <c r="R3582" s="23"/>
    </row>
    <row r="3583" spans="1:18" ht="12.75">
      <c r="A3583" s="22"/>
      <c r="D3583" s="19"/>
      <c r="H3583" s="18"/>
      <c r="J3583" s="18"/>
      <c r="N3583" s="16"/>
      <c r="O3583" s="17"/>
      <c r="Q3583" s="22"/>
      <c r="R3583" s="23"/>
    </row>
    <row r="3584" spans="1:18" ht="12.75">
      <c r="A3584" s="22"/>
      <c r="D3584" s="19"/>
      <c r="H3584" s="18"/>
      <c r="J3584" s="18"/>
      <c r="N3584" s="16"/>
      <c r="O3584" s="17"/>
      <c r="Q3584" s="22"/>
      <c r="R3584" s="23"/>
    </row>
    <row r="3585" spans="1:18" ht="12.75">
      <c r="A3585" s="22"/>
      <c r="D3585" s="19"/>
      <c r="H3585" s="18"/>
      <c r="J3585" s="18"/>
      <c r="N3585" s="16"/>
      <c r="O3585" s="17"/>
      <c r="Q3585" s="22"/>
      <c r="R3585" s="23"/>
    </row>
    <row r="3586" spans="1:18" ht="12.75">
      <c r="A3586" s="22"/>
      <c r="D3586" s="19"/>
      <c r="H3586" s="18"/>
      <c r="J3586" s="18"/>
      <c r="N3586" s="16"/>
      <c r="O3586" s="17"/>
      <c r="Q3586" s="22"/>
      <c r="R3586" s="23"/>
    </row>
    <row r="3587" spans="1:18" ht="12.75">
      <c r="A3587" s="22"/>
      <c r="D3587" s="19"/>
      <c r="H3587" s="18"/>
      <c r="J3587" s="18"/>
      <c r="N3587" s="16"/>
      <c r="O3587" s="17"/>
      <c r="Q3587" s="22"/>
      <c r="R3587" s="23"/>
    </row>
    <row r="3588" spans="1:18" ht="12.75">
      <c r="A3588" s="22"/>
      <c r="D3588" s="19"/>
      <c r="H3588" s="18"/>
      <c r="J3588" s="18"/>
      <c r="N3588" s="16"/>
      <c r="O3588" s="17"/>
      <c r="Q3588" s="22"/>
      <c r="R3588" s="23"/>
    </row>
    <row r="3589" spans="1:18" ht="12.75">
      <c r="A3589" s="22"/>
      <c r="D3589" s="19"/>
      <c r="H3589" s="18"/>
      <c r="J3589" s="18"/>
      <c r="N3589" s="16"/>
      <c r="O3589" s="17"/>
      <c r="Q3589" s="22"/>
      <c r="R3589" s="23"/>
    </row>
    <row r="3590" spans="1:18" ht="12.75">
      <c r="A3590" s="22"/>
      <c r="D3590" s="19"/>
      <c r="H3590" s="18"/>
      <c r="J3590" s="18"/>
      <c r="N3590" s="16"/>
      <c r="O3590" s="17"/>
      <c r="Q3590" s="22"/>
      <c r="R3590" s="23"/>
    </row>
    <row r="3591" spans="1:18" ht="12.75">
      <c r="A3591" s="22"/>
      <c r="D3591" s="19"/>
      <c r="H3591" s="18"/>
      <c r="J3591" s="18"/>
      <c r="N3591" s="16"/>
      <c r="O3591" s="17"/>
      <c r="Q3591" s="22"/>
      <c r="R3591" s="23"/>
    </row>
    <row r="3592" spans="1:18" ht="12.75">
      <c r="A3592" s="22"/>
      <c r="D3592" s="19"/>
      <c r="H3592" s="18"/>
      <c r="J3592" s="18"/>
      <c r="N3592" s="16"/>
      <c r="O3592" s="17"/>
      <c r="Q3592" s="22"/>
      <c r="R3592" s="23"/>
    </row>
    <row r="3593" spans="1:18" ht="12.75">
      <c r="A3593" s="22"/>
      <c r="D3593" s="19"/>
      <c r="H3593" s="18"/>
      <c r="J3593" s="18"/>
      <c r="N3593" s="16"/>
      <c r="O3593" s="17"/>
      <c r="Q3593" s="22"/>
      <c r="R3593" s="23"/>
    </row>
    <row r="3594" spans="1:18" ht="12.75">
      <c r="A3594" s="22"/>
      <c r="D3594" s="19"/>
      <c r="H3594" s="18"/>
      <c r="J3594" s="18"/>
      <c r="N3594" s="16"/>
      <c r="O3594" s="17"/>
      <c r="Q3594" s="22"/>
      <c r="R3594" s="23"/>
    </row>
    <row r="3595" spans="1:18" ht="12.75">
      <c r="A3595" s="22"/>
      <c r="D3595" s="19"/>
      <c r="H3595" s="18"/>
      <c r="J3595" s="18"/>
      <c r="N3595" s="16"/>
      <c r="O3595" s="17"/>
      <c r="Q3595" s="22"/>
      <c r="R3595" s="23"/>
    </row>
    <row r="3596" spans="1:18" ht="12.75">
      <c r="A3596" s="22"/>
      <c r="D3596" s="19"/>
      <c r="H3596" s="18"/>
      <c r="J3596" s="18"/>
      <c r="N3596" s="16"/>
      <c r="O3596" s="17"/>
      <c r="Q3596" s="22"/>
      <c r="R3596" s="23"/>
    </row>
    <row r="3597" spans="1:18" ht="12.75">
      <c r="A3597" s="22"/>
      <c r="D3597" s="19"/>
      <c r="H3597" s="18"/>
      <c r="J3597" s="18"/>
      <c r="N3597" s="16"/>
      <c r="O3597" s="17"/>
      <c r="Q3597" s="22"/>
      <c r="R3597" s="23"/>
    </row>
    <row r="3598" spans="1:18" ht="12.75">
      <c r="A3598" s="22"/>
      <c r="D3598" s="19"/>
      <c r="H3598" s="18"/>
      <c r="J3598" s="18"/>
      <c r="N3598" s="16"/>
      <c r="O3598" s="17"/>
      <c r="Q3598" s="22"/>
      <c r="R3598" s="23"/>
    </row>
    <row r="3599" spans="1:18" ht="12.75">
      <c r="A3599" s="22"/>
      <c r="D3599" s="19"/>
      <c r="H3599" s="18"/>
      <c r="J3599" s="18"/>
      <c r="N3599" s="16"/>
      <c r="O3599" s="17"/>
      <c r="Q3599" s="22"/>
      <c r="R3599" s="23"/>
    </row>
    <row r="3600" spans="1:18" ht="12.75">
      <c r="A3600" s="22"/>
      <c r="D3600" s="19"/>
      <c r="H3600" s="18"/>
      <c r="J3600" s="18"/>
      <c r="N3600" s="16"/>
      <c r="O3600" s="17"/>
      <c r="Q3600" s="22"/>
      <c r="R3600" s="23"/>
    </row>
    <row r="3601" spans="1:18" ht="12.75">
      <c r="A3601" s="22"/>
      <c r="D3601" s="19"/>
      <c r="H3601" s="18"/>
      <c r="J3601" s="18"/>
      <c r="N3601" s="16"/>
      <c r="O3601" s="17"/>
      <c r="Q3601" s="22"/>
      <c r="R3601" s="23"/>
    </row>
    <row r="3602" spans="1:18" ht="12.75">
      <c r="A3602" s="22"/>
      <c r="D3602" s="19"/>
      <c r="H3602" s="18"/>
      <c r="J3602" s="18"/>
      <c r="N3602" s="16"/>
      <c r="O3602" s="17"/>
      <c r="Q3602" s="22"/>
      <c r="R3602" s="23"/>
    </row>
    <row r="3603" spans="1:18" ht="12.75">
      <c r="A3603" s="22"/>
      <c r="D3603" s="19"/>
      <c r="H3603" s="18"/>
      <c r="J3603" s="18"/>
      <c r="N3603" s="16"/>
      <c r="O3603" s="17"/>
      <c r="Q3603" s="22"/>
      <c r="R3603" s="23"/>
    </row>
    <row r="3604" spans="1:18" ht="12.75">
      <c r="A3604" s="22"/>
      <c r="D3604" s="19"/>
      <c r="H3604" s="18"/>
      <c r="J3604" s="18"/>
      <c r="N3604" s="16"/>
      <c r="O3604" s="17"/>
      <c r="Q3604" s="22"/>
      <c r="R3604" s="23"/>
    </row>
    <row r="3605" spans="1:18" ht="12.75">
      <c r="A3605" s="22"/>
      <c r="D3605" s="19"/>
      <c r="H3605" s="18"/>
      <c r="J3605" s="18"/>
      <c r="N3605" s="16"/>
      <c r="O3605" s="17"/>
      <c r="Q3605" s="22"/>
      <c r="R3605" s="23"/>
    </row>
    <row r="3606" spans="1:18" ht="12.75">
      <c r="A3606" s="22"/>
      <c r="D3606" s="19"/>
      <c r="H3606" s="18"/>
      <c r="J3606" s="18"/>
      <c r="N3606" s="16"/>
      <c r="O3606" s="17"/>
      <c r="Q3606" s="22"/>
      <c r="R3606" s="23"/>
    </row>
    <row r="3607" spans="1:18" ht="12.75">
      <c r="A3607" s="22"/>
      <c r="D3607" s="19"/>
      <c r="H3607" s="18"/>
      <c r="J3607" s="18"/>
      <c r="N3607" s="16"/>
      <c r="O3607" s="17"/>
      <c r="Q3607" s="22"/>
      <c r="R3607" s="23"/>
    </row>
    <row r="3608" spans="1:18" ht="12.75">
      <c r="A3608" s="22"/>
      <c r="D3608" s="19"/>
      <c r="H3608" s="18"/>
      <c r="J3608" s="18"/>
      <c r="N3608" s="16"/>
      <c r="O3608" s="17"/>
      <c r="Q3608" s="22"/>
      <c r="R3608" s="23"/>
    </row>
    <row r="3609" spans="1:18" ht="12.75">
      <c r="A3609" s="22"/>
      <c r="D3609" s="19"/>
      <c r="H3609" s="18"/>
      <c r="J3609" s="18"/>
      <c r="N3609" s="16"/>
      <c r="O3609" s="17"/>
      <c r="Q3609" s="22"/>
      <c r="R3609" s="23"/>
    </row>
    <row r="3610" spans="1:18" ht="12.75">
      <c r="A3610" s="22"/>
      <c r="D3610" s="19"/>
      <c r="H3610" s="18"/>
      <c r="J3610" s="18"/>
      <c r="N3610" s="16"/>
      <c r="O3610" s="17"/>
      <c r="Q3610" s="22"/>
      <c r="R3610" s="23"/>
    </row>
    <row r="3611" spans="1:18" ht="12.75">
      <c r="A3611" s="22"/>
      <c r="D3611" s="19"/>
      <c r="H3611" s="18"/>
      <c r="J3611" s="18"/>
      <c r="N3611" s="16"/>
      <c r="O3611" s="17"/>
      <c r="Q3611" s="22"/>
      <c r="R3611" s="23"/>
    </row>
    <row r="3612" spans="1:18" ht="12.75">
      <c r="A3612" s="22"/>
      <c r="D3612" s="19"/>
      <c r="H3612" s="18"/>
      <c r="J3612" s="18"/>
      <c r="N3612" s="16"/>
      <c r="O3612" s="17"/>
      <c r="Q3612" s="22"/>
      <c r="R3612" s="23"/>
    </row>
    <row r="3613" spans="1:18" ht="12.75">
      <c r="A3613" s="22"/>
      <c r="D3613" s="19"/>
      <c r="H3613" s="18"/>
      <c r="J3613" s="18"/>
      <c r="N3613" s="16"/>
      <c r="O3613" s="17"/>
      <c r="Q3613" s="22"/>
      <c r="R3613" s="23"/>
    </row>
    <row r="3614" spans="1:18" ht="12.75">
      <c r="A3614" s="22"/>
      <c r="D3614" s="19"/>
      <c r="H3614" s="18"/>
      <c r="J3614" s="18"/>
      <c r="N3614" s="16"/>
      <c r="O3614" s="17"/>
      <c r="Q3614" s="22"/>
      <c r="R3614" s="23"/>
    </row>
    <row r="3615" spans="1:18" ht="12.75">
      <c r="A3615" s="22"/>
      <c r="D3615" s="19"/>
      <c r="H3615" s="18"/>
      <c r="J3615" s="18"/>
      <c r="N3615" s="16"/>
      <c r="O3615" s="17"/>
      <c r="Q3615" s="22"/>
      <c r="R3615" s="23"/>
    </row>
    <row r="3616" spans="1:18" ht="12.75">
      <c r="A3616" s="22"/>
      <c r="D3616" s="19"/>
      <c r="H3616" s="18"/>
      <c r="J3616" s="18"/>
      <c r="N3616" s="16"/>
      <c r="O3616" s="17"/>
      <c r="Q3616" s="22"/>
      <c r="R3616" s="23"/>
    </row>
    <row r="3617" spans="1:18" ht="12.75">
      <c r="A3617" s="22"/>
      <c r="D3617" s="19"/>
      <c r="H3617" s="18"/>
      <c r="J3617" s="18"/>
      <c r="N3617" s="16"/>
      <c r="O3617" s="17"/>
      <c r="Q3617" s="22"/>
      <c r="R3617" s="23"/>
    </row>
    <row r="3618" spans="1:18" ht="12.75">
      <c r="A3618" s="22"/>
      <c r="D3618" s="19"/>
      <c r="H3618" s="18"/>
      <c r="J3618" s="18"/>
      <c r="N3618" s="16"/>
      <c r="O3618" s="17"/>
      <c r="Q3618" s="22"/>
      <c r="R3618" s="23"/>
    </row>
    <row r="3619" spans="1:18" ht="12.75">
      <c r="A3619" s="22"/>
      <c r="D3619" s="19"/>
      <c r="H3619" s="18"/>
      <c r="J3619" s="18"/>
      <c r="N3619" s="16"/>
      <c r="O3619" s="17"/>
      <c r="Q3619" s="22"/>
      <c r="R3619" s="23"/>
    </row>
    <row r="3620" spans="1:18" ht="12.75">
      <c r="A3620" s="22"/>
      <c r="D3620" s="19"/>
      <c r="H3620" s="18"/>
      <c r="J3620" s="18"/>
      <c r="N3620" s="16"/>
      <c r="O3620" s="17"/>
      <c r="Q3620" s="22"/>
      <c r="R3620" s="23"/>
    </row>
    <row r="3621" spans="1:18" ht="12.75">
      <c r="A3621" s="22"/>
      <c r="D3621" s="19"/>
      <c r="H3621" s="18"/>
      <c r="J3621" s="18"/>
      <c r="N3621" s="16"/>
      <c r="O3621" s="17"/>
      <c r="Q3621" s="22"/>
      <c r="R3621" s="23"/>
    </row>
    <row r="3622" spans="1:18" ht="12.75">
      <c r="A3622" s="22"/>
      <c r="D3622" s="19"/>
      <c r="H3622" s="18"/>
      <c r="J3622" s="18"/>
      <c r="N3622" s="16"/>
      <c r="O3622" s="17"/>
      <c r="Q3622" s="22"/>
      <c r="R3622" s="23"/>
    </row>
    <row r="3623" spans="1:18" ht="12.75">
      <c r="A3623" s="22"/>
      <c r="D3623" s="19"/>
      <c r="H3623" s="18"/>
      <c r="J3623" s="18"/>
      <c r="N3623" s="16"/>
      <c r="O3623" s="17"/>
      <c r="Q3623" s="22"/>
      <c r="R3623" s="23"/>
    </row>
    <row r="3624" spans="1:18" ht="12.75">
      <c r="A3624" s="22"/>
      <c r="D3624" s="19"/>
      <c r="H3624" s="18"/>
      <c r="J3624" s="18"/>
      <c r="N3624" s="16"/>
      <c r="O3624" s="17"/>
      <c r="Q3624" s="22"/>
      <c r="R3624" s="23"/>
    </row>
    <row r="3625" spans="1:18" ht="12.75">
      <c r="A3625" s="22"/>
      <c r="D3625" s="19"/>
      <c r="H3625" s="18"/>
      <c r="J3625" s="18"/>
      <c r="N3625" s="16"/>
      <c r="O3625" s="17"/>
      <c r="Q3625" s="22"/>
      <c r="R3625" s="23"/>
    </row>
    <row r="3626" spans="1:18" ht="12.75">
      <c r="A3626" s="22"/>
      <c r="D3626" s="19"/>
      <c r="H3626" s="18"/>
      <c r="J3626" s="18"/>
      <c r="N3626" s="16"/>
      <c r="O3626" s="17"/>
      <c r="Q3626" s="22"/>
      <c r="R3626" s="23"/>
    </row>
    <row r="3627" spans="1:18" ht="12.75">
      <c r="A3627" s="22"/>
      <c r="D3627" s="19"/>
      <c r="H3627" s="18"/>
      <c r="J3627" s="18"/>
      <c r="N3627" s="16"/>
      <c r="O3627" s="17"/>
      <c r="Q3627" s="22"/>
      <c r="R3627" s="23"/>
    </row>
    <row r="3628" spans="1:18" ht="12.75">
      <c r="A3628" s="22"/>
      <c r="D3628" s="19"/>
      <c r="H3628" s="18"/>
      <c r="J3628" s="18"/>
      <c r="N3628" s="16"/>
      <c r="O3628" s="17"/>
      <c r="Q3628" s="22"/>
      <c r="R3628" s="23"/>
    </row>
    <row r="3629" spans="1:18" ht="12.75">
      <c r="A3629" s="22"/>
      <c r="D3629" s="19"/>
      <c r="H3629" s="18"/>
      <c r="J3629" s="18"/>
      <c r="N3629" s="16"/>
      <c r="O3629" s="17"/>
      <c r="Q3629" s="22"/>
      <c r="R3629" s="23"/>
    </row>
    <row r="3630" spans="1:18" ht="12.75">
      <c r="A3630" s="22"/>
      <c r="D3630" s="19"/>
      <c r="H3630" s="18"/>
      <c r="J3630" s="18"/>
      <c r="N3630" s="16"/>
      <c r="O3630" s="17"/>
      <c r="Q3630" s="22"/>
      <c r="R3630" s="23"/>
    </row>
    <row r="3631" spans="1:18" ht="12.75">
      <c r="A3631" s="22"/>
      <c r="D3631" s="19"/>
      <c r="H3631" s="18"/>
      <c r="J3631" s="18"/>
      <c r="N3631" s="16"/>
      <c r="O3631" s="17"/>
      <c r="Q3631" s="22"/>
      <c r="R3631" s="23"/>
    </row>
    <row r="3632" spans="1:18" ht="12.75">
      <c r="A3632" s="22"/>
      <c r="D3632" s="19"/>
      <c r="H3632" s="18"/>
      <c r="J3632" s="18"/>
      <c r="N3632" s="16"/>
      <c r="O3632" s="17"/>
      <c r="Q3632" s="22"/>
      <c r="R3632" s="23"/>
    </row>
    <row r="3633" spans="1:18" ht="12.75">
      <c r="A3633" s="22"/>
      <c r="D3633" s="19"/>
      <c r="H3633" s="18"/>
      <c r="J3633" s="18"/>
      <c r="N3633" s="16"/>
      <c r="O3633" s="17"/>
      <c r="Q3633" s="22"/>
      <c r="R3633" s="23"/>
    </row>
    <row r="3634" spans="1:18" ht="12.75">
      <c r="A3634" s="22"/>
      <c r="D3634" s="19"/>
      <c r="H3634" s="18"/>
      <c r="J3634" s="18"/>
      <c r="N3634" s="16"/>
      <c r="O3634" s="17"/>
      <c r="Q3634" s="22"/>
      <c r="R3634" s="23"/>
    </row>
    <row r="3635" spans="1:18" ht="12.75">
      <c r="A3635" s="22"/>
      <c r="D3635" s="19"/>
      <c r="H3635" s="18"/>
      <c r="J3635" s="18"/>
      <c r="N3635" s="16"/>
      <c r="O3635" s="17"/>
      <c r="Q3635" s="22"/>
      <c r="R3635" s="23"/>
    </row>
    <row r="3636" spans="1:18" ht="12.75">
      <c r="A3636" s="22"/>
      <c r="D3636" s="19"/>
      <c r="H3636" s="18"/>
      <c r="J3636" s="18"/>
      <c r="N3636" s="16"/>
      <c r="O3636" s="17"/>
      <c r="Q3636" s="22"/>
      <c r="R3636" s="23"/>
    </row>
    <row r="3637" spans="1:18" ht="12.75">
      <c r="A3637" s="22"/>
      <c r="D3637" s="19"/>
      <c r="H3637" s="18"/>
      <c r="J3637" s="18"/>
      <c r="N3637" s="16"/>
      <c r="O3637" s="17"/>
      <c r="Q3637" s="22"/>
      <c r="R3637" s="23"/>
    </row>
    <row r="3638" spans="1:18" ht="12.75">
      <c r="A3638" s="22"/>
      <c r="D3638" s="19"/>
      <c r="H3638" s="18"/>
      <c r="J3638" s="18"/>
      <c r="N3638" s="16"/>
      <c r="O3638" s="17"/>
      <c r="Q3638" s="22"/>
      <c r="R3638" s="23"/>
    </row>
    <row r="3639" spans="1:18" ht="12.75">
      <c r="A3639" s="22"/>
      <c r="D3639" s="19"/>
      <c r="H3639" s="18"/>
      <c r="J3639" s="18"/>
      <c r="N3639" s="16"/>
      <c r="O3639" s="17"/>
      <c r="Q3639" s="22"/>
      <c r="R3639" s="23"/>
    </row>
    <row r="3640" spans="1:18" ht="12.75">
      <c r="A3640" s="22"/>
      <c r="D3640" s="19"/>
      <c r="H3640" s="18"/>
      <c r="J3640" s="18"/>
      <c r="N3640" s="16"/>
      <c r="O3640" s="17"/>
      <c r="Q3640" s="22"/>
      <c r="R3640" s="23"/>
    </row>
    <row r="3641" spans="1:18" ht="12.75">
      <c r="A3641" s="22"/>
      <c r="D3641" s="19"/>
      <c r="H3641" s="18"/>
      <c r="J3641" s="18"/>
      <c r="N3641" s="16"/>
      <c r="O3641" s="17"/>
      <c r="Q3641" s="22"/>
      <c r="R3641" s="23"/>
    </row>
    <row r="3642" spans="1:18" ht="12.75">
      <c r="A3642" s="22"/>
      <c r="D3642" s="19"/>
      <c r="H3642" s="18"/>
      <c r="J3642" s="18"/>
      <c r="N3642" s="16"/>
      <c r="O3642" s="17"/>
      <c r="Q3642" s="22"/>
      <c r="R3642" s="23"/>
    </row>
    <row r="3643" spans="1:18" ht="12.75">
      <c r="A3643" s="22"/>
      <c r="D3643" s="19"/>
      <c r="H3643" s="18"/>
      <c r="J3643" s="18"/>
      <c r="N3643" s="16"/>
      <c r="O3643" s="17"/>
      <c r="Q3643" s="22"/>
      <c r="R3643" s="23"/>
    </row>
    <row r="3644" spans="1:18" ht="12.75">
      <c r="A3644" s="22"/>
      <c r="D3644" s="19"/>
      <c r="H3644" s="18"/>
      <c r="J3644" s="18"/>
      <c r="N3644" s="16"/>
      <c r="O3644" s="17"/>
      <c r="Q3644" s="22"/>
      <c r="R3644" s="23"/>
    </row>
    <row r="3645" spans="1:18" ht="12.75">
      <c r="A3645" s="22"/>
      <c r="D3645" s="19"/>
      <c r="H3645" s="18"/>
      <c r="J3645" s="18"/>
      <c r="N3645" s="16"/>
      <c r="O3645" s="17"/>
      <c r="Q3645" s="22"/>
      <c r="R3645" s="23"/>
    </row>
    <row r="3646" spans="1:18" ht="12.75">
      <c r="A3646" s="22"/>
      <c r="D3646" s="19"/>
      <c r="H3646" s="18"/>
      <c r="J3646" s="18"/>
      <c r="N3646" s="16"/>
      <c r="O3646" s="17"/>
      <c r="Q3646" s="22"/>
      <c r="R3646" s="23"/>
    </row>
    <row r="3647" spans="1:18" ht="12.75">
      <c r="A3647" s="22"/>
      <c r="D3647" s="19"/>
      <c r="H3647" s="18"/>
      <c r="J3647" s="18"/>
      <c r="N3647" s="16"/>
      <c r="O3647" s="17"/>
      <c r="Q3647" s="22"/>
      <c r="R3647" s="23"/>
    </row>
    <row r="3648" spans="1:18" ht="12.75">
      <c r="A3648" s="22"/>
      <c r="D3648" s="19"/>
      <c r="H3648" s="18"/>
      <c r="J3648" s="18"/>
      <c r="N3648" s="16"/>
      <c r="O3648" s="17"/>
      <c r="Q3648" s="22"/>
      <c r="R3648" s="23"/>
    </row>
    <row r="3649" spans="1:18" ht="12.75">
      <c r="A3649" s="22"/>
      <c r="D3649" s="19"/>
      <c r="H3649" s="18"/>
      <c r="J3649" s="18"/>
      <c r="N3649" s="16"/>
      <c r="O3649" s="17"/>
      <c r="Q3649" s="22"/>
      <c r="R3649" s="23"/>
    </row>
    <row r="3650" spans="1:18" ht="12.75">
      <c r="A3650" s="22"/>
      <c r="D3650" s="19"/>
      <c r="H3650" s="18"/>
      <c r="J3650" s="18"/>
      <c r="N3650" s="16"/>
      <c r="O3650" s="17"/>
      <c r="Q3650" s="22"/>
      <c r="R3650" s="23"/>
    </row>
    <row r="3651" spans="1:18" ht="12.75">
      <c r="A3651" s="22"/>
      <c r="D3651" s="19"/>
      <c r="H3651" s="18"/>
      <c r="J3651" s="18"/>
      <c r="N3651" s="16"/>
      <c r="O3651" s="17"/>
      <c r="Q3651" s="22"/>
      <c r="R3651" s="23"/>
    </row>
    <row r="3652" spans="1:18" ht="12.75">
      <c r="A3652" s="22"/>
      <c r="D3652" s="19"/>
      <c r="H3652" s="18"/>
      <c r="J3652" s="18"/>
      <c r="N3652" s="16"/>
      <c r="O3652" s="17"/>
      <c r="Q3652" s="22"/>
      <c r="R3652" s="23"/>
    </row>
    <row r="3653" spans="1:18" ht="12.75">
      <c r="A3653" s="22"/>
      <c r="D3653" s="19"/>
      <c r="H3653" s="18"/>
      <c r="J3653" s="18"/>
      <c r="N3653" s="16"/>
      <c r="O3653" s="17"/>
      <c r="Q3653" s="22"/>
      <c r="R3653" s="23"/>
    </row>
    <row r="3654" spans="1:18" ht="12.75">
      <c r="A3654" s="22"/>
      <c r="D3654" s="19"/>
      <c r="H3654" s="18"/>
      <c r="J3654" s="18"/>
      <c r="N3654" s="16"/>
      <c r="O3654" s="17"/>
      <c r="Q3654" s="22"/>
      <c r="R3654" s="23"/>
    </row>
    <row r="3655" spans="1:18" ht="12.75">
      <c r="A3655" s="22"/>
      <c r="D3655" s="19"/>
      <c r="H3655" s="18"/>
      <c r="J3655" s="18"/>
      <c r="N3655" s="16"/>
      <c r="O3655" s="17"/>
      <c r="Q3655" s="22"/>
      <c r="R3655" s="23"/>
    </row>
    <row r="3656" spans="1:18" ht="12.75">
      <c r="A3656" s="22"/>
      <c r="D3656" s="19"/>
      <c r="H3656" s="18"/>
      <c r="J3656" s="18"/>
      <c r="N3656" s="16"/>
      <c r="O3656" s="17"/>
      <c r="Q3656" s="22"/>
      <c r="R3656" s="23"/>
    </row>
    <row r="3657" spans="1:18" ht="12.75">
      <c r="A3657" s="22"/>
      <c r="D3657" s="19"/>
      <c r="H3657" s="18"/>
      <c r="J3657" s="18"/>
      <c r="N3657" s="16"/>
      <c r="O3657" s="17"/>
      <c r="Q3657" s="22"/>
      <c r="R3657" s="23"/>
    </row>
    <row r="3658" spans="1:18" ht="12.75">
      <c r="A3658" s="22"/>
      <c r="D3658" s="19"/>
      <c r="H3658" s="18"/>
      <c r="J3658" s="18"/>
      <c r="N3658" s="16"/>
      <c r="O3658" s="17"/>
      <c r="Q3658" s="22"/>
      <c r="R3658" s="23"/>
    </row>
    <row r="3659" spans="1:18" ht="12.75">
      <c r="A3659" s="22"/>
      <c r="D3659" s="19"/>
      <c r="H3659" s="18"/>
      <c r="J3659" s="18"/>
      <c r="N3659" s="16"/>
      <c r="O3659" s="17"/>
      <c r="Q3659" s="22"/>
      <c r="R3659" s="23"/>
    </row>
    <row r="3660" spans="1:18" ht="12.75">
      <c r="A3660" s="22"/>
      <c r="D3660" s="19"/>
      <c r="H3660" s="18"/>
      <c r="J3660" s="18"/>
      <c r="N3660" s="16"/>
      <c r="O3660" s="17"/>
      <c r="Q3660" s="22"/>
      <c r="R3660" s="23"/>
    </row>
    <row r="3661" spans="1:18" ht="12.75">
      <c r="A3661" s="22"/>
      <c r="D3661" s="19"/>
      <c r="H3661" s="18"/>
      <c r="J3661" s="18"/>
      <c r="N3661" s="16"/>
      <c r="O3661" s="17"/>
      <c r="Q3661" s="22"/>
      <c r="R3661" s="23"/>
    </row>
    <row r="3662" spans="1:18" ht="12.75">
      <c r="A3662" s="22"/>
      <c r="D3662" s="19"/>
      <c r="H3662" s="18"/>
      <c r="J3662" s="18"/>
      <c r="N3662" s="16"/>
      <c r="O3662" s="17"/>
      <c r="Q3662" s="22"/>
      <c r="R3662" s="23"/>
    </row>
    <row r="3663" spans="1:18" ht="12.75">
      <c r="A3663" s="22"/>
      <c r="D3663" s="19"/>
      <c r="H3663" s="18"/>
      <c r="J3663" s="18"/>
      <c r="N3663" s="16"/>
      <c r="O3663" s="17"/>
      <c r="Q3663" s="22"/>
      <c r="R3663" s="23"/>
    </row>
    <row r="3664" spans="1:18" ht="12.75">
      <c r="A3664" s="22"/>
      <c r="D3664" s="19"/>
      <c r="H3664" s="18"/>
      <c r="J3664" s="18"/>
      <c r="N3664" s="16"/>
      <c r="O3664" s="17"/>
      <c r="Q3664" s="22"/>
      <c r="R3664" s="23"/>
    </row>
    <row r="3665" spans="1:18" ht="12.75">
      <c r="A3665" s="22"/>
      <c r="D3665" s="19"/>
      <c r="H3665" s="18"/>
      <c r="J3665" s="18"/>
      <c r="N3665" s="16"/>
      <c r="O3665" s="17"/>
      <c r="Q3665" s="22"/>
      <c r="R3665" s="23"/>
    </row>
    <row r="3666" spans="1:18" ht="12.75">
      <c r="A3666" s="22"/>
      <c r="D3666" s="19"/>
      <c r="H3666" s="18"/>
      <c r="J3666" s="18"/>
      <c r="N3666" s="16"/>
      <c r="O3666" s="17"/>
      <c r="Q3666" s="22"/>
      <c r="R3666" s="23"/>
    </row>
    <row r="3667" spans="1:18" ht="12.75">
      <c r="A3667" s="22"/>
      <c r="D3667" s="19"/>
      <c r="H3667" s="18"/>
      <c r="J3667" s="18"/>
      <c r="N3667" s="16"/>
      <c r="O3667" s="17"/>
      <c r="Q3667" s="22"/>
      <c r="R3667" s="23"/>
    </row>
    <row r="3668" spans="1:18" ht="12.75">
      <c r="A3668" s="22"/>
      <c r="D3668" s="19"/>
      <c r="H3668" s="18"/>
      <c r="J3668" s="18"/>
      <c r="N3668" s="16"/>
      <c r="O3668" s="17"/>
      <c r="Q3668" s="22"/>
      <c r="R3668" s="23"/>
    </row>
    <row r="3669" spans="1:18" ht="12.75">
      <c r="A3669" s="22"/>
      <c r="D3669" s="19"/>
      <c r="H3669" s="18"/>
      <c r="J3669" s="18"/>
      <c r="N3669" s="16"/>
      <c r="O3669" s="17"/>
      <c r="Q3669" s="22"/>
      <c r="R3669" s="23"/>
    </row>
    <row r="3670" spans="1:18" ht="12.75">
      <c r="A3670" s="22"/>
      <c r="D3670" s="19"/>
      <c r="H3670" s="18"/>
      <c r="J3670" s="18"/>
      <c r="N3670" s="16"/>
      <c r="O3670" s="17"/>
      <c r="Q3670" s="22"/>
      <c r="R3670" s="23"/>
    </row>
    <row r="3671" spans="1:18" ht="12.75">
      <c r="A3671" s="22"/>
      <c r="D3671" s="19"/>
      <c r="H3671" s="18"/>
      <c r="J3671" s="18"/>
      <c r="N3671" s="16"/>
      <c r="O3671" s="17"/>
      <c r="Q3671" s="22"/>
      <c r="R3671" s="23"/>
    </row>
    <row r="3672" spans="1:18" ht="12.75">
      <c r="A3672" s="22"/>
      <c r="D3672" s="19"/>
      <c r="H3672" s="18"/>
      <c r="J3672" s="18"/>
      <c r="N3672" s="16"/>
      <c r="O3672" s="17"/>
      <c r="Q3672" s="22"/>
      <c r="R3672" s="23"/>
    </row>
    <row r="3673" spans="1:18" ht="12.75">
      <c r="A3673" s="22"/>
      <c r="D3673" s="19"/>
      <c r="H3673" s="18"/>
      <c r="J3673" s="18"/>
      <c r="N3673" s="16"/>
      <c r="O3673" s="17"/>
      <c r="Q3673" s="22"/>
      <c r="R3673" s="23"/>
    </row>
    <row r="3674" spans="1:18" ht="12.75">
      <c r="A3674" s="22"/>
      <c r="D3674" s="19"/>
      <c r="H3674" s="18"/>
      <c r="J3674" s="18"/>
      <c r="N3674" s="16"/>
      <c r="O3674" s="17"/>
      <c r="Q3674" s="22"/>
      <c r="R3674" s="23"/>
    </row>
    <row r="3675" spans="1:18" ht="12.75">
      <c r="A3675" s="22"/>
      <c r="D3675" s="19"/>
      <c r="H3675" s="18"/>
      <c r="J3675" s="18"/>
      <c r="N3675" s="16"/>
      <c r="O3675" s="17"/>
      <c r="Q3675" s="22"/>
      <c r="R3675" s="23"/>
    </row>
    <row r="3676" spans="1:18" ht="12.75">
      <c r="A3676" s="22"/>
      <c r="D3676" s="19"/>
      <c r="H3676" s="18"/>
      <c r="J3676" s="18"/>
      <c r="N3676" s="16"/>
      <c r="O3676" s="17"/>
      <c r="Q3676" s="22"/>
      <c r="R3676" s="23"/>
    </row>
    <row r="3677" spans="1:18" ht="12.75">
      <c r="A3677" s="22"/>
      <c r="D3677" s="19"/>
      <c r="H3677" s="18"/>
      <c r="J3677" s="18"/>
      <c r="N3677" s="16"/>
      <c r="O3677" s="17"/>
      <c r="Q3677" s="22"/>
      <c r="R3677" s="23"/>
    </row>
    <row r="3678" spans="1:18" ht="12.75">
      <c r="A3678" s="22"/>
      <c r="D3678" s="19"/>
      <c r="H3678" s="18"/>
      <c r="J3678" s="18"/>
      <c r="N3678" s="16"/>
      <c r="O3678" s="17"/>
      <c r="Q3678" s="22"/>
      <c r="R3678" s="23"/>
    </row>
    <row r="3679" spans="1:18" ht="12.75">
      <c r="A3679" s="22"/>
      <c r="D3679" s="19"/>
      <c r="H3679" s="18"/>
      <c r="J3679" s="18"/>
      <c r="N3679" s="16"/>
      <c r="O3679" s="17"/>
      <c r="Q3679" s="22"/>
      <c r="R3679" s="23"/>
    </row>
    <row r="3680" spans="1:18" ht="12.75">
      <c r="A3680" s="22"/>
      <c r="D3680" s="19"/>
      <c r="H3680" s="18"/>
      <c r="J3680" s="18"/>
      <c r="N3680" s="16"/>
      <c r="O3680" s="17"/>
      <c r="Q3680" s="22"/>
      <c r="R3680" s="23"/>
    </row>
    <row r="3681" spans="1:18" ht="12.75">
      <c r="A3681" s="22"/>
      <c r="D3681" s="19"/>
      <c r="H3681" s="18"/>
      <c r="J3681" s="18"/>
      <c r="N3681" s="16"/>
      <c r="O3681" s="17"/>
      <c r="Q3681" s="22"/>
      <c r="R3681" s="23"/>
    </row>
    <row r="3682" spans="1:18" ht="12.75">
      <c r="A3682" s="22"/>
      <c r="D3682" s="19"/>
      <c r="H3682" s="18"/>
      <c r="J3682" s="18"/>
      <c r="N3682" s="16"/>
      <c r="O3682" s="17"/>
      <c r="Q3682" s="22"/>
      <c r="R3682" s="23"/>
    </row>
    <row r="3683" spans="1:18" ht="12.75">
      <c r="A3683" s="22"/>
      <c r="D3683" s="19"/>
      <c r="H3683" s="18"/>
      <c r="J3683" s="18"/>
      <c r="N3683" s="16"/>
      <c r="O3683" s="17"/>
      <c r="Q3683" s="22"/>
      <c r="R3683" s="23"/>
    </row>
    <row r="3684" spans="1:18" ht="12.75">
      <c r="A3684" s="22"/>
      <c r="D3684" s="19"/>
      <c r="H3684" s="18"/>
      <c r="J3684" s="18"/>
      <c r="N3684" s="16"/>
      <c r="O3684" s="17"/>
      <c r="Q3684" s="22"/>
      <c r="R3684" s="23"/>
    </row>
    <row r="3685" spans="1:18" ht="12.75">
      <c r="A3685" s="22"/>
      <c r="D3685" s="19"/>
      <c r="H3685" s="18"/>
      <c r="J3685" s="18"/>
      <c r="N3685" s="16"/>
      <c r="O3685" s="17"/>
      <c r="Q3685" s="22"/>
      <c r="R3685" s="23"/>
    </row>
    <row r="3686" spans="1:18" ht="12.75">
      <c r="A3686" s="22"/>
      <c r="D3686" s="19"/>
      <c r="H3686" s="18"/>
      <c r="J3686" s="18"/>
      <c r="N3686" s="16"/>
      <c r="O3686" s="17"/>
      <c r="Q3686" s="22"/>
      <c r="R3686" s="23"/>
    </row>
    <row r="3687" spans="1:18" ht="12.75">
      <c r="A3687" s="22"/>
      <c r="D3687" s="19"/>
      <c r="H3687" s="18"/>
      <c r="J3687" s="18"/>
      <c r="N3687" s="16"/>
      <c r="O3687" s="17"/>
      <c r="Q3687" s="22"/>
      <c r="R3687" s="23"/>
    </row>
    <row r="3688" spans="1:18" ht="12.75">
      <c r="A3688" s="22"/>
      <c r="D3688" s="19"/>
      <c r="H3688" s="18"/>
      <c r="J3688" s="18"/>
      <c r="N3688" s="16"/>
      <c r="O3688" s="17"/>
      <c r="Q3688" s="22"/>
      <c r="R3688" s="23"/>
    </row>
    <row r="3689" spans="1:18" ht="12.75">
      <c r="A3689" s="22"/>
      <c r="D3689" s="19"/>
      <c r="H3689" s="18"/>
      <c r="J3689" s="18"/>
      <c r="N3689" s="16"/>
      <c r="O3689" s="17"/>
      <c r="Q3689" s="22"/>
      <c r="R3689" s="23"/>
    </row>
    <row r="3690" spans="1:18" ht="12.75">
      <c r="A3690" s="22"/>
      <c r="D3690" s="19"/>
      <c r="H3690" s="18"/>
      <c r="J3690" s="18"/>
      <c r="N3690" s="16"/>
      <c r="O3690" s="17"/>
      <c r="Q3690" s="22"/>
      <c r="R3690" s="23"/>
    </row>
    <row r="3691" spans="1:18" ht="12.75">
      <c r="A3691" s="22"/>
      <c r="D3691" s="19"/>
      <c r="H3691" s="18"/>
      <c r="J3691" s="18"/>
      <c r="N3691" s="16"/>
      <c r="O3691" s="17"/>
      <c r="Q3691" s="22"/>
      <c r="R3691" s="23"/>
    </row>
    <row r="3692" spans="1:18" ht="12.75">
      <c r="A3692" s="22"/>
      <c r="D3692" s="19"/>
      <c r="H3692" s="18"/>
      <c r="J3692" s="18"/>
      <c r="N3692" s="16"/>
      <c r="O3692" s="17"/>
      <c r="Q3692" s="22"/>
      <c r="R3692" s="23"/>
    </row>
    <row r="3693" spans="1:18" ht="12.75">
      <c r="A3693" s="22"/>
      <c r="D3693" s="19"/>
      <c r="H3693" s="18"/>
      <c r="J3693" s="18"/>
      <c r="N3693" s="16"/>
      <c r="O3693" s="17"/>
      <c r="Q3693" s="22"/>
      <c r="R3693" s="23"/>
    </row>
    <row r="3694" spans="1:18" ht="12.75">
      <c r="A3694" s="22"/>
      <c r="D3694" s="19"/>
      <c r="H3694" s="18"/>
      <c r="J3694" s="18"/>
      <c r="N3694" s="16"/>
      <c r="O3694" s="17"/>
      <c r="Q3694" s="22"/>
      <c r="R3694" s="23"/>
    </row>
    <row r="3695" spans="1:18" ht="12.75">
      <c r="A3695" s="22"/>
      <c r="D3695" s="19"/>
      <c r="H3695" s="18"/>
      <c r="J3695" s="18"/>
      <c r="N3695" s="16"/>
      <c r="O3695" s="17"/>
      <c r="Q3695" s="22"/>
      <c r="R3695" s="23"/>
    </row>
    <row r="3696" spans="1:18" ht="12.75">
      <c r="A3696" s="22"/>
      <c r="D3696" s="19"/>
      <c r="H3696" s="18"/>
      <c r="J3696" s="18"/>
      <c r="N3696" s="16"/>
      <c r="O3696" s="17"/>
      <c r="Q3696" s="22"/>
      <c r="R3696" s="23"/>
    </row>
    <row r="3697" spans="1:18" ht="12.75">
      <c r="A3697" s="22"/>
      <c r="D3697" s="19"/>
      <c r="H3697" s="18"/>
      <c r="J3697" s="18"/>
      <c r="N3697" s="16"/>
      <c r="O3697" s="17"/>
      <c r="Q3697" s="22"/>
      <c r="R3697" s="23"/>
    </row>
    <row r="3698" spans="1:18" ht="12.75">
      <c r="A3698" s="22"/>
      <c r="D3698" s="19"/>
      <c r="H3698" s="18"/>
      <c r="J3698" s="18"/>
      <c r="N3698" s="16"/>
      <c r="O3698" s="17"/>
      <c r="Q3698" s="22"/>
      <c r="R3698" s="23"/>
    </row>
    <row r="3699" spans="1:18" ht="12.75">
      <c r="A3699" s="22"/>
      <c r="D3699" s="19"/>
      <c r="H3699" s="18"/>
      <c r="J3699" s="18"/>
      <c r="N3699" s="16"/>
      <c r="O3699" s="17"/>
      <c r="Q3699" s="22"/>
      <c r="R3699" s="23"/>
    </row>
    <row r="3700" spans="1:18" ht="12.75">
      <c r="A3700" s="22"/>
      <c r="D3700" s="19"/>
      <c r="H3700" s="18"/>
      <c r="J3700" s="18"/>
      <c r="N3700" s="16"/>
      <c r="O3700" s="17"/>
      <c r="Q3700" s="22"/>
      <c r="R3700" s="23"/>
    </row>
    <row r="3701" spans="1:18" ht="12.75">
      <c r="A3701" s="22"/>
      <c r="D3701" s="19"/>
      <c r="H3701" s="18"/>
      <c r="J3701" s="18"/>
      <c r="N3701" s="16"/>
      <c r="O3701" s="17"/>
      <c r="Q3701" s="22"/>
      <c r="R3701" s="23"/>
    </row>
    <row r="3702" spans="1:18" ht="12.75">
      <c r="A3702" s="22"/>
      <c r="D3702" s="19"/>
      <c r="H3702" s="18"/>
      <c r="J3702" s="18"/>
      <c r="N3702" s="16"/>
      <c r="O3702" s="17"/>
      <c r="Q3702" s="22"/>
      <c r="R3702" s="23"/>
    </row>
    <row r="3703" spans="1:18" ht="12.75">
      <c r="A3703" s="22"/>
      <c r="D3703" s="19"/>
      <c r="H3703" s="18"/>
      <c r="J3703" s="18"/>
      <c r="N3703" s="16"/>
      <c r="O3703" s="17"/>
      <c r="Q3703" s="22"/>
      <c r="R3703" s="23"/>
    </row>
    <row r="3704" spans="1:18" ht="12.75">
      <c r="A3704" s="22"/>
      <c r="D3704" s="19"/>
      <c r="H3704" s="18"/>
      <c r="J3704" s="18"/>
      <c r="N3704" s="16"/>
      <c r="O3704" s="17"/>
      <c r="Q3704" s="22"/>
      <c r="R3704" s="23"/>
    </row>
    <row r="3705" spans="1:18" ht="12.75">
      <c r="A3705" s="22"/>
      <c r="D3705" s="19"/>
      <c r="H3705" s="18"/>
      <c r="J3705" s="18"/>
      <c r="N3705" s="16"/>
      <c r="O3705" s="17"/>
      <c r="Q3705" s="22"/>
      <c r="R3705" s="23"/>
    </row>
    <row r="3706" spans="1:18" ht="12.75">
      <c r="A3706" s="22"/>
      <c r="D3706" s="19"/>
      <c r="H3706" s="18"/>
      <c r="J3706" s="18"/>
      <c r="N3706" s="16"/>
      <c r="O3706" s="17"/>
      <c r="Q3706" s="22"/>
      <c r="R3706" s="23"/>
    </row>
    <row r="3707" spans="1:18" ht="12.75">
      <c r="A3707" s="22"/>
      <c r="D3707" s="19"/>
      <c r="H3707" s="18"/>
      <c r="J3707" s="18"/>
      <c r="N3707" s="16"/>
      <c r="O3707" s="17"/>
      <c r="Q3707" s="22"/>
      <c r="R3707" s="23"/>
    </row>
    <row r="3708" spans="1:18" ht="12.75">
      <c r="A3708" s="22"/>
      <c r="D3708" s="19"/>
      <c r="H3708" s="18"/>
      <c r="J3708" s="18"/>
      <c r="N3708" s="16"/>
      <c r="O3708" s="17"/>
      <c r="Q3708" s="22"/>
      <c r="R3708" s="23"/>
    </row>
    <row r="3709" spans="1:18" ht="12.75">
      <c r="A3709" s="22"/>
      <c r="D3709" s="19"/>
      <c r="H3709" s="18"/>
      <c r="J3709" s="18"/>
      <c r="N3709" s="16"/>
      <c r="O3709" s="17"/>
      <c r="Q3709" s="22"/>
      <c r="R3709" s="23"/>
    </row>
    <row r="3710" spans="1:18" ht="12.75">
      <c r="A3710" s="22"/>
      <c r="D3710" s="19"/>
      <c r="H3710" s="18"/>
      <c r="J3710" s="18"/>
      <c r="N3710" s="16"/>
      <c r="O3710" s="17"/>
      <c r="Q3710" s="22"/>
      <c r="R3710" s="23"/>
    </row>
    <row r="3711" spans="1:18" ht="12.75">
      <c r="A3711" s="22"/>
      <c r="D3711" s="19"/>
      <c r="H3711" s="18"/>
      <c r="J3711" s="18"/>
      <c r="N3711" s="16"/>
      <c r="O3711" s="17"/>
      <c r="Q3711" s="22"/>
      <c r="R3711" s="23"/>
    </row>
    <row r="3712" spans="1:18" ht="12.75">
      <c r="A3712" s="22"/>
      <c r="D3712" s="19"/>
      <c r="H3712" s="18"/>
      <c r="J3712" s="18"/>
      <c r="N3712" s="16"/>
      <c r="O3712" s="17"/>
      <c r="Q3712" s="22"/>
      <c r="R3712" s="23"/>
    </row>
    <row r="3713" spans="1:18" ht="12.75">
      <c r="A3713" s="22"/>
      <c r="D3713" s="19"/>
      <c r="H3713" s="18"/>
      <c r="J3713" s="18"/>
      <c r="N3713" s="16"/>
      <c r="O3713" s="17"/>
      <c r="Q3713" s="22"/>
      <c r="R3713" s="23"/>
    </row>
    <row r="3714" spans="1:18" ht="12.75">
      <c r="A3714" s="22"/>
      <c r="D3714" s="19"/>
      <c r="H3714" s="18"/>
      <c r="J3714" s="18"/>
      <c r="N3714" s="16"/>
      <c r="O3714" s="17"/>
      <c r="Q3714" s="22"/>
      <c r="R3714" s="23"/>
    </row>
    <row r="3715" spans="1:18" ht="12.75">
      <c r="A3715" s="22"/>
      <c r="D3715" s="19"/>
      <c r="H3715" s="18"/>
      <c r="J3715" s="18"/>
      <c r="N3715" s="16"/>
      <c r="O3715" s="17"/>
      <c r="Q3715" s="22"/>
      <c r="R3715" s="23"/>
    </row>
    <row r="3716" spans="1:18" ht="12.75">
      <c r="A3716" s="22"/>
      <c r="D3716" s="19"/>
      <c r="H3716" s="18"/>
      <c r="J3716" s="18"/>
      <c r="N3716" s="16"/>
      <c r="O3716" s="17"/>
      <c r="Q3716" s="22"/>
      <c r="R3716" s="23"/>
    </row>
    <row r="3717" spans="1:18" ht="12.75">
      <c r="A3717" s="22"/>
      <c r="D3717" s="19"/>
      <c r="H3717" s="18"/>
      <c r="J3717" s="18"/>
      <c r="N3717" s="16"/>
      <c r="O3717" s="17"/>
      <c r="Q3717" s="22"/>
      <c r="R3717" s="23"/>
    </row>
    <row r="3718" spans="1:18" ht="12.75">
      <c r="A3718" s="22"/>
      <c r="D3718" s="19"/>
      <c r="H3718" s="18"/>
      <c r="J3718" s="18"/>
      <c r="N3718" s="16"/>
      <c r="O3718" s="17"/>
      <c r="Q3718" s="22"/>
      <c r="R3718" s="23"/>
    </row>
    <row r="3719" spans="1:18" ht="12.75">
      <c r="A3719" s="22"/>
      <c r="D3719" s="19"/>
      <c r="H3719" s="18"/>
      <c r="J3719" s="18"/>
      <c r="N3719" s="16"/>
      <c r="O3719" s="17"/>
      <c r="Q3719" s="22"/>
      <c r="R3719" s="23"/>
    </row>
    <row r="3720" spans="1:18" ht="12.75">
      <c r="A3720" s="22"/>
      <c r="D3720" s="19"/>
      <c r="H3720" s="18"/>
      <c r="J3720" s="18"/>
      <c r="N3720" s="16"/>
      <c r="O3720" s="17"/>
      <c r="Q3720" s="22"/>
      <c r="R3720" s="23"/>
    </row>
    <row r="3721" spans="1:18" ht="12.75">
      <c r="A3721" s="22"/>
      <c r="D3721" s="19"/>
      <c r="H3721" s="18"/>
      <c r="J3721" s="18"/>
      <c r="N3721" s="16"/>
      <c r="O3721" s="17"/>
      <c r="Q3721" s="22"/>
      <c r="R3721" s="23"/>
    </row>
    <row r="3722" spans="1:18" ht="12.75">
      <c r="A3722" s="22"/>
      <c r="D3722" s="19"/>
      <c r="H3722" s="18"/>
      <c r="J3722" s="18"/>
      <c r="N3722" s="16"/>
      <c r="O3722" s="17"/>
      <c r="Q3722" s="22"/>
      <c r="R3722" s="23"/>
    </row>
    <row r="3723" spans="1:18" ht="12.75">
      <c r="A3723" s="22"/>
      <c r="D3723" s="19"/>
      <c r="H3723" s="18"/>
      <c r="J3723" s="18"/>
      <c r="N3723" s="16"/>
      <c r="O3723" s="17"/>
      <c r="Q3723" s="22"/>
      <c r="R3723" s="23"/>
    </row>
    <row r="3724" spans="1:18" ht="12.75">
      <c r="A3724" s="22"/>
      <c r="D3724" s="19"/>
      <c r="H3724" s="18"/>
      <c r="J3724" s="18"/>
      <c r="N3724" s="16"/>
      <c r="O3724" s="17"/>
      <c r="Q3724" s="22"/>
      <c r="R3724" s="23"/>
    </row>
    <row r="3725" spans="1:18" ht="12.75">
      <c r="A3725" s="22"/>
      <c r="D3725" s="19"/>
      <c r="H3725" s="18"/>
      <c r="J3725" s="18"/>
      <c r="N3725" s="16"/>
      <c r="O3725" s="17"/>
      <c r="Q3725" s="22"/>
      <c r="R3725" s="23"/>
    </row>
    <row r="3726" spans="1:18" ht="12.75">
      <c r="A3726" s="22"/>
      <c r="D3726" s="19"/>
      <c r="H3726" s="18"/>
      <c r="J3726" s="18"/>
      <c r="N3726" s="16"/>
      <c r="O3726" s="17"/>
      <c r="Q3726" s="22"/>
      <c r="R3726" s="23"/>
    </row>
    <row r="3727" spans="1:18" ht="12.75">
      <c r="A3727" s="22"/>
      <c r="D3727" s="19"/>
      <c r="H3727" s="18"/>
      <c r="J3727" s="18"/>
      <c r="N3727" s="16"/>
      <c r="O3727" s="17"/>
      <c r="Q3727" s="22"/>
      <c r="R3727" s="23"/>
    </row>
    <row r="3728" spans="1:18" ht="12.75">
      <c r="A3728" s="22"/>
      <c r="D3728" s="19"/>
      <c r="H3728" s="18"/>
      <c r="J3728" s="18"/>
      <c r="N3728" s="16"/>
      <c r="O3728" s="17"/>
      <c r="Q3728" s="22"/>
      <c r="R3728" s="23"/>
    </row>
    <row r="3729" spans="1:18" ht="12.75">
      <c r="A3729" s="22"/>
      <c r="D3729" s="19"/>
      <c r="H3729" s="18"/>
      <c r="J3729" s="18"/>
      <c r="N3729" s="16"/>
      <c r="O3729" s="17"/>
      <c r="Q3729" s="22"/>
      <c r="R3729" s="23"/>
    </row>
    <row r="3730" spans="1:18" ht="12.75">
      <c r="A3730" s="22"/>
      <c r="D3730" s="19"/>
      <c r="H3730" s="18"/>
      <c r="J3730" s="18"/>
      <c r="N3730" s="16"/>
      <c r="O3730" s="17"/>
      <c r="Q3730" s="22"/>
      <c r="R3730" s="23"/>
    </row>
    <row r="3731" spans="1:18" ht="12.75">
      <c r="A3731" s="22"/>
      <c r="D3731" s="19"/>
      <c r="H3731" s="18"/>
      <c r="J3731" s="18"/>
      <c r="N3731" s="16"/>
      <c r="O3731" s="17"/>
      <c r="Q3731" s="22"/>
      <c r="R3731" s="23"/>
    </row>
    <row r="3732" spans="1:18" ht="12.75">
      <c r="A3732" s="22"/>
      <c r="D3732" s="19"/>
      <c r="H3732" s="18"/>
      <c r="J3732" s="18"/>
      <c r="N3732" s="16"/>
      <c r="O3732" s="17"/>
      <c r="Q3732" s="22"/>
      <c r="R3732" s="23"/>
    </row>
    <row r="3733" spans="1:18" ht="12.75">
      <c r="A3733" s="22"/>
      <c r="D3733" s="19"/>
      <c r="H3733" s="18"/>
      <c r="J3733" s="18"/>
      <c r="N3733" s="16"/>
      <c r="O3733" s="17"/>
      <c r="Q3733" s="22"/>
      <c r="R3733" s="23"/>
    </row>
    <row r="3734" spans="1:18" ht="12.75">
      <c r="A3734" s="22"/>
      <c r="D3734" s="19"/>
      <c r="H3734" s="18"/>
      <c r="J3734" s="18"/>
      <c r="N3734" s="16"/>
      <c r="O3734" s="17"/>
      <c r="Q3734" s="22"/>
      <c r="R3734" s="23"/>
    </row>
    <row r="3735" spans="1:18" ht="12.75">
      <c r="A3735" s="22"/>
      <c r="D3735" s="19"/>
      <c r="H3735" s="18"/>
      <c r="J3735" s="18"/>
      <c r="N3735" s="16"/>
      <c r="O3735" s="17"/>
      <c r="Q3735" s="22"/>
      <c r="R3735" s="23"/>
    </row>
    <row r="3736" spans="1:18" ht="12.75">
      <c r="A3736" s="22"/>
      <c r="D3736" s="19"/>
      <c r="H3736" s="18"/>
      <c r="J3736" s="18"/>
      <c r="N3736" s="16"/>
      <c r="O3736" s="17"/>
      <c r="Q3736" s="22"/>
      <c r="R3736" s="23"/>
    </row>
    <row r="3737" spans="1:18" ht="12.75">
      <c r="A3737" s="22"/>
      <c r="D3737" s="19"/>
      <c r="H3737" s="18"/>
      <c r="J3737" s="18"/>
      <c r="N3737" s="16"/>
      <c r="O3737" s="17"/>
      <c r="Q3737" s="22"/>
      <c r="R3737" s="23"/>
    </row>
    <row r="3738" spans="1:18" ht="12.75">
      <c r="A3738" s="22"/>
      <c r="D3738" s="19"/>
      <c r="H3738" s="18"/>
      <c r="J3738" s="18"/>
      <c r="N3738" s="16"/>
      <c r="O3738" s="17"/>
      <c r="Q3738" s="22"/>
      <c r="R3738" s="23"/>
    </row>
    <row r="3739" spans="1:18" ht="12.75">
      <c r="A3739" s="22"/>
      <c r="D3739" s="19"/>
      <c r="H3739" s="18"/>
      <c r="J3739" s="18"/>
      <c r="N3739" s="16"/>
      <c r="O3739" s="17"/>
      <c r="Q3739" s="22"/>
      <c r="R3739" s="23"/>
    </row>
    <row r="3740" spans="1:18" ht="12.75">
      <c r="A3740" s="22"/>
      <c r="D3740" s="19"/>
      <c r="H3740" s="18"/>
      <c r="J3740" s="18"/>
      <c r="N3740" s="16"/>
      <c r="O3740" s="17"/>
      <c r="Q3740" s="22"/>
      <c r="R3740" s="23"/>
    </row>
    <row r="3741" spans="1:18" ht="12.75">
      <c r="A3741" s="22"/>
      <c r="D3741" s="19"/>
      <c r="H3741" s="18"/>
      <c r="J3741" s="18"/>
      <c r="N3741" s="16"/>
      <c r="O3741" s="17"/>
      <c r="Q3741" s="22"/>
      <c r="R3741" s="23"/>
    </row>
    <row r="3742" spans="1:18" ht="12.75">
      <c r="A3742" s="22"/>
      <c r="D3742" s="19"/>
      <c r="H3742" s="18"/>
      <c r="J3742" s="18"/>
      <c r="N3742" s="16"/>
      <c r="O3742" s="17"/>
      <c r="Q3742" s="22"/>
      <c r="R3742" s="23"/>
    </row>
    <row r="3743" spans="1:18" ht="12.75">
      <c r="A3743" s="22"/>
      <c r="D3743" s="19"/>
      <c r="H3743" s="18"/>
      <c r="J3743" s="18"/>
      <c r="N3743" s="16"/>
      <c r="O3743" s="17"/>
      <c r="Q3743" s="22"/>
      <c r="R3743" s="23"/>
    </row>
    <row r="3744" spans="1:18" ht="12.75">
      <c r="A3744" s="22"/>
      <c r="D3744" s="19"/>
      <c r="H3744" s="18"/>
      <c r="J3744" s="18"/>
      <c r="N3744" s="16"/>
      <c r="O3744" s="17"/>
      <c r="Q3744" s="22"/>
      <c r="R3744" s="23"/>
    </row>
    <row r="3745" spans="1:18" ht="12.75">
      <c r="A3745" s="22"/>
      <c r="D3745" s="19"/>
      <c r="H3745" s="18"/>
      <c r="J3745" s="18"/>
      <c r="N3745" s="16"/>
      <c r="O3745" s="17"/>
      <c r="Q3745" s="22"/>
      <c r="R3745" s="23"/>
    </row>
    <row r="3746" spans="1:18" ht="12.75">
      <c r="A3746" s="22"/>
      <c r="D3746" s="19"/>
      <c r="H3746" s="18"/>
      <c r="J3746" s="18"/>
      <c r="N3746" s="16"/>
      <c r="O3746" s="17"/>
      <c r="Q3746" s="22"/>
      <c r="R3746" s="23"/>
    </row>
    <row r="3747" spans="1:18" ht="12.75">
      <c r="A3747" s="22"/>
      <c r="D3747" s="19"/>
      <c r="H3747" s="18"/>
      <c r="J3747" s="18"/>
      <c r="N3747" s="16"/>
      <c r="O3747" s="17"/>
      <c r="Q3747" s="22"/>
      <c r="R3747" s="23"/>
    </row>
    <row r="3748" spans="1:18" ht="12.75">
      <c r="A3748" s="22"/>
      <c r="D3748" s="19"/>
      <c r="H3748" s="18"/>
      <c r="J3748" s="18"/>
      <c r="N3748" s="16"/>
      <c r="O3748" s="17"/>
      <c r="Q3748" s="22"/>
      <c r="R3748" s="23"/>
    </row>
    <row r="3749" spans="1:18" ht="12.75">
      <c r="A3749" s="22"/>
      <c r="D3749" s="19"/>
      <c r="H3749" s="18"/>
      <c r="J3749" s="18"/>
      <c r="N3749" s="16"/>
      <c r="O3749" s="17"/>
      <c r="Q3749" s="22"/>
      <c r="R3749" s="23"/>
    </row>
    <row r="3750" spans="1:18" ht="12.75">
      <c r="A3750" s="22"/>
      <c r="D3750" s="19"/>
      <c r="H3750" s="18"/>
      <c r="J3750" s="18"/>
      <c r="N3750" s="16"/>
      <c r="O3750" s="17"/>
      <c r="Q3750" s="22"/>
      <c r="R3750" s="23"/>
    </row>
    <row r="3751" spans="1:18" ht="12.75">
      <c r="A3751" s="22"/>
      <c r="D3751" s="19"/>
      <c r="H3751" s="18"/>
      <c r="J3751" s="18"/>
      <c r="N3751" s="16"/>
      <c r="O3751" s="17"/>
      <c r="Q3751" s="22"/>
      <c r="R3751" s="23"/>
    </row>
    <row r="3752" spans="1:18" ht="12.75">
      <c r="A3752" s="22"/>
      <c r="D3752" s="19"/>
      <c r="H3752" s="18"/>
      <c r="J3752" s="18"/>
      <c r="N3752" s="16"/>
      <c r="O3752" s="17"/>
      <c r="Q3752" s="22"/>
      <c r="R3752" s="23"/>
    </row>
    <row r="3753" spans="1:18" ht="12.75">
      <c r="A3753" s="22"/>
      <c r="D3753" s="19"/>
      <c r="H3753" s="18"/>
      <c r="J3753" s="18"/>
      <c r="N3753" s="16"/>
      <c r="O3753" s="17"/>
      <c r="Q3753" s="22"/>
      <c r="R3753" s="23"/>
    </row>
    <row r="3754" spans="1:18" ht="12.75">
      <c r="A3754" s="22"/>
      <c r="D3754" s="19"/>
      <c r="H3754" s="18"/>
      <c r="J3754" s="18"/>
      <c r="N3754" s="16"/>
      <c r="O3754" s="17"/>
      <c r="Q3754" s="22"/>
      <c r="R3754" s="23"/>
    </row>
    <row r="3755" spans="1:18" ht="12.75">
      <c r="A3755" s="22"/>
      <c r="D3755" s="19"/>
      <c r="H3755" s="18"/>
      <c r="J3755" s="18"/>
      <c r="N3755" s="16"/>
      <c r="O3755" s="17"/>
      <c r="Q3755" s="22"/>
      <c r="R3755" s="23"/>
    </row>
    <row r="3756" spans="1:18" ht="12.75">
      <c r="A3756" s="22"/>
      <c r="D3756" s="19"/>
      <c r="H3756" s="18"/>
      <c r="J3756" s="18"/>
      <c r="N3756" s="16"/>
      <c r="O3756" s="17"/>
      <c r="Q3756" s="22"/>
      <c r="R3756" s="23"/>
    </row>
    <row r="3757" spans="1:18" ht="12.75">
      <c r="A3757" s="22"/>
      <c r="D3757" s="19"/>
      <c r="H3757" s="18"/>
      <c r="J3757" s="18"/>
      <c r="N3757" s="16"/>
      <c r="O3757" s="17"/>
      <c r="Q3757" s="22"/>
      <c r="R3757" s="23"/>
    </row>
    <row r="3758" spans="1:18" ht="12.75">
      <c r="A3758" s="22"/>
      <c r="D3758" s="19"/>
      <c r="H3758" s="18"/>
      <c r="J3758" s="18"/>
      <c r="N3758" s="16"/>
      <c r="O3758" s="17"/>
      <c r="Q3758" s="22"/>
      <c r="R3758" s="23"/>
    </row>
    <row r="3759" spans="1:18" ht="12.75">
      <c r="A3759" s="22"/>
      <c r="D3759" s="19"/>
      <c r="H3759" s="18"/>
      <c r="J3759" s="18"/>
      <c r="N3759" s="16"/>
      <c r="O3759" s="17"/>
      <c r="Q3759" s="22"/>
      <c r="R3759" s="23"/>
    </row>
    <row r="3760" spans="1:18" ht="12.75">
      <c r="A3760" s="22"/>
      <c r="D3760" s="19"/>
      <c r="H3760" s="18"/>
      <c r="J3760" s="18"/>
      <c r="N3760" s="16"/>
      <c r="O3760" s="17"/>
      <c r="Q3760" s="22"/>
      <c r="R3760" s="23"/>
    </row>
    <row r="3761" spans="1:18" ht="12.75">
      <c r="A3761" s="22"/>
      <c r="D3761" s="19"/>
      <c r="H3761" s="18"/>
      <c r="J3761" s="18"/>
      <c r="N3761" s="16"/>
      <c r="O3761" s="17"/>
      <c r="Q3761" s="22"/>
      <c r="R3761" s="23"/>
    </row>
    <row r="3762" spans="1:18" ht="12.75">
      <c r="A3762" s="22"/>
      <c r="D3762" s="19"/>
      <c r="H3762" s="18"/>
      <c r="J3762" s="18"/>
      <c r="N3762" s="16"/>
      <c r="O3762" s="17"/>
      <c r="Q3762" s="22"/>
      <c r="R3762" s="23"/>
    </row>
    <row r="3763" spans="1:18" ht="12.75">
      <c r="A3763" s="22"/>
      <c r="D3763" s="19"/>
      <c r="H3763" s="18"/>
      <c r="J3763" s="18"/>
      <c r="N3763" s="16"/>
      <c r="O3763" s="17"/>
      <c r="Q3763" s="22"/>
      <c r="R3763" s="23"/>
    </row>
    <row r="3764" spans="1:18" ht="12.75">
      <c r="A3764" s="22"/>
      <c r="D3764" s="19"/>
      <c r="H3764" s="18"/>
      <c r="J3764" s="18"/>
      <c r="N3764" s="16"/>
      <c r="O3764" s="17"/>
      <c r="Q3764" s="22"/>
      <c r="R3764" s="23"/>
    </row>
    <row r="3765" spans="1:18" ht="12.75">
      <c r="A3765" s="22"/>
      <c r="D3765" s="19"/>
      <c r="H3765" s="18"/>
      <c r="J3765" s="18"/>
      <c r="N3765" s="16"/>
      <c r="O3765" s="17"/>
      <c r="Q3765" s="22"/>
      <c r="R3765" s="23"/>
    </row>
    <row r="3766" spans="1:18" ht="12.75">
      <c r="A3766" s="22"/>
      <c r="D3766" s="19"/>
      <c r="H3766" s="18"/>
      <c r="J3766" s="18"/>
      <c r="N3766" s="16"/>
      <c r="O3766" s="17"/>
      <c r="Q3766" s="22"/>
      <c r="R3766" s="23"/>
    </row>
    <row r="3767" spans="1:18" ht="12.75">
      <c r="A3767" s="22"/>
      <c r="D3767" s="19"/>
      <c r="H3767" s="18"/>
      <c r="J3767" s="18"/>
      <c r="N3767" s="16"/>
      <c r="O3767" s="17"/>
      <c r="Q3767" s="22"/>
      <c r="R3767" s="23"/>
    </row>
    <row r="3768" spans="1:18" ht="12.75">
      <c r="A3768" s="22"/>
      <c r="D3768" s="19"/>
      <c r="H3768" s="18"/>
      <c r="J3768" s="18"/>
      <c r="N3768" s="16"/>
      <c r="O3768" s="17"/>
      <c r="Q3768" s="22"/>
      <c r="R3768" s="23"/>
    </row>
    <row r="3769" spans="1:18" ht="12.75">
      <c r="A3769" s="22"/>
      <c r="D3769" s="19"/>
      <c r="H3769" s="18"/>
      <c r="J3769" s="18"/>
      <c r="N3769" s="16"/>
      <c r="O3769" s="17"/>
      <c r="Q3769" s="22"/>
      <c r="R3769" s="23"/>
    </row>
    <row r="3770" spans="1:18" ht="12.75">
      <c r="A3770" s="22"/>
      <c r="D3770" s="19"/>
      <c r="H3770" s="18"/>
      <c r="J3770" s="18"/>
      <c r="N3770" s="16"/>
      <c r="O3770" s="17"/>
      <c r="Q3770" s="22"/>
      <c r="R3770" s="23"/>
    </row>
    <row r="3771" spans="1:18" ht="12.75">
      <c r="A3771" s="22"/>
      <c r="D3771" s="19"/>
      <c r="H3771" s="18"/>
      <c r="J3771" s="18"/>
      <c r="N3771" s="16"/>
      <c r="O3771" s="17"/>
      <c r="Q3771" s="22"/>
      <c r="R3771" s="23"/>
    </row>
    <row r="3772" spans="1:18" ht="12.75">
      <c r="A3772" s="22"/>
      <c r="D3772" s="19"/>
      <c r="H3772" s="18"/>
      <c r="J3772" s="18"/>
      <c r="N3772" s="16"/>
      <c r="O3772" s="17"/>
      <c r="Q3772" s="22"/>
      <c r="R3772" s="23"/>
    </row>
    <row r="3773" spans="1:18" ht="12.75">
      <c r="A3773" s="22"/>
      <c r="D3773" s="19"/>
      <c r="H3773" s="18"/>
      <c r="J3773" s="18"/>
      <c r="N3773" s="16"/>
      <c r="O3773" s="17"/>
      <c r="Q3773" s="22"/>
      <c r="R3773" s="23"/>
    </row>
    <row r="3774" spans="1:18" ht="12.75">
      <c r="A3774" s="22"/>
      <c r="D3774" s="19"/>
      <c r="H3774" s="18"/>
      <c r="J3774" s="18"/>
      <c r="N3774" s="16"/>
      <c r="O3774" s="17"/>
      <c r="Q3774" s="22"/>
      <c r="R3774" s="23"/>
    </row>
    <row r="3775" spans="1:18" ht="12.75">
      <c r="A3775" s="22"/>
      <c r="D3775" s="19"/>
      <c r="H3775" s="18"/>
      <c r="J3775" s="18"/>
      <c r="N3775" s="16"/>
      <c r="O3775" s="17"/>
      <c r="Q3775" s="22"/>
      <c r="R3775" s="23"/>
    </row>
    <row r="3776" spans="1:18" ht="12.75">
      <c r="A3776" s="22"/>
      <c r="D3776" s="19"/>
      <c r="H3776" s="18"/>
      <c r="J3776" s="18"/>
      <c r="N3776" s="16"/>
      <c r="O3776" s="17"/>
      <c r="Q3776" s="22"/>
      <c r="R3776" s="23"/>
    </row>
    <row r="3777" spans="1:18" ht="12.75">
      <c r="A3777" s="22"/>
      <c r="D3777" s="19"/>
      <c r="H3777" s="18"/>
      <c r="J3777" s="18"/>
      <c r="N3777" s="16"/>
      <c r="O3777" s="17"/>
      <c r="Q3777" s="22"/>
      <c r="R3777" s="23"/>
    </row>
    <row r="3778" spans="1:18" ht="12.75">
      <c r="A3778" s="22"/>
      <c r="D3778" s="19"/>
      <c r="H3778" s="18"/>
      <c r="J3778" s="18"/>
      <c r="N3778" s="16"/>
      <c r="O3778" s="17"/>
      <c r="Q3778" s="22"/>
      <c r="R3778" s="23"/>
    </row>
    <row r="3779" spans="1:18" ht="12.75">
      <c r="A3779" s="22"/>
      <c r="D3779" s="19"/>
      <c r="H3779" s="18"/>
      <c r="J3779" s="18"/>
      <c r="N3779" s="16"/>
      <c r="O3779" s="17"/>
      <c r="Q3779" s="22"/>
      <c r="R3779" s="23"/>
    </row>
    <row r="3780" spans="1:18" ht="12.75">
      <c r="A3780" s="22"/>
      <c r="D3780" s="19"/>
      <c r="H3780" s="18"/>
      <c r="J3780" s="18"/>
      <c r="N3780" s="16"/>
      <c r="O3780" s="17"/>
      <c r="Q3780" s="22"/>
      <c r="R3780" s="23"/>
    </row>
    <row r="3781" spans="1:18" ht="12.75">
      <c r="A3781" s="22"/>
      <c r="D3781" s="19"/>
      <c r="H3781" s="18"/>
      <c r="J3781" s="18"/>
      <c r="N3781" s="16"/>
      <c r="O3781" s="17"/>
      <c r="Q3781" s="22"/>
      <c r="R3781" s="23"/>
    </row>
    <row r="3782" spans="1:18" ht="12.75">
      <c r="A3782" s="22"/>
      <c r="D3782" s="19"/>
      <c r="H3782" s="18"/>
      <c r="J3782" s="18"/>
      <c r="N3782" s="16"/>
      <c r="O3782" s="17"/>
      <c r="Q3782" s="22"/>
      <c r="R3782" s="23"/>
    </row>
    <row r="3783" spans="1:18" ht="12.75">
      <c r="A3783" s="22"/>
      <c r="D3783" s="19"/>
      <c r="H3783" s="18"/>
      <c r="J3783" s="18"/>
      <c r="N3783" s="16"/>
      <c r="O3783" s="17"/>
      <c r="Q3783" s="22"/>
      <c r="R3783" s="23"/>
    </row>
    <row r="3784" spans="1:18" ht="12.75">
      <c r="A3784" s="22"/>
      <c r="D3784" s="19"/>
      <c r="H3784" s="18"/>
      <c r="J3784" s="18"/>
      <c r="N3784" s="16"/>
      <c r="O3784" s="17"/>
      <c r="Q3784" s="22"/>
      <c r="R3784" s="23"/>
    </row>
    <row r="3785" spans="1:18" ht="12.75">
      <c r="A3785" s="22"/>
      <c r="D3785" s="19"/>
      <c r="H3785" s="18"/>
      <c r="J3785" s="18"/>
      <c r="N3785" s="16"/>
      <c r="O3785" s="17"/>
      <c r="Q3785" s="22"/>
      <c r="R3785" s="23"/>
    </row>
    <row r="3786" spans="1:18" ht="12.75">
      <c r="A3786" s="22"/>
      <c r="D3786" s="19"/>
      <c r="H3786" s="18"/>
      <c r="J3786" s="18"/>
      <c r="N3786" s="16"/>
      <c r="O3786" s="17"/>
      <c r="Q3786" s="22"/>
      <c r="R3786" s="23"/>
    </row>
    <row r="3787" spans="1:18" ht="12.75">
      <c r="A3787" s="22"/>
      <c r="D3787" s="19"/>
      <c r="H3787" s="18"/>
      <c r="J3787" s="18"/>
      <c r="N3787" s="16"/>
      <c r="O3787" s="17"/>
      <c r="Q3787" s="22"/>
      <c r="R3787" s="23"/>
    </row>
    <row r="3788" spans="1:18" ht="12.75">
      <c r="A3788" s="22"/>
      <c r="D3788" s="19"/>
      <c r="H3788" s="18"/>
      <c r="J3788" s="18"/>
      <c r="N3788" s="16"/>
      <c r="O3788" s="17"/>
      <c r="Q3788" s="22"/>
      <c r="R3788" s="23"/>
    </row>
    <row r="3789" spans="1:18" ht="12.75">
      <c r="A3789" s="22"/>
      <c r="D3789" s="19"/>
      <c r="H3789" s="18"/>
      <c r="J3789" s="18"/>
      <c r="N3789" s="16"/>
      <c r="O3789" s="17"/>
      <c r="Q3789" s="22"/>
      <c r="R3789" s="23"/>
    </row>
    <row r="3790" spans="1:18" ht="12.75">
      <c r="A3790" s="22"/>
      <c r="D3790" s="19"/>
      <c r="H3790" s="18"/>
      <c r="J3790" s="18"/>
      <c r="N3790" s="16"/>
      <c r="O3790" s="17"/>
      <c r="Q3790" s="22"/>
      <c r="R3790" s="23"/>
    </row>
    <row r="3791" spans="1:18" ht="12.75">
      <c r="A3791" s="22"/>
      <c r="D3791" s="19"/>
      <c r="H3791" s="18"/>
      <c r="J3791" s="18"/>
      <c r="N3791" s="16"/>
      <c r="O3791" s="17"/>
      <c r="Q3791" s="22"/>
      <c r="R3791" s="23"/>
    </row>
    <row r="3792" spans="1:18" ht="12.75">
      <c r="A3792" s="22"/>
      <c r="D3792" s="19"/>
      <c r="H3792" s="18"/>
      <c r="J3792" s="18"/>
      <c r="N3792" s="16"/>
      <c r="O3792" s="17"/>
      <c r="Q3792" s="22"/>
      <c r="R3792" s="23"/>
    </row>
    <row r="3793" spans="1:18" ht="12.75">
      <c r="A3793" s="22"/>
      <c r="D3793" s="19"/>
      <c r="H3793" s="18"/>
      <c r="J3793" s="18"/>
      <c r="N3793" s="16"/>
      <c r="O3793" s="17"/>
      <c r="Q3793" s="22"/>
      <c r="R3793" s="23"/>
    </row>
    <row r="3794" spans="1:18" ht="12.75">
      <c r="A3794" s="22"/>
      <c r="D3794" s="19"/>
      <c r="H3794" s="18"/>
      <c r="J3794" s="18"/>
      <c r="N3794" s="16"/>
      <c r="O3794" s="17"/>
      <c r="Q3794" s="22"/>
      <c r="R3794" s="23"/>
    </row>
    <row r="3795" spans="1:18" ht="12.75">
      <c r="A3795" s="22"/>
      <c r="D3795" s="19"/>
      <c r="H3795" s="18"/>
      <c r="J3795" s="18"/>
      <c r="N3795" s="16"/>
      <c r="O3795" s="17"/>
      <c r="Q3795" s="22"/>
      <c r="R3795" s="23"/>
    </row>
    <row r="3796" spans="1:18" ht="12.75">
      <c r="A3796" s="22"/>
      <c r="D3796" s="19"/>
      <c r="H3796" s="18"/>
      <c r="J3796" s="18"/>
      <c r="N3796" s="16"/>
      <c r="O3796" s="17"/>
      <c r="Q3796" s="22"/>
      <c r="R3796" s="23"/>
    </row>
    <row r="3797" spans="1:18" ht="12.75">
      <c r="A3797" s="22"/>
      <c r="D3797" s="19"/>
      <c r="H3797" s="18"/>
      <c r="J3797" s="18"/>
      <c r="N3797" s="16"/>
      <c r="O3797" s="17"/>
      <c r="Q3797" s="22"/>
      <c r="R3797" s="23"/>
    </row>
    <row r="3798" spans="1:18" ht="12.75">
      <c r="A3798" s="22"/>
      <c r="D3798" s="19"/>
      <c r="H3798" s="18"/>
      <c r="J3798" s="18"/>
      <c r="N3798" s="16"/>
      <c r="O3798" s="17"/>
      <c r="Q3798" s="22"/>
      <c r="R3798" s="23"/>
    </row>
    <row r="3799" spans="1:18" ht="12.75">
      <c r="A3799" s="22"/>
      <c r="D3799" s="19"/>
      <c r="H3799" s="18"/>
      <c r="J3799" s="18"/>
      <c r="N3799" s="16"/>
      <c r="O3799" s="17"/>
      <c r="Q3799" s="22"/>
      <c r="R3799" s="23"/>
    </row>
    <row r="3800" spans="1:18" ht="12.75">
      <c r="A3800" s="22"/>
      <c r="D3800" s="19"/>
      <c r="H3800" s="18"/>
      <c r="J3800" s="18"/>
      <c r="N3800" s="16"/>
      <c r="O3800" s="17"/>
      <c r="Q3800" s="22"/>
      <c r="R3800" s="23"/>
    </row>
    <row r="3801" spans="1:18" ht="12.75">
      <c r="A3801" s="22"/>
      <c r="D3801" s="19"/>
      <c r="H3801" s="18"/>
      <c r="J3801" s="18"/>
      <c r="N3801" s="16"/>
      <c r="O3801" s="17"/>
      <c r="Q3801" s="22"/>
      <c r="R3801" s="23"/>
    </row>
    <row r="3802" spans="1:18" ht="12.75">
      <c r="A3802" s="22"/>
      <c r="D3802" s="19"/>
      <c r="H3802" s="18"/>
      <c r="J3802" s="18"/>
      <c r="N3802" s="16"/>
      <c r="O3802" s="17"/>
      <c r="Q3802" s="22"/>
      <c r="R3802" s="23"/>
    </row>
    <row r="3803" spans="1:18" ht="12.75">
      <c r="A3803" s="22"/>
      <c r="D3803" s="19"/>
      <c r="H3803" s="18"/>
      <c r="J3803" s="18"/>
      <c r="N3803" s="16"/>
      <c r="O3803" s="17"/>
      <c r="Q3803" s="22"/>
      <c r="R3803" s="23"/>
    </row>
    <row r="3804" spans="1:18" ht="12.75">
      <c r="A3804" s="22"/>
      <c r="D3804" s="19"/>
      <c r="H3804" s="18"/>
      <c r="J3804" s="18"/>
      <c r="N3804" s="16"/>
      <c r="O3804" s="17"/>
      <c r="Q3804" s="22"/>
      <c r="R3804" s="23"/>
    </row>
    <row r="3805" spans="1:18" ht="12.75">
      <c r="A3805" s="22"/>
      <c r="D3805" s="19"/>
      <c r="H3805" s="18"/>
      <c r="J3805" s="18"/>
      <c r="N3805" s="16"/>
      <c r="O3805" s="17"/>
      <c r="Q3805" s="22"/>
      <c r="R3805" s="23"/>
    </row>
    <row r="3806" spans="1:18" ht="12.75">
      <c r="A3806" s="22"/>
      <c r="D3806" s="19"/>
      <c r="H3806" s="18"/>
      <c r="J3806" s="18"/>
      <c r="N3806" s="16"/>
      <c r="O3806" s="17"/>
      <c r="Q3806" s="22"/>
      <c r="R3806" s="23"/>
    </row>
    <row r="3807" spans="1:18" ht="12.75">
      <c r="A3807" s="22"/>
      <c r="D3807" s="19"/>
      <c r="H3807" s="18"/>
      <c r="J3807" s="18"/>
      <c r="N3807" s="16"/>
      <c r="O3807" s="17"/>
      <c r="Q3807" s="22"/>
      <c r="R3807" s="23"/>
    </row>
    <row r="3808" spans="1:18" ht="12.75">
      <c r="A3808" s="22"/>
      <c r="D3808" s="19"/>
      <c r="H3808" s="18"/>
      <c r="J3808" s="18"/>
      <c r="N3808" s="16"/>
      <c r="O3808" s="17"/>
      <c r="Q3808" s="22"/>
      <c r="R3808" s="23"/>
    </row>
    <row r="3809" spans="1:18" ht="12.75">
      <c r="A3809" s="22"/>
      <c r="D3809" s="19"/>
      <c r="H3809" s="18"/>
      <c r="J3809" s="18"/>
      <c r="N3809" s="16"/>
      <c r="O3809" s="17"/>
      <c r="Q3809" s="22"/>
      <c r="R3809" s="23"/>
    </row>
    <row r="3810" spans="1:18" ht="12.75">
      <c r="A3810" s="22"/>
      <c r="D3810" s="19"/>
      <c r="H3810" s="18"/>
      <c r="J3810" s="18"/>
      <c r="N3810" s="16"/>
      <c r="O3810" s="17"/>
      <c r="Q3810" s="22"/>
      <c r="R3810" s="23"/>
    </row>
    <row r="3811" spans="1:18" ht="12.75">
      <c r="A3811" s="22"/>
      <c r="D3811" s="19"/>
      <c r="H3811" s="18"/>
      <c r="J3811" s="18"/>
      <c r="N3811" s="16"/>
      <c r="O3811" s="17"/>
      <c r="Q3811" s="22"/>
      <c r="R3811" s="23"/>
    </row>
    <row r="3812" spans="1:18" ht="12.75">
      <c r="A3812" s="22"/>
      <c r="D3812" s="19"/>
      <c r="H3812" s="18"/>
      <c r="J3812" s="18"/>
      <c r="N3812" s="16"/>
      <c r="O3812" s="17"/>
      <c r="Q3812" s="22"/>
      <c r="R3812" s="23"/>
    </row>
    <row r="3813" spans="1:18" ht="12.75">
      <c r="A3813" s="22"/>
      <c r="D3813" s="19"/>
      <c r="H3813" s="18"/>
      <c r="J3813" s="18"/>
      <c r="N3813" s="16"/>
      <c r="O3813" s="17"/>
      <c r="Q3813" s="22"/>
      <c r="R3813" s="23"/>
    </row>
    <row r="3814" spans="1:18" ht="12.75">
      <c r="A3814" s="22"/>
      <c r="D3814" s="19"/>
      <c r="H3814" s="18"/>
      <c r="J3814" s="18"/>
      <c r="N3814" s="16"/>
      <c r="O3814" s="17"/>
      <c r="Q3814" s="22"/>
      <c r="R3814" s="23"/>
    </row>
    <row r="3815" spans="1:18" ht="12.75">
      <c r="A3815" s="22"/>
      <c r="D3815" s="19"/>
      <c r="H3815" s="18"/>
      <c r="J3815" s="18"/>
      <c r="N3815" s="16"/>
      <c r="O3815" s="17"/>
      <c r="Q3815" s="22"/>
      <c r="R3815" s="23"/>
    </row>
    <row r="3816" spans="1:18" ht="12.75">
      <c r="A3816" s="22"/>
      <c r="D3816" s="19"/>
      <c r="H3816" s="18"/>
      <c r="J3816" s="18"/>
      <c r="N3816" s="16"/>
      <c r="O3816" s="17"/>
      <c r="Q3816" s="22"/>
      <c r="R3816" s="23"/>
    </row>
    <row r="3817" spans="1:18" ht="12.75">
      <c r="A3817" s="22"/>
      <c r="D3817" s="19"/>
      <c r="H3817" s="18"/>
      <c r="J3817" s="18"/>
      <c r="N3817" s="16"/>
      <c r="O3817" s="17"/>
      <c r="Q3817" s="22"/>
      <c r="R3817" s="23"/>
    </row>
    <row r="3818" spans="1:18" ht="12.75">
      <c r="A3818" s="22"/>
      <c r="D3818" s="19"/>
      <c r="H3818" s="18"/>
      <c r="J3818" s="18"/>
      <c r="N3818" s="16"/>
      <c r="O3818" s="17"/>
      <c r="Q3818" s="22"/>
      <c r="R3818" s="23"/>
    </row>
    <row r="3819" spans="1:18" ht="12.75">
      <c r="A3819" s="22"/>
      <c r="D3819" s="19"/>
      <c r="H3819" s="18"/>
      <c r="J3819" s="18"/>
      <c r="N3819" s="16"/>
      <c r="O3819" s="17"/>
      <c r="Q3819" s="22"/>
      <c r="R3819" s="23"/>
    </row>
    <row r="3820" spans="1:18" ht="12.75">
      <c r="A3820" s="22"/>
      <c r="D3820" s="19"/>
      <c r="H3820" s="18"/>
      <c r="J3820" s="18"/>
      <c r="N3820" s="16"/>
      <c r="O3820" s="17"/>
      <c r="Q3820" s="22"/>
      <c r="R3820" s="23"/>
    </row>
    <row r="3821" spans="1:18" ht="12.75">
      <c r="A3821" s="22"/>
      <c r="D3821" s="19"/>
      <c r="H3821" s="18"/>
      <c r="J3821" s="18"/>
      <c r="N3821" s="16"/>
      <c r="O3821" s="17"/>
      <c r="Q3821" s="22"/>
      <c r="R3821" s="23"/>
    </row>
    <row r="3822" spans="1:18" ht="12.75">
      <c r="A3822" s="22"/>
      <c r="D3822" s="19"/>
      <c r="H3822" s="18"/>
      <c r="J3822" s="18"/>
      <c r="N3822" s="16"/>
      <c r="O3822" s="17"/>
      <c r="Q3822" s="22"/>
      <c r="R3822" s="23"/>
    </row>
    <row r="3823" spans="1:18" ht="12.75">
      <c r="A3823" s="22"/>
      <c r="D3823" s="19"/>
      <c r="H3823" s="18"/>
      <c r="J3823" s="18"/>
      <c r="N3823" s="16"/>
      <c r="O3823" s="17"/>
      <c r="Q3823" s="22"/>
      <c r="R3823" s="23"/>
    </row>
    <row r="3824" spans="1:18" ht="12.75">
      <c r="A3824" s="22"/>
      <c r="D3824" s="19"/>
      <c r="H3824" s="18"/>
      <c r="J3824" s="18"/>
      <c r="N3824" s="16"/>
      <c r="O3824" s="17"/>
      <c r="Q3824" s="22"/>
      <c r="R3824" s="23"/>
    </row>
    <row r="3825" spans="1:18" ht="12.75">
      <c r="A3825" s="22"/>
      <c r="D3825" s="19"/>
      <c r="H3825" s="18"/>
      <c r="J3825" s="18"/>
      <c r="N3825" s="16"/>
      <c r="O3825" s="17"/>
      <c r="Q3825" s="22"/>
      <c r="R3825" s="23"/>
    </row>
    <row r="3826" spans="1:18" ht="12.75">
      <c r="A3826" s="22"/>
      <c r="D3826" s="19"/>
      <c r="H3826" s="18"/>
      <c r="J3826" s="18"/>
      <c r="N3826" s="16"/>
      <c r="O3826" s="17"/>
      <c r="Q3826" s="22"/>
      <c r="R3826" s="23"/>
    </row>
    <row r="3827" spans="1:18" ht="12.75">
      <c r="A3827" s="22"/>
      <c r="D3827" s="19"/>
      <c r="H3827" s="18"/>
      <c r="J3827" s="18"/>
      <c r="N3827" s="16"/>
      <c r="O3827" s="17"/>
      <c r="Q3827" s="22"/>
      <c r="R3827" s="23"/>
    </row>
    <row r="3828" spans="1:18" ht="12.75">
      <c r="A3828" s="22"/>
      <c r="D3828" s="19"/>
      <c r="H3828" s="18"/>
      <c r="J3828" s="18"/>
      <c r="N3828" s="16"/>
      <c r="O3828" s="17"/>
      <c r="Q3828" s="22"/>
      <c r="R3828" s="23"/>
    </row>
    <row r="3829" spans="1:18" ht="12.75">
      <c r="A3829" s="22"/>
      <c r="D3829" s="19"/>
      <c r="H3829" s="18"/>
      <c r="J3829" s="18"/>
      <c r="N3829" s="16"/>
      <c r="O3829" s="17"/>
      <c r="Q3829" s="22"/>
      <c r="R3829" s="23"/>
    </row>
    <row r="3830" spans="1:18" ht="12.75">
      <c r="A3830" s="22"/>
      <c r="D3830" s="19"/>
      <c r="H3830" s="18"/>
      <c r="J3830" s="18"/>
      <c r="N3830" s="16"/>
      <c r="O3830" s="17"/>
      <c r="Q3830" s="22"/>
      <c r="R3830" s="23"/>
    </row>
    <row r="3831" spans="1:18" ht="12.75">
      <c r="A3831" s="22"/>
      <c r="D3831" s="19"/>
      <c r="H3831" s="18"/>
      <c r="J3831" s="18"/>
      <c r="N3831" s="16"/>
      <c r="O3831" s="17"/>
      <c r="Q3831" s="22"/>
      <c r="R3831" s="23"/>
    </row>
    <row r="3832" spans="1:18" ht="12.75">
      <c r="A3832" s="22"/>
      <c r="D3832" s="19"/>
      <c r="H3832" s="18"/>
      <c r="J3832" s="18"/>
      <c r="N3832" s="16"/>
      <c r="O3832" s="17"/>
      <c r="Q3832" s="22"/>
      <c r="R3832" s="23"/>
    </row>
    <row r="3833" spans="1:18" ht="12.75">
      <c r="A3833" s="22"/>
      <c r="D3833" s="19"/>
      <c r="H3833" s="18"/>
      <c r="J3833" s="18"/>
      <c r="N3833" s="16"/>
      <c r="O3833" s="17"/>
      <c r="Q3833" s="22"/>
      <c r="R3833" s="23"/>
    </row>
    <row r="3834" spans="1:18" ht="12.75">
      <c r="A3834" s="22"/>
      <c r="D3834" s="19"/>
      <c r="H3834" s="18"/>
      <c r="J3834" s="18"/>
      <c r="N3834" s="16"/>
      <c r="O3834" s="17"/>
      <c r="Q3834" s="22"/>
      <c r="R3834" s="23"/>
    </row>
    <row r="3835" spans="1:18" ht="12.75">
      <c r="A3835" s="22"/>
      <c r="D3835" s="19"/>
      <c r="H3835" s="18"/>
      <c r="J3835" s="18"/>
      <c r="N3835" s="16"/>
      <c r="O3835" s="17"/>
      <c r="Q3835" s="22"/>
      <c r="R3835" s="23"/>
    </row>
    <row r="3836" spans="1:18" ht="12.75">
      <c r="A3836" s="22"/>
      <c r="D3836" s="19"/>
      <c r="H3836" s="18"/>
      <c r="J3836" s="18"/>
      <c r="N3836" s="16"/>
      <c r="O3836" s="17"/>
      <c r="Q3836" s="22"/>
      <c r="R3836" s="23"/>
    </row>
    <row r="3837" spans="1:18" ht="12.75">
      <c r="A3837" s="22"/>
      <c r="D3837" s="19"/>
      <c r="H3837" s="18"/>
      <c r="J3837" s="18"/>
      <c r="N3837" s="16"/>
      <c r="O3837" s="17"/>
      <c r="Q3837" s="22"/>
      <c r="R3837" s="23"/>
    </row>
    <row r="3838" spans="1:18" ht="12.75">
      <c r="A3838" s="22"/>
      <c r="D3838" s="19"/>
      <c r="H3838" s="18"/>
      <c r="J3838" s="18"/>
      <c r="N3838" s="16"/>
      <c r="O3838" s="17"/>
      <c r="Q3838" s="22"/>
      <c r="R3838" s="23"/>
    </row>
    <row r="3839" spans="1:18" ht="12.75">
      <c r="A3839" s="22"/>
      <c r="D3839" s="19"/>
      <c r="H3839" s="18"/>
      <c r="J3839" s="18"/>
      <c r="N3839" s="16"/>
      <c r="O3839" s="17"/>
      <c r="Q3839" s="22"/>
      <c r="R3839" s="23"/>
    </row>
    <row r="3840" spans="1:18" ht="12.75">
      <c r="A3840" s="22"/>
      <c r="D3840" s="19"/>
      <c r="H3840" s="18"/>
      <c r="J3840" s="18"/>
      <c r="N3840" s="16"/>
      <c r="O3840" s="17"/>
      <c r="Q3840" s="22"/>
      <c r="R3840" s="23"/>
    </row>
    <row r="3841" spans="1:18" ht="12.75">
      <c r="A3841" s="22"/>
      <c r="D3841" s="19"/>
      <c r="H3841" s="18"/>
      <c r="J3841" s="18"/>
      <c r="N3841" s="16"/>
      <c r="O3841" s="17"/>
      <c r="Q3841" s="22"/>
      <c r="R3841" s="23"/>
    </row>
    <row r="3842" spans="1:18" ht="12.75">
      <c r="A3842" s="22"/>
      <c r="D3842" s="19"/>
      <c r="H3842" s="18"/>
      <c r="J3842" s="18"/>
      <c r="N3842" s="16"/>
      <c r="O3842" s="17"/>
      <c r="Q3842" s="22"/>
      <c r="R3842" s="23"/>
    </row>
    <row r="3843" spans="1:18" ht="12.75">
      <c r="A3843" s="22"/>
      <c r="D3843" s="19"/>
      <c r="H3843" s="18"/>
      <c r="J3843" s="18"/>
      <c r="N3843" s="16"/>
      <c r="O3843" s="17"/>
      <c r="Q3843" s="22"/>
      <c r="R3843" s="23"/>
    </row>
    <row r="3844" spans="1:18" ht="12.75">
      <c r="A3844" s="22"/>
      <c r="D3844" s="19"/>
      <c r="H3844" s="18"/>
      <c r="J3844" s="18"/>
      <c r="N3844" s="16"/>
      <c r="O3844" s="17"/>
      <c r="Q3844" s="22"/>
      <c r="R3844" s="23"/>
    </row>
    <row r="3845" spans="1:18" ht="12.75">
      <c r="A3845" s="22"/>
      <c r="D3845" s="19"/>
      <c r="H3845" s="18"/>
      <c r="J3845" s="18"/>
      <c r="N3845" s="16"/>
      <c r="O3845" s="17"/>
      <c r="Q3845" s="22"/>
      <c r="R3845" s="23"/>
    </row>
    <row r="3846" spans="1:18" ht="12.75">
      <c r="A3846" s="22"/>
      <c r="D3846" s="19"/>
      <c r="H3846" s="18"/>
      <c r="J3846" s="18"/>
      <c r="N3846" s="16"/>
      <c r="O3846" s="17"/>
      <c r="Q3846" s="22"/>
      <c r="R3846" s="23"/>
    </row>
    <row r="3847" spans="1:18" ht="12.75">
      <c r="A3847" s="22"/>
      <c r="D3847" s="19"/>
      <c r="H3847" s="18"/>
      <c r="J3847" s="18"/>
      <c r="N3847" s="16"/>
      <c r="O3847" s="17"/>
      <c r="Q3847" s="22"/>
      <c r="R3847" s="23"/>
    </row>
    <row r="3848" spans="1:18" ht="12.75">
      <c r="A3848" s="22"/>
      <c r="D3848" s="19"/>
      <c r="H3848" s="18"/>
      <c r="J3848" s="18"/>
      <c r="N3848" s="16"/>
      <c r="O3848" s="17"/>
      <c r="Q3848" s="22"/>
      <c r="R3848" s="23"/>
    </row>
    <row r="3849" spans="1:18" ht="12.75">
      <c r="A3849" s="22"/>
      <c r="D3849" s="19"/>
      <c r="H3849" s="18"/>
      <c r="J3849" s="18"/>
      <c r="N3849" s="16"/>
      <c r="O3849" s="17"/>
      <c r="Q3849" s="22"/>
      <c r="R3849" s="23"/>
    </row>
    <row r="3850" spans="1:18" ht="12.75">
      <c r="A3850" s="22"/>
      <c r="D3850" s="19"/>
      <c r="H3850" s="18"/>
      <c r="J3850" s="18"/>
      <c r="N3850" s="16"/>
      <c r="O3850" s="17"/>
      <c r="Q3850" s="22"/>
      <c r="R3850" s="23"/>
    </row>
    <row r="3851" spans="1:18" ht="12.75">
      <c r="A3851" s="22"/>
      <c r="D3851" s="19"/>
      <c r="H3851" s="18"/>
      <c r="J3851" s="18"/>
      <c r="N3851" s="16"/>
      <c r="O3851" s="17"/>
      <c r="Q3851" s="22"/>
      <c r="R3851" s="23"/>
    </row>
    <row r="3852" spans="1:18" ht="12.75">
      <c r="A3852" s="22"/>
      <c r="D3852" s="19"/>
      <c r="H3852" s="18"/>
      <c r="J3852" s="18"/>
      <c r="N3852" s="16"/>
      <c r="O3852" s="17"/>
      <c r="Q3852" s="22"/>
      <c r="R3852" s="23"/>
    </row>
    <row r="3853" spans="1:18" ht="12.75">
      <c r="A3853" s="22"/>
      <c r="D3853" s="19"/>
      <c r="H3853" s="18"/>
      <c r="J3853" s="18"/>
      <c r="N3853" s="16"/>
      <c r="O3853" s="17"/>
      <c r="Q3853" s="22"/>
      <c r="R3853" s="23"/>
    </row>
    <row r="3854" spans="1:18" ht="12.75">
      <c r="A3854" s="22"/>
      <c r="D3854" s="19"/>
      <c r="H3854" s="18"/>
      <c r="J3854" s="18"/>
      <c r="N3854" s="16"/>
      <c r="O3854" s="17"/>
      <c r="Q3854" s="22"/>
      <c r="R3854" s="23"/>
    </row>
    <row r="3855" spans="1:18" ht="12.75">
      <c r="A3855" s="22"/>
      <c r="D3855" s="19"/>
      <c r="H3855" s="18"/>
      <c r="J3855" s="18"/>
      <c r="N3855" s="16"/>
      <c r="O3855" s="17"/>
      <c r="Q3855" s="22"/>
      <c r="R3855" s="23"/>
    </row>
    <row r="3856" spans="1:18" ht="12.75">
      <c r="A3856" s="22"/>
      <c r="D3856" s="19"/>
      <c r="H3856" s="18"/>
      <c r="J3856" s="18"/>
      <c r="N3856" s="16"/>
      <c r="O3856" s="17"/>
      <c r="Q3856" s="22"/>
      <c r="R3856" s="23"/>
    </row>
    <row r="3857" spans="1:18" ht="12.75">
      <c r="A3857" s="22"/>
      <c r="D3857" s="19"/>
      <c r="H3857" s="18"/>
      <c r="J3857" s="18"/>
      <c r="N3857" s="16"/>
      <c r="O3857" s="17"/>
      <c r="Q3857" s="22"/>
      <c r="R3857" s="23"/>
    </row>
    <row r="3858" spans="1:18" ht="12.75">
      <c r="A3858" s="22"/>
      <c r="D3858" s="19"/>
      <c r="H3858" s="18"/>
      <c r="J3858" s="18"/>
      <c r="N3858" s="16"/>
      <c r="O3858" s="17"/>
      <c r="Q3858" s="22"/>
      <c r="R3858" s="23"/>
    </row>
    <row r="3859" spans="1:18" ht="12.75">
      <c r="A3859" s="22"/>
      <c r="D3859" s="19"/>
      <c r="H3859" s="18"/>
      <c r="J3859" s="18"/>
      <c r="N3859" s="16"/>
      <c r="O3859" s="17"/>
      <c r="Q3859" s="22"/>
      <c r="R3859" s="23"/>
    </row>
    <row r="3860" spans="1:18" ht="12.75">
      <c r="A3860" s="22"/>
      <c r="D3860" s="19"/>
      <c r="H3860" s="18"/>
      <c r="J3860" s="18"/>
      <c r="N3860" s="16"/>
      <c r="O3860" s="17"/>
      <c r="Q3860" s="22"/>
      <c r="R3860" s="23"/>
    </row>
    <row r="3861" spans="1:18" ht="12.75">
      <c r="A3861" s="22"/>
      <c r="D3861" s="19"/>
      <c r="H3861" s="18"/>
      <c r="J3861" s="18"/>
      <c r="N3861" s="16"/>
      <c r="O3861" s="17"/>
      <c r="Q3861" s="22"/>
      <c r="R3861" s="23"/>
    </row>
    <row r="3862" spans="1:18" ht="12.75">
      <c r="A3862" s="22"/>
      <c r="D3862" s="19"/>
      <c r="H3862" s="18"/>
      <c r="J3862" s="18"/>
      <c r="N3862" s="16"/>
      <c r="O3862" s="17"/>
      <c r="Q3862" s="22"/>
      <c r="R3862" s="23"/>
    </row>
    <row r="3863" spans="1:18" ht="12.75">
      <c r="A3863" s="22"/>
      <c r="D3863" s="19"/>
      <c r="H3863" s="18"/>
      <c r="J3863" s="18"/>
      <c r="N3863" s="16"/>
      <c r="O3863" s="17"/>
      <c r="Q3863" s="22"/>
      <c r="R3863" s="23"/>
    </row>
    <row r="3864" spans="1:18" ht="12.75">
      <c r="A3864" s="22"/>
      <c r="D3864" s="19"/>
      <c r="H3864" s="18"/>
      <c r="J3864" s="18"/>
      <c r="N3864" s="16"/>
      <c r="O3864" s="17"/>
      <c r="Q3864" s="22"/>
      <c r="R3864" s="23"/>
    </row>
    <row r="3865" spans="1:18" ht="12.75">
      <c r="A3865" s="22"/>
      <c r="D3865" s="19"/>
      <c r="H3865" s="18"/>
      <c r="J3865" s="18"/>
      <c r="N3865" s="16"/>
      <c r="O3865" s="17"/>
      <c r="Q3865" s="22"/>
      <c r="R3865" s="23"/>
    </row>
    <row r="3866" spans="1:18" ht="12.75">
      <c r="A3866" s="22"/>
      <c r="D3866" s="19"/>
      <c r="H3866" s="18"/>
      <c r="J3866" s="18"/>
      <c r="N3866" s="16"/>
      <c r="O3866" s="17"/>
      <c r="Q3866" s="22"/>
      <c r="R3866" s="23"/>
    </row>
    <row r="3867" spans="1:18" ht="12.75">
      <c r="A3867" s="22"/>
      <c r="D3867" s="19"/>
      <c r="H3867" s="18"/>
      <c r="J3867" s="18"/>
      <c r="N3867" s="16"/>
      <c r="O3867" s="17"/>
      <c r="Q3867" s="22"/>
      <c r="R3867" s="23"/>
    </row>
    <row r="3868" spans="1:18" ht="12.75">
      <c r="A3868" s="22"/>
      <c r="D3868" s="19"/>
      <c r="H3868" s="18"/>
      <c r="J3868" s="18"/>
      <c r="N3868" s="16"/>
      <c r="O3868" s="17"/>
      <c r="Q3868" s="22"/>
      <c r="R3868" s="23"/>
    </row>
    <row r="3869" spans="1:18" ht="12.75">
      <c r="A3869" s="22"/>
      <c r="D3869" s="19"/>
      <c r="H3869" s="18"/>
      <c r="J3869" s="18"/>
      <c r="N3869" s="16"/>
      <c r="O3869" s="17"/>
      <c r="Q3869" s="22"/>
      <c r="R3869" s="23"/>
    </row>
    <row r="3870" spans="1:18" ht="12.75">
      <c r="A3870" s="22"/>
      <c r="D3870" s="19"/>
      <c r="H3870" s="18"/>
      <c r="J3870" s="18"/>
      <c r="N3870" s="16"/>
      <c r="O3870" s="17"/>
      <c r="Q3870" s="22"/>
      <c r="R3870" s="23"/>
    </row>
    <row r="3871" spans="1:18" ht="12.75">
      <c r="A3871" s="22"/>
      <c r="D3871" s="19"/>
      <c r="H3871" s="18"/>
      <c r="J3871" s="18"/>
      <c r="N3871" s="16"/>
      <c r="O3871" s="17"/>
      <c r="Q3871" s="22"/>
      <c r="R3871" s="23"/>
    </row>
    <row r="3872" spans="1:18" ht="12.75">
      <c r="A3872" s="22"/>
      <c r="D3872" s="19"/>
      <c r="H3872" s="18"/>
      <c r="J3872" s="18"/>
      <c r="N3872" s="16"/>
      <c r="O3872" s="17"/>
      <c r="Q3872" s="22"/>
      <c r="R3872" s="23"/>
    </row>
    <row r="3873" spans="1:18" ht="12.75">
      <c r="A3873" s="22"/>
      <c r="D3873" s="19"/>
      <c r="H3873" s="18"/>
      <c r="J3873" s="18"/>
      <c r="N3873" s="16"/>
      <c r="O3873" s="17"/>
      <c r="Q3873" s="22"/>
      <c r="R3873" s="23"/>
    </row>
    <row r="3874" spans="1:18" ht="12.75">
      <c r="A3874" s="22"/>
      <c r="D3874" s="19"/>
      <c r="H3874" s="18"/>
      <c r="J3874" s="18"/>
      <c r="N3874" s="16"/>
      <c r="O3874" s="17"/>
      <c r="Q3874" s="22"/>
      <c r="R3874" s="23"/>
    </row>
    <row r="3875" spans="1:18" ht="12.75">
      <c r="A3875" s="22"/>
      <c r="D3875" s="19"/>
      <c r="H3875" s="18"/>
      <c r="J3875" s="18"/>
      <c r="N3875" s="16"/>
      <c r="O3875" s="17"/>
      <c r="Q3875" s="22"/>
      <c r="R3875" s="23"/>
    </row>
    <row r="3876" spans="1:18" ht="12.75">
      <c r="A3876" s="22"/>
      <c r="D3876" s="19"/>
      <c r="H3876" s="18"/>
      <c r="J3876" s="18"/>
      <c r="N3876" s="16"/>
      <c r="O3876" s="17"/>
      <c r="Q3876" s="22"/>
      <c r="R3876" s="23"/>
    </row>
    <row r="3877" spans="1:18" ht="12.75">
      <c r="A3877" s="22"/>
      <c r="D3877" s="19"/>
      <c r="H3877" s="18"/>
      <c r="J3877" s="18"/>
      <c r="N3877" s="16"/>
      <c r="O3877" s="17"/>
      <c r="Q3877" s="22"/>
      <c r="R3877" s="23"/>
    </row>
    <row r="3878" spans="1:18" ht="12.75">
      <c r="A3878" s="22"/>
      <c r="D3878" s="19"/>
      <c r="H3878" s="18"/>
      <c r="J3878" s="18"/>
      <c r="N3878" s="16"/>
      <c r="O3878" s="17"/>
      <c r="Q3878" s="22"/>
      <c r="R3878" s="23"/>
    </row>
    <row r="3879" spans="1:18" ht="12.75">
      <c r="A3879" s="22"/>
      <c r="D3879" s="19"/>
      <c r="H3879" s="18"/>
      <c r="J3879" s="18"/>
      <c r="N3879" s="16"/>
      <c r="O3879" s="17"/>
      <c r="Q3879" s="22"/>
      <c r="R3879" s="23"/>
    </row>
    <row r="3880" spans="1:18" ht="12.75">
      <c r="A3880" s="22"/>
      <c r="D3880" s="19"/>
      <c r="H3880" s="18"/>
      <c r="J3880" s="18"/>
      <c r="N3880" s="16"/>
      <c r="O3880" s="17"/>
      <c r="Q3880" s="22"/>
      <c r="R3880" s="23"/>
    </row>
    <row r="3881" spans="1:18" ht="12.75">
      <c r="A3881" s="22"/>
      <c r="D3881" s="19"/>
      <c r="H3881" s="18"/>
      <c r="J3881" s="18"/>
      <c r="N3881" s="16"/>
      <c r="O3881" s="17"/>
      <c r="Q3881" s="22"/>
      <c r="R3881" s="23"/>
    </row>
    <row r="3882" spans="1:18" ht="12.75">
      <c r="A3882" s="22"/>
      <c r="D3882" s="19"/>
      <c r="H3882" s="18"/>
      <c r="J3882" s="18"/>
      <c r="N3882" s="16"/>
      <c r="O3882" s="17"/>
      <c r="Q3882" s="22"/>
      <c r="R3882" s="23"/>
    </row>
    <row r="3883" spans="1:18" ht="12.75">
      <c r="A3883" s="22"/>
      <c r="D3883" s="19"/>
      <c r="H3883" s="18"/>
      <c r="J3883" s="18"/>
      <c r="N3883" s="16"/>
      <c r="O3883" s="17"/>
      <c r="Q3883" s="22"/>
      <c r="R3883" s="23"/>
    </row>
    <row r="3884" spans="1:18" ht="12.75">
      <c r="A3884" s="22"/>
      <c r="D3884" s="19"/>
      <c r="H3884" s="18"/>
      <c r="J3884" s="18"/>
      <c r="N3884" s="16"/>
      <c r="O3884" s="17"/>
      <c r="Q3884" s="22"/>
      <c r="R3884" s="23"/>
    </row>
    <row r="3885" spans="1:18" ht="12.75">
      <c r="A3885" s="22"/>
      <c r="D3885" s="19"/>
      <c r="H3885" s="18"/>
      <c r="J3885" s="18"/>
      <c r="N3885" s="16"/>
      <c r="O3885" s="17"/>
      <c r="Q3885" s="22"/>
      <c r="R3885" s="23"/>
    </row>
    <row r="3886" spans="1:18" ht="12.75">
      <c r="A3886" s="22"/>
      <c r="D3886" s="19"/>
      <c r="H3886" s="18"/>
      <c r="J3886" s="18"/>
      <c r="N3886" s="16"/>
      <c r="O3886" s="17"/>
      <c r="Q3886" s="22"/>
      <c r="R3886" s="23"/>
    </row>
    <row r="3887" spans="1:18" ht="12.75">
      <c r="A3887" s="22"/>
      <c r="D3887" s="19"/>
      <c r="H3887" s="18"/>
      <c r="J3887" s="18"/>
      <c r="N3887" s="16"/>
      <c r="O3887" s="17"/>
      <c r="Q3887" s="22"/>
      <c r="R3887" s="23"/>
    </row>
    <row r="3888" spans="1:18" ht="12.75">
      <c r="A3888" s="22"/>
      <c r="D3888" s="19"/>
      <c r="H3888" s="18"/>
      <c r="J3888" s="18"/>
      <c r="N3888" s="16"/>
      <c r="O3888" s="17"/>
      <c r="Q3888" s="22"/>
      <c r="R3888" s="23"/>
    </row>
    <row r="3889" spans="1:18" ht="12.75">
      <c r="A3889" s="22"/>
      <c r="D3889" s="19"/>
      <c r="H3889" s="18"/>
      <c r="J3889" s="18"/>
      <c r="N3889" s="16"/>
      <c r="O3889" s="17"/>
      <c r="Q3889" s="22"/>
      <c r="R3889" s="23"/>
    </row>
    <row r="3890" spans="1:18" ht="12.75">
      <c r="A3890" s="22"/>
      <c r="D3890" s="19"/>
      <c r="H3890" s="18"/>
      <c r="J3890" s="18"/>
      <c r="N3890" s="16"/>
      <c r="O3890" s="17"/>
      <c r="Q3890" s="22"/>
      <c r="R3890" s="23"/>
    </row>
    <row r="3891" spans="1:18" ht="12.75">
      <c r="A3891" s="22"/>
      <c r="D3891" s="19"/>
      <c r="H3891" s="18"/>
      <c r="J3891" s="18"/>
      <c r="N3891" s="16"/>
      <c r="O3891" s="17"/>
      <c r="Q3891" s="22"/>
      <c r="R3891" s="23"/>
    </row>
    <row r="3892" spans="1:18" ht="12.75">
      <c r="A3892" s="22"/>
      <c r="D3892" s="19"/>
      <c r="H3892" s="18"/>
      <c r="J3892" s="18"/>
      <c r="N3892" s="16"/>
      <c r="O3892" s="17"/>
      <c r="Q3892" s="22"/>
      <c r="R3892" s="23"/>
    </row>
    <row r="3893" spans="1:18" ht="12.75">
      <c r="A3893" s="22"/>
      <c r="D3893" s="19"/>
      <c r="H3893" s="18"/>
      <c r="J3893" s="18"/>
      <c r="N3893" s="16"/>
      <c r="O3893" s="17"/>
      <c r="Q3893" s="22"/>
      <c r="R3893" s="23"/>
    </row>
    <row r="3894" spans="1:18" ht="12.75">
      <c r="A3894" s="22"/>
      <c r="D3894" s="19"/>
      <c r="H3894" s="18"/>
      <c r="J3894" s="18"/>
      <c r="N3894" s="16"/>
      <c r="O3894" s="17"/>
      <c r="Q3894" s="22"/>
      <c r="R3894" s="23"/>
    </row>
    <row r="3895" spans="1:18" ht="12.75">
      <c r="A3895" s="22"/>
      <c r="D3895" s="19"/>
      <c r="H3895" s="18"/>
      <c r="J3895" s="18"/>
      <c r="N3895" s="16"/>
      <c r="O3895" s="17"/>
      <c r="Q3895" s="22"/>
      <c r="R3895" s="23"/>
    </row>
    <row r="3896" spans="1:18" ht="12.75">
      <c r="A3896" s="22"/>
      <c r="D3896" s="19"/>
      <c r="H3896" s="18"/>
      <c r="J3896" s="18"/>
      <c r="N3896" s="16"/>
      <c r="O3896" s="17"/>
      <c r="Q3896" s="22"/>
      <c r="R3896" s="23"/>
    </row>
    <row r="3897" spans="1:18" ht="12.75">
      <c r="A3897" s="22"/>
      <c r="D3897" s="19"/>
      <c r="H3897" s="18"/>
      <c r="J3897" s="18"/>
      <c r="N3897" s="16"/>
      <c r="O3897" s="17"/>
      <c r="Q3897" s="22"/>
      <c r="R3897" s="23"/>
    </row>
    <row r="3898" spans="1:18" ht="12.75">
      <c r="A3898" s="22"/>
      <c r="D3898" s="19"/>
      <c r="H3898" s="18"/>
      <c r="J3898" s="18"/>
      <c r="N3898" s="16"/>
      <c r="O3898" s="17"/>
      <c r="Q3898" s="22"/>
      <c r="R3898" s="23"/>
    </row>
    <row r="3899" spans="1:18" ht="12.75">
      <c r="A3899" s="22"/>
      <c r="D3899" s="19"/>
      <c r="H3899" s="18"/>
      <c r="J3899" s="18"/>
      <c r="N3899" s="16"/>
      <c r="O3899" s="17"/>
      <c r="Q3899" s="22"/>
      <c r="R3899" s="23"/>
    </row>
    <row r="3900" spans="1:18" ht="12.75">
      <c r="A3900" s="22"/>
      <c r="D3900" s="19"/>
      <c r="H3900" s="18"/>
      <c r="J3900" s="18"/>
      <c r="N3900" s="16"/>
      <c r="O3900" s="17"/>
      <c r="Q3900" s="22"/>
      <c r="R3900" s="23"/>
    </row>
    <row r="3901" spans="1:18" ht="12.75">
      <c r="A3901" s="22"/>
      <c r="D3901" s="19"/>
      <c r="H3901" s="18"/>
      <c r="J3901" s="18"/>
      <c r="N3901" s="16"/>
      <c r="O3901" s="17"/>
      <c r="Q3901" s="22"/>
      <c r="R3901" s="23"/>
    </row>
    <row r="3902" spans="1:18" ht="12.75">
      <c r="A3902" s="22"/>
      <c r="D3902" s="19"/>
      <c r="H3902" s="18"/>
      <c r="J3902" s="18"/>
      <c r="N3902" s="16"/>
      <c r="O3902" s="17"/>
      <c r="Q3902" s="22"/>
      <c r="R3902" s="23"/>
    </row>
    <row r="3903" spans="1:18" ht="12.75">
      <c r="A3903" s="22"/>
      <c r="D3903" s="19"/>
      <c r="H3903" s="18"/>
      <c r="J3903" s="18"/>
      <c r="N3903" s="16"/>
      <c r="O3903" s="17"/>
      <c r="Q3903" s="22"/>
      <c r="R3903" s="23"/>
    </row>
    <row r="3904" spans="1:18" ht="12.75">
      <c r="A3904" s="22"/>
      <c r="D3904" s="19"/>
      <c r="H3904" s="18"/>
      <c r="J3904" s="18"/>
      <c r="N3904" s="16"/>
      <c r="O3904" s="17"/>
      <c r="Q3904" s="22"/>
      <c r="R3904" s="23"/>
    </row>
    <row r="3905" spans="1:18" ht="12.75">
      <c r="A3905" s="22"/>
      <c r="D3905" s="19"/>
      <c r="H3905" s="18"/>
      <c r="J3905" s="18"/>
      <c r="N3905" s="16"/>
      <c r="O3905" s="17"/>
      <c r="Q3905" s="22"/>
      <c r="R3905" s="23"/>
    </row>
    <row r="3906" spans="1:18" ht="12.75">
      <c r="A3906" s="22"/>
      <c r="D3906" s="19"/>
      <c r="H3906" s="18"/>
      <c r="J3906" s="18"/>
      <c r="N3906" s="16"/>
      <c r="O3906" s="17"/>
      <c r="Q3906" s="22"/>
      <c r="R3906" s="23"/>
    </row>
    <row r="3907" spans="1:18" ht="12.75">
      <c r="A3907" s="22"/>
      <c r="D3907" s="19"/>
      <c r="H3907" s="18"/>
      <c r="J3907" s="18"/>
      <c r="N3907" s="16"/>
      <c r="O3907" s="17"/>
      <c r="Q3907" s="22"/>
      <c r="R3907" s="23"/>
    </row>
    <row r="3908" spans="1:18" ht="12.75">
      <c r="A3908" s="22"/>
      <c r="D3908" s="19"/>
      <c r="H3908" s="18"/>
      <c r="J3908" s="18"/>
      <c r="N3908" s="16"/>
      <c r="O3908" s="17"/>
      <c r="Q3908" s="22"/>
      <c r="R3908" s="23"/>
    </row>
    <row r="3909" spans="1:18" ht="12.75">
      <c r="A3909" s="22"/>
      <c r="D3909" s="19"/>
      <c r="H3909" s="18"/>
      <c r="J3909" s="18"/>
      <c r="N3909" s="16"/>
      <c r="O3909" s="17"/>
      <c r="Q3909" s="22"/>
      <c r="R3909" s="23"/>
    </row>
    <row r="3910" spans="1:18" ht="12.75">
      <c r="A3910" s="22"/>
      <c r="D3910" s="19"/>
      <c r="H3910" s="18"/>
      <c r="J3910" s="18"/>
      <c r="N3910" s="16"/>
      <c r="O3910" s="17"/>
      <c r="Q3910" s="22"/>
      <c r="R3910" s="23"/>
    </row>
    <row r="3911" spans="1:18" ht="12.75">
      <c r="A3911" s="22"/>
      <c r="D3911" s="19"/>
      <c r="H3911" s="18"/>
      <c r="J3911" s="18"/>
      <c r="N3911" s="16"/>
      <c r="O3911" s="17"/>
      <c r="Q3911" s="22"/>
      <c r="R3911" s="23"/>
    </row>
    <row r="3912" spans="1:18" ht="12.75">
      <c r="A3912" s="22"/>
      <c r="D3912" s="19"/>
      <c r="H3912" s="18"/>
      <c r="J3912" s="18"/>
      <c r="N3912" s="16"/>
      <c r="O3912" s="17"/>
      <c r="Q3912" s="22"/>
      <c r="R3912" s="23"/>
    </row>
    <row r="3913" spans="1:18" ht="12.75">
      <c r="A3913" s="22"/>
      <c r="D3913" s="19"/>
      <c r="H3913" s="18"/>
      <c r="J3913" s="18"/>
      <c r="N3913" s="16"/>
      <c r="O3913" s="17"/>
      <c r="Q3913" s="22"/>
      <c r="R3913" s="23"/>
    </row>
    <row r="3914" spans="1:18" ht="12.75">
      <c r="A3914" s="22"/>
      <c r="D3914" s="19"/>
      <c r="H3914" s="18"/>
      <c r="J3914" s="18"/>
      <c r="N3914" s="16"/>
      <c r="O3914" s="17"/>
      <c r="Q3914" s="22"/>
      <c r="R3914" s="23"/>
    </row>
    <row r="3915" spans="1:18" ht="12.75">
      <c r="A3915" s="22"/>
      <c r="D3915" s="19"/>
      <c r="H3915" s="18"/>
      <c r="J3915" s="18"/>
      <c r="N3915" s="16"/>
      <c r="O3915" s="17"/>
      <c r="Q3915" s="22"/>
      <c r="R3915" s="23"/>
    </row>
    <row r="3916" spans="1:18" ht="12.75">
      <c r="A3916" s="22"/>
      <c r="D3916" s="19"/>
      <c r="H3916" s="18"/>
      <c r="J3916" s="18"/>
      <c r="N3916" s="16"/>
      <c r="O3916" s="17"/>
      <c r="Q3916" s="22"/>
      <c r="R3916" s="23"/>
    </row>
    <row r="3917" spans="1:18" ht="12.75">
      <c r="A3917" s="22"/>
      <c r="D3917" s="19"/>
      <c r="H3917" s="18"/>
      <c r="J3917" s="18"/>
      <c r="N3917" s="16"/>
      <c r="O3917" s="17"/>
      <c r="Q3917" s="22"/>
      <c r="R3917" s="23"/>
    </row>
    <row r="3918" spans="1:18" ht="12.75">
      <c r="A3918" s="22"/>
      <c r="D3918" s="19"/>
      <c r="H3918" s="18"/>
      <c r="J3918" s="18"/>
      <c r="N3918" s="16"/>
      <c r="O3918" s="17"/>
      <c r="Q3918" s="22"/>
      <c r="R3918" s="23"/>
    </row>
    <row r="3919" spans="1:18" ht="12.75">
      <c r="A3919" s="22"/>
      <c r="D3919" s="19"/>
      <c r="H3919" s="18"/>
      <c r="J3919" s="18"/>
      <c r="N3919" s="16"/>
      <c r="O3919" s="17"/>
      <c r="Q3919" s="22"/>
      <c r="R3919" s="23"/>
    </row>
    <row r="3920" spans="1:18" ht="12.75">
      <c r="A3920" s="22"/>
      <c r="D3920" s="19"/>
      <c r="H3920" s="18"/>
      <c r="J3920" s="18"/>
      <c r="N3920" s="16"/>
      <c r="O3920" s="17"/>
      <c r="Q3920" s="22"/>
      <c r="R3920" s="23"/>
    </row>
    <row r="3921" spans="1:18" ht="12.75">
      <c r="A3921" s="22"/>
      <c r="D3921" s="19"/>
      <c r="H3921" s="18"/>
      <c r="J3921" s="18"/>
      <c r="N3921" s="16"/>
      <c r="O3921" s="17"/>
      <c r="Q3921" s="22"/>
      <c r="R3921" s="23"/>
    </row>
    <row r="3922" spans="1:18" ht="12.75">
      <c r="A3922" s="22"/>
      <c r="D3922" s="19"/>
      <c r="H3922" s="18"/>
      <c r="J3922" s="18"/>
      <c r="N3922" s="16"/>
      <c r="O3922" s="17"/>
      <c r="Q3922" s="22"/>
      <c r="R3922" s="23"/>
    </row>
    <row r="3923" spans="1:18" ht="12.75">
      <c r="A3923" s="22"/>
      <c r="D3923" s="19"/>
      <c r="H3923" s="18"/>
      <c r="J3923" s="18"/>
      <c r="N3923" s="16"/>
      <c r="O3923" s="17"/>
      <c r="Q3923" s="22"/>
      <c r="R3923" s="23"/>
    </row>
    <row r="3924" spans="1:18" ht="12.75">
      <c r="A3924" s="22"/>
      <c r="D3924" s="19"/>
      <c r="H3924" s="18"/>
      <c r="J3924" s="18"/>
      <c r="N3924" s="16"/>
      <c r="O3924" s="17"/>
      <c r="Q3924" s="22"/>
      <c r="R3924" s="23"/>
    </row>
    <row r="3925" spans="1:18" ht="12.75">
      <c r="A3925" s="22"/>
      <c r="D3925" s="19"/>
      <c r="H3925" s="18"/>
      <c r="J3925" s="18"/>
      <c r="N3925" s="16"/>
      <c r="O3925" s="17"/>
      <c r="Q3925" s="22"/>
      <c r="R3925" s="23"/>
    </row>
    <row r="3926" spans="1:18" ht="12.75">
      <c r="A3926" s="22"/>
      <c r="D3926" s="19"/>
      <c r="H3926" s="18"/>
      <c r="J3926" s="18"/>
      <c r="N3926" s="16"/>
      <c r="O3926" s="17"/>
      <c r="Q3926" s="22"/>
      <c r="R3926" s="23"/>
    </row>
    <row r="3927" spans="1:18" ht="12.75">
      <c r="A3927" s="22"/>
      <c r="D3927" s="19"/>
      <c r="H3927" s="18"/>
      <c r="J3927" s="18"/>
      <c r="N3927" s="16"/>
      <c r="O3927" s="17"/>
      <c r="Q3927" s="22"/>
      <c r="R3927" s="23"/>
    </row>
    <row r="3928" spans="1:18" ht="12.75">
      <c r="A3928" s="22"/>
      <c r="D3928" s="19"/>
      <c r="H3928" s="18"/>
      <c r="J3928" s="18"/>
      <c r="N3928" s="16"/>
      <c r="O3928" s="17"/>
      <c r="Q3928" s="22"/>
      <c r="R3928" s="23"/>
    </row>
    <row r="3929" spans="1:18" ht="12.75">
      <c r="A3929" s="22"/>
      <c r="D3929" s="19"/>
      <c r="H3929" s="18"/>
      <c r="J3929" s="18"/>
      <c r="N3929" s="16"/>
      <c r="O3929" s="17"/>
      <c r="Q3929" s="22"/>
      <c r="R3929" s="23"/>
    </row>
    <row r="3930" spans="1:18" ht="12.75">
      <c r="A3930" s="22"/>
      <c r="D3930" s="19"/>
      <c r="H3930" s="18"/>
      <c r="J3930" s="18"/>
      <c r="N3930" s="16"/>
      <c r="O3930" s="17"/>
      <c r="Q3930" s="22"/>
      <c r="R3930" s="23"/>
    </row>
    <row r="3931" spans="1:18" ht="12.75">
      <c r="A3931" s="22"/>
      <c r="D3931" s="19"/>
      <c r="H3931" s="18"/>
      <c r="J3931" s="18"/>
      <c r="N3931" s="16"/>
      <c r="O3931" s="17"/>
      <c r="Q3931" s="22"/>
      <c r="R3931" s="23"/>
    </row>
    <row r="3932" spans="1:18" ht="12.75">
      <c r="A3932" s="22"/>
      <c r="D3932" s="19"/>
      <c r="H3932" s="18"/>
      <c r="J3932" s="18"/>
      <c r="N3932" s="16"/>
      <c r="O3932" s="17"/>
      <c r="Q3932" s="22"/>
      <c r="R3932" s="23"/>
    </row>
    <row r="3933" spans="1:18" ht="12.75">
      <c r="A3933" s="22"/>
      <c r="D3933" s="19"/>
      <c r="H3933" s="18"/>
      <c r="J3933" s="18"/>
      <c r="N3933" s="16"/>
      <c r="O3933" s="17"/>
      <c r="Q3933" s="22"/>
      <c r="R3933" s="23"/>
    </row>
    <row r="3934" spans="1:18" ht="12.75">
      <c r="A3934" s="22"/>
      <c r="D3934" s="19"/>
      <c r="H3934" s="18"/>
      <c r="J3934" s="18"/>
      <c r="N3934" s="16"/>
      <c r="O3934" s="17"/>
      <c r="Q3934" s="22"/>
      <c r="R3934" s="23"/>
    </row>
    <row r="3935" spans="1:18" ht="12.75">
      <c r="A3935" s="22"/>
      <c r="D3935" s="19"/>
      <c r="H3935" s="18"/>
      <c r="J3935" s="18"/>
      <c r="N3935" s="16"/>
      <c r="O3935" s="17"/>
      <c r="Q3935" s="22"/>
      <c r="R3935" s="23"/>
    </row>
    <row r="3936" spans="1:18" ht="12.75">
      <c r="A3936" s="22"/>
      <c r="D3936" s="19"/>
      <c r="H3936" s="18"/>
      <c r="J3936" s="18"/>
      <c r="N3936" s="16"/>
      <c r="O3936" s="17"/>
      <c r="Q3936" s="22"/>
      <c r="R3936" s="23"/>
    </row>
    <row r="3937" spans="1:18" ht="12.75">
      <c r="A3937" s="22"/>
      <c r="D3937" s="19"/>
      <c r="H3937" s="18"/>
      <c r="J3937" s="18"/>
      <c r="N3937" s="16"/>
      <c r="O3937" s="17"/>
      <c r="Q3937" s="22"/>
      <c r="R3937" s="23"/>
    </row>
    <row r="3938" spans="1:18" ht="12.75">
      <c r="A3938" s="22"/>
      <c r="D3938" s="19"/>
      <c r="H3938" s="18"/>
      <c r="J3938" s="18"/>
      <c r="N3938" s="16"/>
      <c r="O3938" s="17"/>
      <c r="Q3938" s="22"/>
      <c r="R3938" s="23"/>
    </row>
    <row r="3939" spans="1:18" ht="12.75">
      <c r="A3939" s="22"/>
      <c r="D3939" s="19"/>
      <c r="H3939" s="18"/>
      <c r="J3939" s="18"/>
      <c r="N3939" s="16"/>
      <c r="O3939" s="17"/>
      <c r="Q3939" s="22"/>
      <c r="R3939" s="23"/>
    </row>
    <row r="3940" spans="1:18" ht="12.75">
      <c r="A3940" s="22"/>
      <c r="D3940" s="19"/>
      <c r="H3940" s="18"/>
      <c r="J3940" s="18"/>
      <c r="N3940" s="16"/>
      <c r="O3940" s="17"/>
      <c r="Q3940" s="22"/>
      <c r="R3940" s="23"/>
    </row>
    <row r="3941" spans="1:18" ht="12.75">
      <c r="A3941" s="22"/>
      <c r="D3941" s="19"/>
      <c r="H3941" s="18"/>
      <c r="J3941" s="18"/>
      <c r="N3941" s="16"/>
      <c r="O3941" s="17"/>
      <c r="Q3941" s="22"/>
      <c r="R3941" s="23"/>
    </row>
    <row r="3942" spans="1:18" ht="12.75">
      <c r="A3942" s="22"/>
      <c r="D3942" s="19"/>
      <c r="H3942" s="18"/>
      <c r="J3942" s="18"/>
      <c r="N3942" s="16"/>
      <c r="O3942" s="17"/>
      <c r="Q3942" s="22"/>
      <c r="R3942" s="23"/>
    </row>
    <row r="3943" spans="1:18" ht="12.75">
      <c r="A3943" s="22"/>
      <c r="D3943" s="19"/>
      <c r="H3943" s="18"/>
      <c r="J3943" s="18"/>
      <c r="N3943" s="16"/>
      <c r="O3943" s="17"/>
      <c r="Q3943" s="22"/>
      <c r="R3943" s="23"/>
    </row>
    <row r="3944" spans="1:18" ht="12.75">
      <c r="A3944" s="22"/>
      <c r="D3944" s="19"/>
      <c r="H3944" s="18"/>
      <c r="J3944" s="18"/>
      <c r="N3944" s="16"/>
      <c r="O3944" s="17"/>
      <c r="Q3944" s="22"/>
      <c r="R3944" s="23"/>
    </row>
    <row r="3945" spans="1:18" ht="12.75">
      <c r="A3945" s="22"/>
      <c r="D3945" s="19"/>
      <c r="H3945" s="18"/>
      <c r="J3945" s="18"/>
      <c r="N3945" s="16"/>
      <c r="O3945" s="17"/>
      <c r="Q3945" s="22"/>
      <c r="R3945" s="23"/>
    </row>
    <row r="3946" spans="1:18" ht="12.75">
      <c r="A3946" s="22"/>
      <c r="D3946" s="19"/>
      <c r="H3946" s="18"/>
      <c r="J3946" s="18"/>
      <c r="N3946" s="16"/>
      <c r="O3946" s="17"/>
      <c r="Q3946" s="22"/>
      <c r="R3946" s="23"/>
    </row>
    <row r="3947" spans="1:18" ht="12.75">
      <c r="A3947" s="22"/>
      <c r="D3947" s="19"/>
      <c r="H3947" s="18"/>
      <c r="J3947" s="18"/>
      <c r="N3947" s="16"/>
      <c r="O3947" s="17"/>
      <c r="Q3947" s="22"/>
      <c r="R3947" s="23"/>
    </row>
    <row r="3948" spans="1:18" ht="12.75">
      <c r="A3948" s="22"/>
      <c r="D3948" s="19"/>
      <c r="H3948" s="18"/>
      <c r="J3948" s="18"/>
      <c r="N3948" s="16"/>
      <c r="O3948" s="17"/>
      <c r="Q3948" s="22"/>
      <c r="R3948" s="23"/>
    </row>
    <row r="3949" spans="1:18" ht="12.75">
      <c r="A3949" s="22"/>
      <c r="D3949" s="19"/>
      <c r="H3949" s="18"/>
      <c r="J3949" s="18"/>
      <c r="N3949" s="16"/>
      <c r="O3949" s="17"/>
      <c r="Q3949" s="22"/>
      <c r="R3949" s="23"/>
    </row>
    <row r="3950" spans="1:18" ht="12.75">
      <c r="A3950" s="22"/>
      <c r="D3950" s="19"/>
      <c r="H3950" s="18"/>
      <c r="J3950" s="18"/>
      <c r="N3950" s="16"/>
      <c r="O3950" s="17"/>
      <c r="Q3950" s="22"/>
      <c r="R3950" s="23"/>
    </row>
    <row r="3951" spans="1:18" ht="12.75">
      <c r="A3951" s="22"/>
      <c r="D3951" s="19"/>
      <c r="H3951" s="18"/>
      <c r="J3951" s="18"/>
      <c r="N3951" s="16"/>
      <c r="O3951" s="17"/>
      <c r="Q3951" s="22"/>
      <c r="R3951" s="23"/>
    </row>
    <row r="3952" spans="1:18" ht="12.75">
      <c r="A3952" s="22"/>
      <c r="D3952" s="19"/>
      <c r="H3952" s="18"/>
      <c r="J3952" s="18"/>
      <c r="N3952" s="16"/>
      <c r="O3952" s="17"/>
      <c r="Q3952" s="22"/>
      <c r="R3952" s="23"/>
    </row>
    <row r="3953" spans="1:18" ht="12.75">
      <c r="A3953" s="22"/>
      <c r="D3953" s="19"/>
      <c r="H3953" s="18"/>
      <c r="J3953" s="18"/>
      <c r="N3953" s="16"/>
      <c r="O3953" s="17"/>
      <c r="Q3953" s="22"/>
      <c r="R3953" s="23"/>
    </row>
    <row r="3954" spans="1:18" ht="12.75">
      <c r="A3954" s="22"/>
      <c r="D3954" s="19"/>
      <c r="H3954" s="18"/>
      <c r="J3954" s="18"/>
      <c r="N3954" s="16"/>
      <c r="O3954" s="17"/>
      <c r="Q3954" s="22"/>
      <c r="R3954" s="23"/>
    </row>
    <row r="3955" spans="1:18" ht="12.75">
      <c r="A3955" s="22"/>
      <c r="D3955" s="19"/>
      <c r="H3955" s="18"/>
      <c r="J3955" s="18"/>
      <c r="N3955" s="16"/>
      <c r="O3955" s="17"/>
      <c r="Q3955" s="22"/>
      <c r="R3955" s="23"/>
    </row>
    <row r="3956" spans="1:18" ht="12.75">
      <c r="A3956" s="22"/>
      <c r="D3956" s="19"/>
      <c r="H3956" s="18"/>
      <c r="J3956" s="18"/>
      <c r="N3956" s="16"/>
      <c r="O3956" s="17"/>
      <c r="Q3956" s="22"/>
      <c r="R3956" s="23"/>
    </row>
    <row r="3957" spans="1:18" ht="12.75">
      <c r="A3957" s="22"/>
      <c r="D3957" s="19"/>
      <c r="H3957" s="18"/>
      <c r="J3957" s="18"/>
      <c r="N3957" s="16"/>
      <c r="O3957" s="17"/>
      <c r="Q3957" s="22"/>
      <c r="R3957" s="23"/>
    </row>
    <row r="3958" spans="1:18" ht="12.75">
      <c r="A3958" s="22"/>
      <c r="D3958" s="19"/>
      <c r="H3958" s="18"/>
      <c r="J3958" s="18"/>
      <c r="N3958" s="16"/>
      <c r="O3958" s="17"/>
      <c r="Q3958" s="22"/>
      <c r="R3958" s="23"/>
    </row>
    <row r="3959" spans="1:18" ht="12.75">
      <c r="A3959" s="22"/>
      <c r="D3959" s="19"/>
      <c r="H3959" s="18"/>
      <c r="J3959" s="18"/>
      <c r="N3959" s="16"/>
      <c r="O3959" s="17"/>
      <c r="Q3959" s="22"/>
      <c r="R3959" s="23"/>
    </row>
    <row r="3960" spans="1:18" ht="12.75">
      <c r="A3960" s="22"/>
      <c r="D3960" s="19"/>
      <c r="H3960" s="18"/>
      <c r="J3960" s="18"/>
      <c r="N3960" s="16"/>
      <c r="O3960" s="17"/>
      <c r="Q3960" s="22"/>
      <c r="R3960" s="23"/>
    </row>
    <row r="3961" spans="1:18" ht="12.75">
      <c r="A3961" s="22"/>
      <c r="D3961" s="19"/>
      <c r="H3961" s="18"/>
      <c r="J3961" s="18"/>
      <c r="N3961" s="16"/>
      <c r="O3961" s="17"/>
      <c r="Q3961" s="22"/>
      <c r="R3961" s="23"/>
    </row>
    <row r="3962" spans="1:18" ht="12.75">
      <c r="A3962" s="22"/>
      <c r="D3962" s="19"/>
      <c r="H3962" s="18"/>
      <c r="J3962" s="18"/>
      <c r="N3962" s="16"/>
      <c r="O3962" s="17"/>
      <c r="Q3962" s="22"/>
      <c r="R3962" s="23"/>
    </row>
    <row r="3963" spans="1:18" ht="12.75">
      <c r="A3963" s="22"/>
      <c r="D3963" s="19"/>
      <c r="H3963" s="18"/>
      <c r="J3963" s="18"/>
      <c r="N3963" s="16"/>
      <c r="O3963" s="17"/>
      <c r="Q3963" s="22"/>
      <c r="R3963" s="23"/>
    </row>
    <row r="3964" spans="1:18" ht="12.75">
      <c r="A3964" s="22"/>
      <c r="D3964" s="19"/>
      <c r="H3964" s="18"/>
      <c r="J3964" s="18"/>
      <c r="N3964" s="16"/>
      <c r="O3964" s="17"/>
      <c r="Q3964" s="22"/>
      <c r="R3964" s="23"/>
    </row>
    <row r="3965" spans="1:18" ht="12.75">
      <c r="A3965" s="22"/>
      <c r="D3965" s="19"/>
      <c r="H3965" s="18"/>
      <c r="J3965" s="18"/>
      <c r="N3965" s="16"/>
      <c r="O3965" s="17"/>
      <c r="Q3965" s="22"/>
      <c r="R3965" s="23"/>
    </row>
    <row r="3966" spans="1:18" ht="12.75">
      <c r="A3966" s="22"/>
      <c r="D3966" s="19"/>
      <c r="H3966" s="18"/>
      <c r="J3966" s="18"/>
      <c r="N3966" s="16"/>
      <c r="O3966" s="17"/>
      <c r="Q3966" s="22"/>
      <c r="R3966" s="23"/>
    </row>
    <row r="3967" spans="1:18" ht="12.75">
      <c r="A3967" s="22"/>
      <c r="D3967" s="19"/>
      <c r="H3967" s="18"/>
      <c r="J3967" s="18"/>
      <c r="N3967" s="16"/>
      <c r="O3967" s="17"/>
      <c r="Q3967" s="22"/>
      <c r="R3967" s="23"/>
    </row>
    <row r="3968" spans="1:18" ht="12.75">
      <c r="A3968" s="22"/>
      <c r="D3968" s="19"/>
      <c r="H3968" s="18"/>
      <c r="J3968" s="18"/>
      <c r="N3968" s="16"/>
      <c r="O3968" s="17"/>
      <c r="Q3968" s="22"/>
      <c r="R3968" s="23"/>
    </row>
    <row r="3969" spans="1:18" ht="12.75">
      <c r="A3969" s="22"/>
      <c r="D3969" s="19"/>
      <c r="H3969" s="18"/>
      <c r="J3969" s="18"/>
      <c r="N3969" s="16"/>
      <c r="O3969" s="17"/>
      <c r="Q3969" s="22"/>
      <c r="R3969" s="23"/>
    </row>
    <row r="3970" spans="1:18" ht="12.75">
      <c r="A3970" s="22"/>
      <c r="D3970" s="19"/>
      <c r="H3970" s="18"/>
      <c r="J3970" s="18"/>
      <c r="N3970" s="16"/>
      <c r="O3970" s="17"/>
      <c r="Q3970" s="22"/>
      <c r="R3970" s="23"/>
    </row>
    <row r="3971" spans="1:18" ht="12.75">
      <c r="A3971" s="22"/>
      <c r="D3971" s="19"/>
      <c r="H3971" s="18"/>
      <c r="J3971" s="18"/>
      <c r="N3971" s="16"/>
      <c r="O3971" s="17"/>
      <c r="Q3971" s="22"/>
      <c r="R3971" s="23"/>
    </row>
    <row r="3972" spans="1:18" ht="12.75">
      <c r="A3972" s="22"/>
      <c r="D3972" s="19"/>
      <c r="H3972" s="18"/>
      <c r="J3972" s="18"/>
      <c r="N3972" s="16"/>
      <c r="O3972" s="17"/>
      <c r="Q3972" s="22"/>
      <c r="R3972" s="23"/>
    </row>
    <row r="3973" spans="1:18" ht="12.75">
      <c r="A3973" s="22"/>
      <c r="D3973" s="19"/>
      <c r="H3973" s="18"/>
      <c r="J3973" s="18"/>
      <c r="N3973" s="16"/>
      <c r="O3973" s="17"/>
      <c r="Q3973" s="22"/>
      <c r="R3973" s="23"/>
    </row>
    <row r="3974" spans="1:18" ht="12.75">
      <c r="A3974" s="22"/>
      <c r="D3974" s="19"/>
      <c r="H3974" s="18"/>
      <c r="J3974" s="18"/>
      <c r="N3974" s="16"/>
      <c r="O3974" s="17"/>
      <c r="Q3974" s="22"/>
      <c r="R3974" s="23"/>
    </row>
    <row r="3975" spans="1:18" ht="12.75">
      <c r="A3975" s="22"/>
      <c r="D3975" s="19"/>
      <c r="H3975" s="18"/>
      <c r="J3975" s="18"/>
      <c r="N3975" s="16"/>
      <c r="O3975" s="17"/>
      <c r="Q3975" s="22"/>
      <c r="R3975" s="23"/>
    </row>
    <row r="3976" spans="1:18" ht="12.75">
      <c r="A3976" s="22"/>
      <c r="D3976" s="19"/>
      <c r="H3976" s="18"/>
      <c r="J3976" s="18"/>
      <c r="N3976" s="16"/>
      <c r="O3976" s="17"/>
      <c r="Q3976" s="22"/>
      <c r="R3976" s="23"/>
    </row>
    <row r="3977" spans="1:18" ht="12.75">
      <c r="A3977" s="22"/>
      <c r="D3977" s="19"/>
      <c r="H3977" s="18"/>
      <c r="J3977" s="18"/>
      <c r="N3977" s="16"/>
      <c r="O3977" s="17"/>
      <c r="Q3977" s="22"/>
      <c r="R3977" s="23"/>
    </row>
    <row r="3978" spans="1:18" ht="12.75">
      <c r="A3978" s="22"/>
      <c r="D3978" s="19"/>
      <c r="H3978" s="18"/>
      <c r="J3978" s="18"/>
      <c r="N3978" s="16"/>
      <c r="O3978" s="17"/>
      <c r="Q3978" s="22"/>
      <c r="R3978" s="23"/>
    </row>
    <row r="3979" spans="1:18" ht="12.75">
      <c r="A3979" s="22"/>
      <c r="D3979" s="19"/>
      <c r="H3979" s="18"/>
      <c r="J3979" s="18"/>
      <c r="N3979" s="16"/>
      <c r="O3979" s="17"/>
      <c r="Q3979" s="22"/>
      <c r="R3979" s="23"/>
    </row>
    <row r="3980" spans="1:18" ht="12.75">
      <c r="A3980" s="22"/>
      <c r="D3980" s="19"/>
      <c r="H3980" s="18"/>
      <c r="J3980" s="18"/>
      <c r="N3980" s="16"/>
      <c r="O3980" s="17"/>
      <c r="Q3980" s="22"/>
      <c r="R3980" s="23"/>
    </row>
    <row r="3981" spans="1:18" ht="12.75">
      <c r="A3981" s="22"/>
      <c r="D3981" s="19"/>
      <c r="H3981" s="18"/>
      <c r="J3981" s="18"/>
      <c r="N3981" s="16"/>
      <c r="O3981" s="17"/>
      <c r="Q3981" s="22"/>
      <c r="R3981" s="23"/>
    </row>
    <row r="3982" spans="1:18" ht="12.75">
      <c r="A3982" s="22"/>
      <c r="D3982" s="19"/>
      <c r="H3982" s="18"/>
      <c r="J3982" s="18"/>
      <c r="N3982" s="16"/>
      <c r="O3982" s="17"/>
      <c r="Q3982" s="22"/>
      <c r="R3982" s="23"/>
    </row>
    <row r="3983" spans="1:18" ht="12.75">
      <c r="A3983" s="22"/>
      <c r="D3983" s="19"/>
      <c r="H3983" s="18"/>
      <c r="J3983" s="18"/>
      <c r="N3983" s="16"/>
      <c r="O3983" s="17"/>
      <c r="Q3983" s="22"/>
      <c r="R3983" s="23"/>
    </row>
    <row r="3984" spans="1:18" ht="12.75">
      <c r="A3984" s="22"/>
      <c r="D3984" s="19"/>
      <c r="H3984" s="18"/>
      <c r="J3984" s="18"/>
      <c r="N3984" s="16"/>
      <c r="O3984" s="17"/>
      <c r="Q3984" s="22"/>
      <c r="R3984" s="23"/>
    </row>
    <row r="3985" spans="1:18" ht="12.75">
      <c r="A3985" s="22"/>
      <c r="D3985" s="19"/>
      <c r="H3985" s="18"/>
      <c r="J3985" s="18"/>
      <c r="N3985" s="16"/>
      <c r="O3985" s="17"/>
      <c r="Q3985" s="22"/>
      <c r="R3985" s="23"/>
    </row>
    <row r="3986" spans="1:18" ht="12.75">
      <c r="A3986" s="22"/>
      <c r="D3986" s="19"/>
      <c r="H3986" s="18"/>
      <c r="J3986" s="18"/>
      <c r="N3986" s="16"/>
      <c r="O3986" s="17"/>
      <c r="Q3986" s="22"/>
      <c r="R3986" s="23"/>
    </row>
    <row r="3987" spans="1:18" ht="12.75">
      <c r="A3987" s="22"/>
      <c r="D3987" s="19"/>
      <c r="H3987" s="18"/>
      <c r="J3987" s="18"/>
      <c r="N3987" s="16"/>
      <c r="O3987" s="17"/>
      <c r="Q3987" s="22"/>
      <c r="R3987" s="23"/>
    </row>
    <row r="3988" spans="1:18" ht="12.75">
      <c r="A3988" s="22"/>
      <c r="D3988" s="19"/>
      <c r="H3988" s="18"/>
      <c r="J3988" s="18"/>
      <c r="N3988" s="16"/>
      <c r="O3988" s="17"/>
      <c r="Q3988" s="22"/>
      <c r="R3988" s="23"/>
    </row>
    <row r="3989" spans="1:18" ht="12.75">
      <c r="A3989" s="22"/>
      <c r="D3989" s="19"/>
      <c r="H3989" s="18"/>
      <c r="J3989" s="18"/>
      <c r="N3989" s="16"/>
      <c r="O3989" s="17"/>
      <c r="Q3989" s="22"/>
      <c r="R3989" s="23"/>
    </row>
    <row r="3990" spans="1:18" ht="12.75">
      <c r="A3990" s="22"/>
      <c r="D3990" s="19"/>
      <c r="H3990" s="18"/>
      <c r="J3990" s="18"/>
      <c r="N3990" s="16"/>
      <c r="O3990" s="17"/>
      <c r="Q3990" s="22"/>
      <c r="R3990" s="23"/>
    </row>
    <row r="3991" spans="1:18" ht="12.75">
      <c r="A3991" s="22"/>
      <c r="D3991" s="19"/>
      <c r="H3991" s="18"/>
      <c r="J3991" s="18"/>
      <c r="N3991" s="16"/>
      <c r="O3991" s="17"/>
      <c r="Q3991" s="22"/>
      <c r="R3991" s="23"/>
    </row>
    <row r="3992" spans="1:18" ht="12.75">
      <c r="A3992" s="22"/>
      <c r="D3992" s="19"/>
      <c r="H3992" s="18"/>
      <c r="J3992" s="18"/>
      <c r="N3992" s="16"/>
      <c r="O3992" s="17"/>
      <c r="Q3992" s="22"/>
      <c r="R3992" s="23"/>
    </row>
    <row r="3993" spans="1:18" ht="12.75">
      <c r="A3993" s="22"/>
      <c r="D3993" s="19"/>
      <c r="H3993" s="18"/>
      <c r="J3993" s="18"/>
      <c r="N3993" s="16"/>
      <c r="O3993" s="17"/>
      <c r="Q3993" s="22"/>
      <c r="R3993" s="23"/>
    </row>
    <row r="3994" spans="1:18" ht="12.75">
      <c r="A3994" s="22"/>
      <c r="D3994" s="19"/>
      <c r="H3994" s="18"/>
      <c r="J3994" s="18"/>
      <c r="N3994" s="16"/>
      <c r="O3994" s="17"/>
      <c r="Q3994" s="22"/>
      <c r="R3994" s="23"/>
    </row>
    <row r="3995" spans="1:18" ht="12.75">
      <c r="A3995" s="22"/>
      <c r="D3995" s="19"/>
      <c r="H3995" s="18"/>
      <c r="J3995" s="18"/>
      <c r="N3995" s="16"/>
      <c r="O3995" s="17"/>
      <c r="Q3995" s="22"/>
      <c r="R3995" s="23"/>
    </row>
    <row r="3996" spans="1:18" ht="12.75">
      <c r="A3996" s="22"/>
      <c r="D3996" s="19"/>
      <c r="H3996" s="18"/>
      <c r="J3996" s="18"/>
      <c r="N3996" s="16"/>
      <c r="O3996" s="17"/>
      <c r="Q3996" s="22"/>
      <c r="R3996" s="23"/>
    </row>
    <row r="3997" spans="1:18" ht="12.75">
      <c r="A3997" s="22"/>
      <c r="D3997" s="19"/>
      <c r="H3997" s="18"/>
      <c r="J3997" s="18"/>
      <c r="N3997" s="16"/>
      <c r="O3997" s="17"/>
      <c r="Q3997" s="22"/>
      <c r="R3997" s="23"/>
    </row>
    <row r="3998" spans="1:18" ht="12.75">
      <c r="A3998" s="22"/>
      <c r="D3998" s="19"/>
      <c r="H3998" s="18"/>
      <c r="J3998" s="18"/>
      <c r="N3998" s="16"/>
      <c r="O3998" s="17"/>
      <c r="Q3998" s="22"/>
      <c r="R3998" s="23"/>
    </row>
    <row r="3999" spans="1:18" ht="12.75">
      <c r="A3999" s="22"/>
      <c r="D3999" s="19"/>
      <c r="H3999" s="18"/>
      <c r="J3999" s="18"/>
      <c r="N3999" s="16"/>
      <c r="O3999" s="17"/>
      <c r="Q3999" s="22"/>
      <c r="R3999" s="23"/>
    </row>
    <row r="4000" spans="1:18" ht="12.75">
      <c r="A4000" s="22"/>
      <c r="D4000" s="19"/>
      <c r="H4000" s="18"/>
      <c r="J4000" s="18"/>
      <c r="N4000" s="16"/>
      <c r="O4000" s="17"/>
      <c r="Q4000" s="22"/>
      <c r="R4000" s="23"/>
    </row>
    <row r="4001" spans="1:18" ht="12.75">
      <c r="A4001" s="22"/>
      <c r="D4001" s="19"/>
      <c r="H4001" s="18"/>
      <c r="J4001" s="18"/>
      <c r="N4001" s="16"/>
      <c r="O4001" s="17"/>
      <c r="Q4001" s="22"/>
      <c r="R4001" s="23"/>
    </row>
    <row r="4002" spans="1:18" ht="12.75">
      <c r="A4002" s="22"/>
      <c r="D4002" s="19"/>
      <c r="H4002" s="18"/>
      <c r="J4002" s="18"/>
      <c r="N4002" s="16"/>
      <c r="O4002" s="17"/>
      <c r="Q4002" s="22"/>
      <c r="R4002" s="23"/>
    </row>
    <row r="4003" spans="1:18" ht="12.75">
      <c r="A4003" s="22"/>
      <c r="D4003" s="19"/>
      <c r="H4003" s="18"/>
      <c r="J4003" s="18"/>
      <c r="N4003" s="16"/>
      <c r="O4003" s="17"/>
      <c r="Q4003" s="22"/>
      <c r="R4003" s="23"/>
    </row>
    <row r="4004" spans="1:18" ht="12.75">
      <c r="A4004" s="22"/>
      <c r="D4004" s="19"/>
      <c r="H4004" s="18"/>
      <c r="J4004" s="18"/>
      <c r="N4004" s="16"/>
      <c r="O4004" s="17"/>
      <c r="Q4004" s="22"/>
      <c r="R4004" s="23"/>
    </row>
    <row r="4005" spans="1:18" ht="12.75">
      <c r="A4005" s="22"/>
      <c r="D4005" s="19"/>
      <c r="H4005" s="18"/>
      <c r="J4005" s="18"/>
      <c r="N4005" s="16"/>
      <c r="O4005" s="17"/>
      <c r="Q4005" s="22"/>
      <c r="R4005" s="23"/>
    </row>
    <row r="4006" spans="1:18" ht="12.75">
      <c r="A4006" s="22"/>
      <c r="D4006" s="19"/>
      <c r="H4006" s="18"/>
      <c r="J4006" s="18"/>
      <c r="N4006" s="16"/>
      <c r="O4006" s="17"/>
      <c r="Q4006" s="22"/>
      <c r="R4006" s="23"/>
    </row>
    <row r="4007" spans="1:18" ht="12.75">
      <c r="A4007" s="22"/>
      <c r="D4007" s="19"/>
      <c r="H4007" s="18"/>
      <c r="J4007" s="18"/>
      <c r="N4007" s="16"/>
      <c r="O4007" s="17"/>
      <c r="Q4007" s="22"/>
      <c r="R4007" s="23"/>
    </row>
    <row r="4008" spans="1:18" ht="12.75">
      <c r="A4008" s="22"/>
      <c r="D4008" s="19"/>
      <c r="H4008" s="18"/>
      <c r="J4008" s="18"/>
      <c r="N4008" s="16"/>
      <c r="O4008" s="17"/>
      <c r="Q4008" s="22"/>
      <c r="R4008" s="23"/>
    </row>
    <row r="4009" spans="1:18" ht="12.75">
      <c r="A4009" s="22"/>
      <c r="D4009" s="19"/>
      <c r="H4009" s="18"/>
      <c r="J4009" s="18"/>
      <c r="N4009" s="16"/>
      <c r="O4009" s="17"/>
      <c r="Q4009" s="22"/>
      <c r="R4009" s="23"/>
    </row>
    <row r="4010" spans="1:18" ht="12.75">
      <c r="A4010" s="22"/>
      <c r="D4010" s="19"/>
      <c r="H4010" s="18"/>
      <c r="J4010" s="18"/>
      <c r="N4010" s="16"/>
      <c r="O4010" s="17"/>
      <c r="Q4010" s="22"/>
      <c r="R4010" s="23"/>
    </row>
    <row r="4011" spans="1:18" ht="12.75">
      <c r="A4011" s="22"/>
      <c r="D4011" s="19"/>
      <c r="H4011" s="18"/>
      <c r="J4011" s="18"/>
      <c r="N4011" s="16"/>
      <c r="O4011" s="17"/>
      <c r="Q4011" s="22"/>
      <c r="R4011" s="23"/>
    </row>
    <row r="4012" spans="1:18" ht="12.75">
      <c r="A4012" s="22"/>
      <c r="D4012" s="19"/>
      <c r="H4012" s="18"/>
      <c r="J4012" s="18"/>
      <c r="N4012" s="16"/>
      <c r="O4012" s="17"/>
      <c r="Q4012" s="22"/>
      <c r="R4012" s="23"/>
    </row>
    <row r="4013" spans="1:18" ht="12.75">
      <c r="A4013" s="22"/>
      <c r="D4013" s="19"/>
      <c r="H4013" s="18"/>
      <c r="J4013" s="18"/>
      <c r="N4013" s="16"/>
      <c r="O4013" s="17"/>
      <c r="Q4013" s="22"/>
      <c r="R4013" s="23"/>
    </row>
    <row r="4014" spans="1:18" ht="12.75">
      <c r="A4014" s="22"/>
      <c r="D4014" s="19"/>
      <c r="H4014" s="18"/>
      <c r="J4014" s="18"/>
      <c r="N4014" s="16"/>
      <c r="O4014" s="17"/>
      <c r="Q4014" s="22"/>
      <c r="R4014" s="23"/>
    </row>
    <row r="4015" spans="1:18" ht="12.75">
      <c r="A4015" s="22"/>
      <c r="D4015" s="19"/>
      <c r="H4015" s="18"/>
      <c r="J4015" s="18"/>
      <c r="N4015" s="16"/>
      <c r="O4015" s="17"/>
      <c r="Q4015" s="22"/>
      <c r="R4015" s="23"/>
    </row>
    <row r="4016" spans="1:18" ht="12.75">
      <c r="A4016" s="22"/>
      <c r="D4016" s="19"/>
      <c r="H4016" s="18"/>
      <c r="J4016" s="18"/>
      <c r="N4016" s="16"/>
      <c r="O4016" s="17"/>
      <c r="Q4016" s="22"/>
      <c r="R4016" s="23"/>
    </row>
    <row r="4017" spans="1:18" ht="12.75">
      <c r="A4017" s="22"/>
      <c r="D4017" s="19"/>
      <c r="H4017" s="18"/>
      <c r="J4017" s="18"/>
      <c r="N4017" s="16"/>
      <c r="O4017" s="17"/>
      <c r="Q4017" s="22"/>
      <c r="R4017" s="23"/>
    </row>
    <row r="4018" spans="1:18" ht="12.75">
      <c r="A4018" s="22"/>
      <c r="D4018" s="19"/>
      <c r="H4018" s="18"/>
      <c r="J4018" s="18"/>
      <c r="N4018" s="16"/>
      <c r="O4018" s="17"/>
      <c r="Q4018" s="22"/>
      <c r="R4018" s="23"/>
    </row>
    <row r="4019" spans="1:18" ht="12.75">
      <c r="A4019" s="22"/>
      <c r="D4019" s="19"/>
      <c r="H4019" s="18"/>
      <c r="J4019" s="18"/>
      <c r="N4019" s="16"/>
      <c r="O4019" s="17"/>
      <c r="Q4019" s="22"/>
      <c r="R4019" s="23"/>
    </row>
    <row r="4020" spans="1:18" ht="12.75">
      <c r="A4020" s="22"/>
      <c r="D4020" s="19"/>
      <c r="H4020" s="18"/>
      <c r="J4020" s="18"/>
      <c r="N4020" s="16"/>
      <c r="O4020" s="17"/>
      <c r="Q4020" s="22"/>
      <c r="R4020" s="23"/>
    </row>
    <row r="4021" spans="1:18" ht="12.75">
      <c r="A4021" s="22"/>
      <c r="D4021" s="19"/>
      <c r="H4021" s="18"/>
      <c r="J4021" s="18"/>
      <c r="N4021" s="16"/>
      <c r="O4021" s="17"/>
      <c r="Q4021" s="22"/>
      <c r="R4021" s="23"/>
    </row>
    <row r="4022" spans="1:18" ht="12.75">
      <c r="A4022" s="22"/>
      <c r="D4022" s="19"/>
      <c r="H4022" s="18"/>
      <c r="J4022" s="18"/>
      <c r="N4022" s="16"/>
      <c r="O4022" s="17"/>
      <c r="Q4022" s="22"/>
      <c r="R4022" s="23"/>
    </row>
    <row r="4023" spans="1:18" ht="12.75">
      <c r="A4023" s="22"/>
      <c r="D4023" s="19"/>
      <c r="H4023" s="18"/>
      <c r="J4023" s="18"/>
      <c r="N4023" s="16"/>
      <c r="O4023" s="17"/>
      <c r="Q4023" s="22"/>
      <c r="R4023" s="23"/>
    </row>
    <row r="4024" spans="1:18" ht="12.75">
      <c r="A4024" s="22"/>
      <c r="D4024" s="19"/>
      <c r="H4024" s="18"/>
      <c r="J4024" s="18"/>
      <c r="N4024" s="16"/>
      <c r="O4024" s="17"/>
      <c r="Q4024" s="22"/>
      <c r="R4024" s="23"/>
    </row>
    <row r="4025" spans="1:18" ht="12.75">
      <c r="A4025" s="22"/>
      <c r="D4025" s="19"/>
      <c r="H4025" s="18"/>
      <c r="J4025" s="18"/>
      <c r="N4025" s="16"/>
      <c r="O4025" s="17"/>
      <c r="Q4025" s="22"/>
      <c r="R4025" s="23"/>
    </row>
    <row r="4026" spans="1:18" ht="12.75">
      <c r="A4026" s="22"/>
      <c r="D4026" s="19"/>
      <c r="H4026" s="18"/>
      <c r="J4026" s="18"/>
      <c r="N4026" s="16"/>
      <c r="O4026" s="17"/>
      <c r="Q4026" s="22"/>
      <c r="R4026" s="23"/>
    </row>
    <row r="4027" spans="1:18" ht="12.75">
      <c r="A4027" s="22"/>
      <c r="D4027" s="19"/>
      <c r="H4027" s="18"/>
      <c r="J4027" s="18"/>
      <c r="N4027" s="16"/>
      <c r="O4027" s="17"/>
      <c r="Q4027" s="22"/>
      <c r="R4027" s="23"/>
    </row>
    <row r="4028" spans="1:18" ht="12.75">
      <c r="A4028" s="22"/>
      <c r="D4028" s="19"/>
      <c r="H4028" s="18"/>
      <c r="J4028" s="18"/>
      <c r="N4028" s="16"/>
      <c r="O4028" s="17"/>
      <c r="Q4028" s="22"/>
      <c r="R4028" s="23"/>
    </row>
    <row r="4029" spans="1:18" ht="12.75">
      <c r="A4029" s="22"/>
      <c r="D4029" s="19"/>
      <c r="H4029" s="18"/>
      <c r="J4029" s="18"/>
      <c r="N4029" s="16"/>
      <c r="O4029" s="17"/>
      <c r="Q4029" s="22"/>
      <c r="R4029" s="23"/>
    </row>
    <row r="4030" spans="1:18" ht="12.75">
      <c r="A4030" s="22"/>
      <c r="D4030" s="19"/>
      <c r="H4030" s="18"/>
      <c r="J4030" s="18"/>
      <c r="N4030" s="16"/>
      <c r="O4030" s="17"/>
      <c r="Q4030" s="22"/>
      <c r="R4030" s="23"/>
    </row>
    <row r="4031" spans="1:18" ht="12.75">
      <c r="A4031" s="22"/>
      <c r="D4031" s="19"/>
      <c r="H4031" s="18"/>
      <c r="J4031" s="18"/>
      <c r="N4031" s="16"/>
      <c r="O4031" s="17"/>
      <c r="Q4031" s="22"/>
      <c r="R4031" s="23"/>
    </row>
    <row r="4032" spans="1:18" ht="12.75">
      <c r="A4032" s="22"/>
      <c r="D4032" s="19"/>
      <c r="H4032" s="18"/>
      <c r="J4032" s="18"/>
      <c r="N4032" s="16"/>
      <c r="O4032" s="17"/>
      <c r="Q4032" s="22"/>
      <c r="R4032" s="23"/>
    </row>
    <row r="4033" spans="1:18" ht="12.75">
      <c r="A4033" s="22"/>
      <c r="D4033" s="19"/>
      <c r="H4033" s="18"/>
      <c r="J4033" s="18"/>
      <c r="N4033" s="16"/>
      <c r="O4033" s="17"/>
      <c r="Q4033" s="22"/>
      <c r="R4033" s="23"/>
    </row>
    <row r="4034" spans="1:18" ht="12.75">
      <c r="A4034" s="22"/>
      <c r="D4034" s="19"/>
      <c r="H4034" s="18"/>
      <c r="J4034" s="18"/>
      <c r="N4034" s="16"/>
      <c r="O4034" s="17"/>
      <c r="Q4034" s="22"/>
      <c r="R4034" s="23"/>
    </row>
    <row r="4035" spans="1:18" ht="12.75">
      <c r="A4035" s="22"/>
      <c r="D4035" s="19"/>
      <c r="H4035" s="18"/>
      <c r="J4035" s="18"/>
      <c r="N4035" s="16"/>
      <c r="O4035" s="17"/>
      <c r="Q4035" s="22"/>
      <c r="R4035" s="23"/>
    </row>
    <row r="4036" spans="1:18" ht="12.75">
      <c r="A4036" s="22"/>
      <c r="D4036" s="19"/>
      <c r="H4036" s="18"/>
      <c r="J4036" s="18"/>
      <c r="N4036" s="16"/>
      <c r="O4036" s="17"/>
      <c r="Q4036" s="22"/>
      <c r="R4036" s="23"/>
    </row>
    <row r="4037" spans="1:18" ht="12.75">
      <c r="A4037" s="22"/>
      <c r="D4037" s="19"/>
      <c r="H4037" s="18"/>
      <c r="J4037" s="18"/>
      <c r="N4037" s="16"/>
      <c r="O4037" s="17"/>
      <c r="Q4037" s="22"/>
      <c r="R4037" s="23"/>
    </row>
    <row r="4038" spans="1:18" ht="12.75">
      <c r="A4038" s="22"/>
      <c r="D4038" s="19"/>
      <c r="H4038" s="18"/>
      <c r="J4038" s="18"/>
      <c r="N4038" s="16"/>
      <c r="O4038" s="17"/>
      <c r="Q4038" s="22"/>
      <c r="R4038" s="23"/>
    </row>
    <row r="4039" spans="1:18" ht="12.75">
      <c r="A4039" s="22"/>
      <c r="D4039" s="19"/>
      <c r="H4039" s="18"/>
      <c r="J4039" s="18"/>
      <c r="N4039" s="16"/>
      <c r="O4039" s="17"/>
      <c r="Q4039" s="22"/>
      <c r="R4039" s="23"/>
    </row>
    <row r="4040" spans="1:18" ht="12.75">
      <c r="A4040" s="22"/>
      <c r="D4040" s="19"/>
      <c r="H4040" s="18"/>
      <c r="J4040" s="18"/>
      <c r="N4040" s="16"/>
      <c r="O4040" s="17"/>
      <c r="Q4040" s="22"/>
      <c r="R4040" s="23"/>
    </row>
    <row r="4041" spans="1:18" ht="12.75">
      <c r="A4041" s="22"/>
      <c r="D4041" s="19"/>
      <c r="H4041" s="18"/>
      <c r="J4041" s="18"/>
      <c r="N4041" s="16"/>
      <c r="O4041" s="17"/>
      <c r="Q4041" s="22"/>
      <c r="R4041" s="23"/>
    </row>
    <row r="4042" spans="1:18" ht="12.75">
      <c r="A4042" s="22"/>
      <c r="D4042" s="19"/>
      <c r="H4042" s="18"/>
      <c r="J4042" s="18"/>
      <c r="N4042" s="16"/>
      <c r="O4042" s="17"/>
      <c r="Q4042" s="22"/>
      <c r="R4042" s="23"/>
    </row>
    <row r="4043" spans="1:18" ht="12.75">
      <c r="A4043" s="22"/>
      <c r="D4043" s="19"/>
      <c r="H4043" s="18"/>
      <c r="J4043" s="18"/>
      <c r="N4043" s="16"/>
      <c r="O4043" s="17"/>
      <c r="Q4043" s="22"/>
      <c r="R4043" s="23"/>
    </row>
    <row r="4044" spans="1:18" ht="12.75">
      <c r="A4044" s="22"/>
      <c r="D4044" s="19"/>
      <c r="H4044" s="18"/>
      <c r="J4044" s="18"/>
      <c r="N4044" s="16"/>
      <c r="O4044" s="17"/>
      <c r="Q4044" s="22"/>
      <c r="R4044" s="23"/>
    </row>
    <row r="4045" spans="1:18" ht="12.75">
      <c r="A4045" s="22"/>
      <c r="D4045" s="19"/>
      <c r="H4045" s="18"/>
      <c r="J4045" s="18"/>
      <c r="N4045" s="16"/>
      <c r="O4045" s="17"/>
      <c r="Q4045" s="22"/>
      <c r="R4045" s="23"/>
    </row>
    <row r="4046" spans="1:18" ht="12.75">
      <c r="A4046" s="22"/>
      <c r="D4046" s="19"/>
      <c r="H4046" s="18"/>
      <c r="J4046" s="18"/>
      <c r="N4046" s="16"/>
      <c r="O4046" s="17"/>
      <c r="Q4046" s="22"/>
      <c r="R4046" s="23"/>
    </row>
    <row r="4047" spans="1:18" ht="12.75">
      <c r="A4047" s="22"/>
      <c r="D4047" s="19"/>
      <c r="H4047" s="18"/>
      <c r="J4047" s="18"/>
      <c r="N4047" s="16"/>
      <c r="O4047" s="17"/>
      <c r="Q4047" s="22"/>
      <c r="R4047" s="23"/>
    </row>
    <row r="4048" spans="1:18" ht="12.75">
      <c r="A4048" s="22"/>
      <c r="D4048" s="19"/>
      <c r="H4048" s="18"/>
      <c r="J4048" s="18"/>
      <c r="N4048" s="16"/>
      <c r="O4048" s="17"/>
      <c r="Q4048" s="22"/>
      <c r="R4048" s="23"/>
    </row>
    <row r="4049" spans="1:18" ht="12.75">
      <c r="A4049" s="22"/>
      <c r="D4049" s="19"/>
      <c r="H4049" s="18"/>
      <c r="J4049" s="18"/>
      <c r="N4049" s="16"/>
      <c r="O4049" s="17"/>
      <c r="Q4049" s="22"/>
      <c r="R4049" s="23"/>
    </row>
    <row r="4050" spans="1:18" ht="12.75">
      <c r="A4050" s="22"/>
      <c r="D4050" s="19"/>
      <c r="H4050" s="18"/>
      <c r="J4050" s="18"/>
      <c r="N4050" s="16"/>
      <c r="O4050" s="17"/>
      <c r="Q4050" s="22"/>
      <c r="R4050" s="23"/>
    </row>
    <row r="4051" spans="1:18" ht="12.75">
      <c r="A4051" s="22"/>
      <c r="D4051" s="19"/>
      <c r="H4051" s="18"/>
      <c r="J4051" s="18"/>
      <c r="N4051" s="16"/>
      <c r="O4051" s="17"/>
      <c r="Q4051" s="22"/>
      <c r="R4051" s="23"/>
    </row>
    <row r="4052" spans="1:18" ht="12.75">
      <c r="A4052" s="22"/>
      <c r="D4052" s="19"/>
      <c r="H4052" s="18"/>
      <c r="J4052" s="18"/>
      <c r="N4052" s="16"/>
      <c r="O4052" s="17"/>
      <c r="Q4052" s="22"/>
      <c r="R4052" s="23"/>
    </row>
    <row r="4053" spans="1:18" ht="12.75">
      <c r="A4053" s="22"/>
      <c r="D4053" s="19"/>
      <c r="H4053" s="18"/>
      <c r="J4053" s="18"/>
      <c r="N4053" s="16"/>
      <c r="O4053" s="17"/>
      <c r="Q4053" s="22"/>
      <c r="R4053" s="23"/>
    </row>
    <row r="4054" spans="1:18" ht="12.75">
      <c r="A4054" s="22"/>
      <c r="D4054" s="19"/>
      <c r="H4054" s="18"/>
      <c r="J4054" s="18"/>
      <c r="N4054" s="16"/>
      <c r="O4054" s="17"/>
      <c r="Q4054" s="22"/>
      <c r="R4054" s="23"/>
    </row>
    <row r="4055" spans="1:18" ht="12.75">
      <c r="A4055" s="22"/>
      <c r="D4055" s="19"/>
      <c r="H4055" s="18"/>
      <c r="J4055" s="18"/>
      <c r="N4055" s="16"/>
      <c r="O4055" s="17"/>
      <c r="Q4055" s="22"/>
      <c r="R4055" s="23"/>
    </row>
    <row r="4056" spans="1:18" ht="12.75">
      <c r="A4056" s="22"/>
      <c r="D4056" s="19"/>
      <c r="H4056" s="18"/>
      <c r="J4056" s="18"/>
      <c r="N4056" s="16"/>
      <c r="O4056" s="17"/>
      <c r="Q4056" s="22"/>
      <c r="R4056" s="23"/>
    </row>
    <row r="4057" spans="1:18" ht="12.75">
      <c r="A4057" s="22"/>
      <c r="D4057" s="19"/>
      <c r="H4057" s="18"/>
      <c r="J4057" s="18"/>
      <c r="N4057" s="16"/>
      <c r="O4057" s="17"/>
      <c r="Q4057" s="22"/>
      <c r="R4057" s="23"/>
    </row>
    <row r="4058" spans="1:18" ht="12.75">
      <c r="A4058" s="22"/>
      <c r="D4058" s="19"/>
      <c r="H4058" s="18"/>
      <c r="J4058" s="18"/>
      <c r="N4058" s="16"/>
      <c r="O4058" s="17"/>
      <c r="Q4058" s="22"/>
      <c r="R4058" s="23"/>
    </row>
    <row r="4059" spans="1:18" ht="12.75">
      <c r="A4059" s="22"/>
      <c r="D4059" s="19"/>
      <c r="H4059" s="18"/>
      <c r="J4059" s="18"/>
      <c r="N4059" s="16"/>
      <c r="O4059" s="17"/>
      <c r="Q4059" s="22"/>
      <c r="R4059" s="23"/>
    </row>
    <row r="4060" spans="1:18" ht="12.75">
      <c r="A4060" s="22"/>
      <c r="D4060" s="19"/>
      <c r="H4060" s="18"/>
      <c r="J4060" s="18"/>
      <c r="N4060" s="16"/>
      <c r="O4060" s="17"/>
      <c r="Q4060" s="22"/>
      <c r="R4060" s="23"/>
    </row>
    <row r="4061" spans="1:18" ht="12.75">
      <c r="A4061" s="22"/>
      <c r="D4061" s="19"/>
      <c r="H4061" s="18"/>
      <c r="J4061" s="18"/>
      <c r="N4061" s="16"/>
      <c r="O4061" s="17"/>
      <c r="Q4061" s="22"/>
      <c r="R4061" s="23"/>
    </row>
    <row r="4062" spans="1:18" ht="12.75">
      <c r="A4062" s="22"/>
      <c r="D4062" s="19"/>
      <c r="H4062" s="18"/>
      <c r="J4062" s="18"/>
      <c r="N4062" s="16"/>
      <c r="O4062" s="17"/>
      <c r="Q4062" s="22"/>
      <c r="R4062" s="23"/>
    </row>
    <row r="4063" spans="1:18" ht="12.75">
      <c r="A4063" s="22"/>
      <c r="D4063" s="19"/>
      <c r="H4063" s="18"/>
      <c r="J4063" s="18"/>
      <c r="N4063" s="16"/>
      <c r="O4063" s="17"/>
      <c r="Q4063" s="22"/>
      <c r="R4063" s="23"/>
    </row>
    <row r="4064" spans="1:18" ht="12.75">
      <c r="A4064" s="22"/>
      <c r="D4064" s="19"/>
      <c r="H4064" s="18"/>
      <c r="J4064" s="18"/>
      <c r="N4064" s="16"/>
      <c r="O4064" s="17"/>
      <c r="Q4064" s="22"/>
      <c r="R4064" s="23"/>
    </row>
    <row r="4065" spans="1:18" ht="12.75">
      <c r="A4065" s="22"/>
      <c r="D4065" s="19"/>
      <c r="H4065" s="18"/>
      <c r="J4065" s="18"/>
      <c r="N4065" s="16"/>
      <c r="O4065" s="17"/>
      <c r="Q4065" s="22"/>
      <c r="R4065" s="23"/>
    </row>
    <row r="4066" spans="1:18" ht="12.75">
      <c r="A4066" s="22"/>
      <c r="D4066" s="19"/>
      <c r="H4066" s="18"/>
      <c r="J4066" s="18"/>
      <c r="N4066" s="16"/>
      <c r="O4066" s="17"/>
      <c r="Q4066" s="22"/>
      <c r="R4066" s="23"/>
    </row>
    <row r="4067" spans="1:18" ht="12.75">
      <c r="A4067" s="22"/>
      <c r="D4067" s="19"/>
      <c r="H4067" s="18"/>
      <c r="J4067" s="18"/>
      <c r="N4067" s="16"/>
      <c r="O4067" s="17"/>
      <c r="Q4067" s="22"/>
      <c r="R4067" s="23"/>
    </row>
    <row r="4068" spans="1:18" ht="12.75">
      <c r="A4068" s="22"/>
      <c r="D4068" s="19"/>
      <c r="H4068" s="18"/>
      <c r="J4068" s="18"/>
      <c r="N4068" s="16"/>
      <c r="O4068" s="17"/>
      <c r="Q4068" s="22"/>
      <c r="R4068" s="23"/>
    </row>
    <row r="4069" spans="1:18" ht="12.75">
      <c r="A4069" s="22"/>
      <c r="D4069" s="19"/>
      <c r="H4069" s="18"/>
      <c r="J4069" s="18"/>
      <c r="N4069" s="16"/>
      <c r="O4069" s="17"/>
      <c r="Q4069" s="22"/>
      <c r="R4069" s="23"/>
    </row>
    <row r="4070" spans="1:18" ht="12.75">
      <c r="A4070" s="22"/>
      <c r="D4070" s="19"/>
      <c r="H4070" s="18"/>
      <c r="J4070" s="18"/>
      <c r="N4070" s="16"/>
      <c r="O4070" s="17"/>
      <c r="Q4070" s="22"/>
      <c r="R4070" s="23"/>
    </row>
    <row r="4071" spans="1:18" ht="12.75">
      <c r="A4071" s="22"/>
      <c r="D4071" s="19"/>
      <c r="H4071" s="18"/>
      <c r="J4071" s="18"/>
      <c r="N4071" s="16"/>
      <c r="O4071" s="17"/>
      <c r="Q4071" s="22"/>
      <c r="R4071" s="23"/>
    </row>
    <row r="4072" spans="1:18" ht="12.75">
      <c r="A4072" s="22"/>
      <c r="D4072" s="19"/>
      <c r="H4072" s="18"/>
      <c r="J4072" s="18"/>
      <c r="N4072" s="16"/>
      <c r="O4072" s="17"/>
      <c r="Q4072" s="22"/>
      <c r="R4072" s="23"/>
    </row>
    <row r="4073" spans="1:18" ht="12.75">
      <c r="A4073" s="22"/>
      <c r="D4073" s="19"/>
      <c r="H4073" s="18"/>
      <c r="J4073" s="18"/>
      <c r="N4073" s="16"/>
      <c r="O4073" s="17"/>
      <c r="Q4073" s="22"/>
      <c r="R4073" s="23"/>
    </row>
    <row r="4074" spans="1:18" ht="12.75">
      <c r="A4074" s="22"/>
      <c r="D4074" s="19"/>
      <c r="H4074" s="18"/>
      <c r="J4074" s="18"/>
      <c r="N4074" s="16"/>
      <c r="O4074" s="17"/>
      <c r="Q4074" s="22"/>
      <c r="R4074" s="23"/>
    </row>
    <row r="4075" spans="1:18" ht="12.75">
      <c r="A4075" s="22"/>
      <c r="D4075" s="19"/>
      <c r="H4075" s="18"/>
      <c r="J4075" s="18"/>
      <c r="N4075" s="16"/>
      <c r="O4075" s="17"/>
      <c r="Q4075" s="22"/>
      <c r="R4075" s="23"/>
    </row>
    <row r="4076" spans="1:18" ht="12.75">
      <c r="A4076" s="22"/>
      <c r="D4076" s="19"/>
      <c r="H4076" s="18"/>
      <c r="J4076" s="18"/>
      <c r="N4076" s="16"/>
      <c r="O4076" s="17"/>
      <c r="Q4076" s="22"/>
      <c r="R4076" s="23"/>
    </row>
    <row r="4077" spans="1:18" ht="12.75">
      <c r="A4077" s="22"/>
      <c r="D4077" s="19"/>
      <c r="H4077" s="18"/>
      <c r="J4077" s="18"/>
      <c r="N4077" s="16"/>
      <c r="O4077" s="17"/>
      <c r="Q4077" s="22"/>
      <c r="R4077" s="23"/>
    </row>
    <row r="4078" spans="1:18" ht="12.75">
      <c r="A4078" s="22"/>
      <c r="D4078" s="19"/>
      <c r="H4078" s="18"/>
      <c r="J4078" s="18"/>
      <c r="N4078" s="16"/>
      <c r="O4078" s="17"/>
      <c r="Q4078" s="22"/>
      <c r="R4078" s="23"/>
    </row>
    <row r="4079" spans="1:18" ht="12.75">
      <c r="A4079" s="22"/>
      <c r="D4079" s="19"/>
      <c r="H4079" s="18"/>
      <c r="J4079" s="18"/>
      <c r="N4079" s="16"/>
      <c r="O4079" s="17"/>
      <c r="Q4079" s="22"/>
      <c r="R4079" s="23"/>
    </row>
    <row r="4080" spans="1:18" ht="12.75">
      <c r="A4080" s="22"/>
      <c r="D4080" s="19"/>
      <c r="H4080" s="18"/>
      <c r="J4080" s="18"/>
      <c r="N4080" s="16"/>
      <c r="O4080" s="17"/>
      <c r="Q4080" s="22"/>
      <c r="R4080" s="23"/>
    </row>
    <row r="4081" spans="1:18" ht="12.75">
      <c r="A4081" s="22"/>
      <c r="D4081" s="19"/>
      <c r="H4081" s="18"/>
      <c r="J4081" s="18"/>
      <c r="N4081" s="16"/>
      <c r="O4081" s="17"/>
      <c r="Q4081" s="22"/>
      <c r="R4081" s="23"/>
    </row>
    <row r="4082" spans="1:18" ht="12.75">
      <c r="A4082" s="22"/>
      <c r="D4082" s="19"/>
      <c r="H4082" s="18"/>
      <c r="J4082" s="18"/>
      <c r="N4082" s="16"/>
      <c r="O4082" s="17"/>
      <c r="Q4082" s="22"/>
      <c r="R4082" s="23"/>
    </row>
    <row r="4083" spans="1:18" ht="12.75">
      <c r="A4083" s="22"/>
      <c r="D4083" s="19"/>
      <c r="H4083" s="18"/>
      <c r="J4083" s="18"/>
      <c r="N4083" s="16"/>
      <c r="O4083" s="17"/>
      <c r="Q4083" s="22"/>
      <c r="R4083" s="23"/>
    </row>
    <row r="4084" spans="1:18" ht="12.75">
      <c r="A4084" s="22"/>
      <c r="D4084" s="19"/>
      <c r="H4084" s="18"/>
      <c r="J4084" s="18"/>
      <c r="N4084" s="16"/>
      <c r="O4084" s="17"/>
      <c r="Q4084" s="22"/>
      <c r="R4084" s="23"/>
    </row>
    <row r="4085" spans="1:18" ht="12.75">
      <c r="A4085" s="22"/>
      <c r="D4085" s="19"/>
      <c r="H4085" s="18"/>
      <c r="J4085" s="18"/>
      <c r="N4085" s="16"/>
      <c r="O4085" s="17"/>
      <c r="Q4085" s="22"/>
      <c r="R4085" s="23"/>
    </row>
    <row r="4086" spans="1:18" ht="12.75">
      <c r="A4086" s="22"/>
      <c r="D4086" s="19"/>
      <c r="H4086" s="18"/>
      <c r="J4086" s="18"/>
      <c r="N4086" s="16"/>
      <c r="O4086" s="17"/>
      <c r="Q4086" s="22"/>
      <c r="R4086" s="23"/>
    </row>
    <row r="4087" spans="1:18" ht="12.75">
      <c r="A4087" s="22"/>
      <c r="D4087" s="19"/>
      <c r="H4087" s="18"/>
      <c r="J4087" s="18"/>
      <c r="N4087" s="16"/>
      <c r="O4087" s="17"/>
      <c r="Q4087" s="22"/>
      <c r="R4087" s="23"/>
    </row>
    <row r="4088" spans="1:18" ht="12.75">
      <c r="A4088" s="22"/>
      <c r="D4088" s="19"/>
      <c r="H4088" s="18"/>
      <c r="J4088" s="18"/>
      <c r="N4088" s="16"/>
      <c r="O4088" s="17"/>
      <c r="Q4088" s="22"/>
      <c r="R4088" s="23"/>
    </row>
    <row r="4089" spans="1:18" ht="12.75">
      <c r="A4089" s="22"/>
      <c r="D4089" s="19"/>
      <c r="H4089" s="18"/>
      <c r="J4089" s="18"/>
      <c r="N4089" s="16"/>
      <c r="O4089" s="17"/>
      <c r="Q4089" s="22"/>
      <c r="R4089" s="23"/>
    </row>
    <row r="4090" spans="1:18" ht="12.75">
      <c r="A4090" s="22"/>
      <c r="D4090" s="19"/>
      <c r="H4090" s="18"/>
      <c r="J4090" s="18"/>
      <c r="N4090" s="16"/>
      <c r="O4090" s="17"/>
      <c r="Q4090" s="22"/>
      <c r="R4090" s="23"/>
    </row>
    <row r="4091" spans="1:18" ht="12.75">
      <c r="A4091" s="22"/>
      <c r="D4091" s="19"/>
      <c r="H4091" s="18"/>
      <c r="J4091" s="18"/>
      <c r="N4091" s="16"/>
      <c r="O4091" s="17"/>
      <c r="Q4091" s="22"/>
      <c r="R4091" s="23"/>
    </row>
    <row r="4092" spans="1:18" ht="12.75">
      <c r="A4092" s="22"/>
      <c r="D4092" s="19"/>
      <c r="H4092" s="18"/>
      <c r="J4092" s="18"/>
      <c r="N4092" s="16"/>
      <c r="O4092" s="17"/>
      <c r="Q4092" s="22"/>
      <c r="R4092" s="23"/>
    </row>
    <row r="4093" spans="1:18" ht="12.75">
      <c r="A4093" s="22"/>
      <c r="D4093" s="19"/>
      <c r="H4093" s="18"/>
      <c r="J4093" s="18"/>
      <c r="N4093" s="16"/>
      <c r="O4093" s="17"/>
      <c r="Q4093" s="22"/>
      <c r="R4093" s="23"/>
    </row>
    <row r="4094" spans="1:18" ht="12.75">
      <c r="A4094" s="22"/>
      <c r="D4094" s="19"/>
      <c r="H4094" s="18"/>
      <c r="J4094" s="18"/>
      <c r="N4094" s="16"/>
      <c r="O4094" s="17"/>
      <c r="Q4094" s="22"/>
      <c r="R4094" s="23"/>
    </row>
    <row r="4095" spans="1:18" ht="12.75">
      <c r="A4095" s="22"/>
      <c r="D4095" s="19"/>
      <c r="H4095" s="18"/>
      <c r="J4095" s="18"/>
      <c r="N4095" s="16"/>
      <c r="O4095" s="17"/>
      <c r="Q4095" s="22"/>
      <c r="R4095" s="23"/>
    </row>
    <row r="4096" spans="1:18" ht="12.75">
      <c r="A4096" s="22"/>
      <c r="D4096" s="19"/>
      <c r="H4096" s="18"/>
      <c r="J4096" s="18"/>
      <c r="N4096" s="16"/>
      <c r="O4096" s="17"/>
      <c r="Q4096" s="22"/>
      <c r="R4096" s="23"/>
    </row>
    <row r="4097" spans="1:18" ht="12.75">
      <c r="A4097" s="22"/>
      <c r="D4097" s="19"/>
      <c r="H4097" s="18"/>
      <c r="J4097" s="18"/>
      <c r="N4097" s="16"/>
      <c r="O4097" s="17"/>
      <c r="Q4097" s="22"/>
      <c r="R4097" s="23"/>
    </row>
    <row r="4098" spans="1:18" ht="12.75">
      <c r="A4098" s="22"/>
      <c r="D4098" s="19"/>
      <c r="H4098" s="18"/>
      <c r="J4098" s="18"/>
      <c r="N4098" s="16"/>
      <c r="O4098" s="17"/>
      <c r="Q4098" s="22"/>
      <c r="R4098" s="23"/>
    </row>
    <row r="4099" spans="1:18" ht="12.75">
      <c r="A4099" s="22"/>
      <c r="D4099" s="19"/>
      <c r="H4099" s="18"/>
      <c r="J4099" s="18"/>
      <c r="N4099" s="16"/>
      <c r="O4099" s="17"/>
      <c r="Q4099" s="22"/>
      <c r="R4099" s="23"/>
    </row>
    <row r="4100" spans="1:18" ht="12.75">
      <c r="A4100" s="22"/>
      <c r="D4100" s="19"/>
      <c r="H4100" s="18"/>
      <c r="J4100" s="18"/>
      <c r="N4100" s="16"/>
      <c r="O4100" s="17"/>
      <c r="Q4100" s="22"/>
      <c r="R4100" s="23"/>
    </row>
    <row r="4101" spans="1:18" ht="12.75">
      <c r="A4101" s="22"/>
      <c r="D4101" s="19"/>
      <c r="H4101" s="18"/>
      <c r="J4101" s="18"/>
      <c r="N4101" s="16"/>
      <c r="O4101" s="17"/>
      <c r="Q4101" s="22"/>
      <c r="R4101" s="23"/>
    </row>
    <row r="4102" spans="1:18" ht="12.75">
      <c r="A4102" s="22"/>
      <c r="D4102" s="19"/>
      <c r="H4102" s="18"/>
      <c r="J4102" s="18"/>
      <c r="N4102" s="16"/>
      <c r="O4102" s="17"/>
      <c r="Q4102" s="22"/>
      <c r="R4102" s="23"/>
    </row>
    <row r="4103" spans="1:18" ht="12.75">
      <c r="A4103" s="22"/>
      <c r="D4103" s="19"/>
      <c r="H4103" s="18"/>
      <c r="J4103" s="18"/>
      <c r="N4103" s="16"/>
      <c r="O4103" s="17"/>
      <c r="Q4103" s="22"/>
      <c r="R4103" s="23"/>
    </row>
    <row r="4104" spans="1:18" ht="12.75">
      <c r="A4104" s="22"/>
      <c r="D4104" s="19"/>
      <c r="H4104" s="18"/>
      <c r="J4104" s="18"/>
      <c r="N4104" s="16"/>
      <c r="O4104" s="17"/>
      <c r="Q4104" s="22"/>
      <c r="R4104" s="23"/>
    </row>
    <row r="4105" spans="1:18" ht="12.75">
      <c r="A4105" s="22"/>
      <c r="D4105" s="19"/>
      <c r="H4105" s="18"/>
      <c r="J4105" s="18"/>
      <c r="N4105" s="16"/>
      <c r="O4105" s="17"/>
      <c r="Q4105" s="22"/>
      <c r="R4105" s="23"/>
    </row>
    <row r="4106" spans="1:18" ht="12.75">
      <c r="A4106" s="22"/>
      <c r="D4106" s="19"/>
      <c r="H4106" s="18"/>
      <c r="J4106" s="18"/>
      <c r="N4106" s="16"/>
      <c r="O4106" s="17"/>
      <c r="Q4106" s="22"/>
      <c r="R4106" s="23"/>
    </row>
    <row r="4107" spans="1:18" ht="12.75">
      <c r="A4107" s="22"/>
      <c r="D4107" s="19"/>
      <c r="H4107" s="18"/>
      <c r="J4107" s="18"/>
      <c r="N4107" s="16"/>
      <c r="O4107" s="17"/>
      <c r="Q4107" s="22"/>
      <c r="R4107" s="23"/>
    </row>
    <row r="4108" spans="1:18" ht="12.75">
      <c r="A4108" s="22"/>
      <c r="D4108" s="19"/>
      <c r="H4108" s="18"/>
      <c r="J4108" s="18"/>
      <c r="N4108" s="16"/>
      <c r="O4108" s="17"/>
      <c r="Q4108" s="22"/>
      <c r="R4108" s="23"/>
    </row>
    <row r="4109" spans="1:18" ht="12.75">
      <c r="A4109" s="22"/>
      <c r="D4109" s="19"/>
      <c r="H4109" s="18"/>
      <c r="J4109" s="18"/>
      <c r="N4109" s="16"/>
      <c r="O4109" s="17"/>
      <c r="Q4109" s="22"/>
      <c r="R4109" s="23"/>
    </row>
    <row r="4110" spans="1:18" ht="12.75">
      <c r="A4110" s="22"/>
      <c r="D4110" s="19"/>
      <c r="H4110" s="18"/>
      <c r="J4110" s="18"/>
      <c r="N4110" s="16"/>
      <c r="O4110" s="17"/>
      <c r="Q4110" s="22"/>
      <c r="R4110" s="23"/>
    </row>
    <row r="4111" spans="1:18" ht="12.75">
      <c r="A4111" s="22"/>
      <c r="D4111" s="19"/>
      <c r="H4111" s="18"/>
      <c r="J4111" s="18"/>
      <c r="N4111" s="16"/>
      <c r="O4111" s="17"/>
      <c r="Q4111" s="22"/>
      <c r="R4111" s="23"/>
    </row>
    <row r="4112" spans="1:18" ht="12.75">
      <c r="A4112" s="22"/>
      <c r="D4112" s="19"/>
      <c r="H4112" s="18"/>
      <c r="J4112" s="18"/>
      <c r="N4112" s="16"/>
      <c r="O4112" s="17"/>
      <c r="Q4112" s="22"/>
      <c r="R4112" s="23"/>
    </row>
    <row r="4113" spans="1:18" ht="12.75">
      <c r="A4113" s="22"/>
      <c r="D4113" s="19"/>
      <c r="H4113" s="18"/>
      <c r="J4113" s="18"/>
      <c r="N4113" s="16"/>
      <c r="O4113" s="17"/>
      <c r="Q4113" s="22"/>
      <c r="R4113" s="23"/>
    </row>
    <row r="4114" spans="1:18" ht="12.75">
      <c r="A4114" s="22"/>
      <c r="D4114" s="19"/>
      <c r="H4114" s="18"/>
      <c r="J4114" s="18"/>
      <c r="N4114" s="16"/>
      <c r="O4114" s="17"/>
      <c r="Q4114" s="22"/>
      <c r="R4114" s="23"/>
    </row>
    <row r="4115" spans="1:18" ht="12.75">
      <c r="A4115" s="22"/>
      <c r="D4115" s="19"/>
      <c r="H4115" s="18"/>
      <c r="J4115" s="18"/>
      <c r="N4115" s="16"/>
      <c r="O4115" s="17"/>
      <c r="Q4115" s="22"/>
      <c r="R4115" s="23"/>
    </row>
    <row r="4116" spans="1:18" ht="12.75">
      <c r="A4116" s="22"/>
      <c r="D4116" s="19"/>
      <c r="H4116" s="18"/>
      <c r="J4116" s="18"/>
      <c r="N4116" s="16"/>
      <c r="O4116" s="17"/>
      <c r="Q4116" s="22"/>
      <c r="R4116" s="23"/>
    </row>
    <row r="4117" spans="1:18" ht="12.75">
      <c r="A4117" s="22"/>
      <c r="D4117" s="19"/>
      <c r="H4117" s="18"/>
      <c r="J4117" s="18"/>
      <c r="N4117" s="16"/>
      <c r="O4117" s="17"/>
      <c r="Q4117" s="22"/>
      <c r="R4117" s="23"/>
    </row>
    <row r="4118" spans="1:18" ht="12.75">
      <c r="A4118" s="22"/>
      <c r="D4118" s="19"/>
      <c r="H4118" s="18"/>
      <c r="J4118" s="18"/>
      <c r="N4118" s="16"/>
      <c r="O4118" s="17"/>
      <c r="Q4118" s="22"/>
      <c r="R4118" s="23"/>
    </row>
    <row r="4119" spans="1:18" ht="12.75">
      <c r="A4119" s="22"/>
      <c r="D4119" s="19"/>
      <c r="H4119" s="18"/>
      <c r="J4119" s="18"/>
      <c r="N4119" s="16"/>
      <c r="O4119" s="17"/>
      <c r="Q4119" s="22"/>
      <c r="R4119" s="23"/>
    </row>
    <row r="4120" spans="1:18" ht="12.75">
      <c r="A4120" s="22"/>
      <c r="D4120" s="19"/>
      <c r="H4120" s="18"/>
      <c r="J4120" s="18"/>
      <c r="N4120" s="16"/>
      <c r="O4120" s="17"/>
      <c r="Q4120" s="22"/>
      <c r="R4120" s="23"/>
    </row>
    <row r="4121" spans="1:18" ht="12.75">
      <c r="A4121" s="22"/>
      <c r="D4121" s="19"/>
      <c r="H4121" s="18"/>
      <c r="J4121" s="18"/>
      <c r="N4121" s="16"/>
      <c r="O4121" s="17"/>
      <c r="Q4121" s="22"/>
      <c r="R4121" s="23"/>
    </row>
    <row r="4122" spans="1:18" ht="12.75">
      <c r="A4122" s="22"/>
      <c r="D4122" s="19"/>
      <c r="H4122" s="18"/>
      <c r="J4122" s="18"/>
      <c r="N4122" s="16"/>
      <c r="O4122" s="17"/>
      <c r="Q4122" s="22"/>
      <c r="R4122" s="23"/>
    </row>
    <row r="4123" spans="1:18" ht="12.75">
      <c r="A4123" s="22"/>
      <c r="D4123" s="19"/>
      <c r="H4123" s="18"/>
      <c r="J4123" s="18"/>
      <c r="N4123" s="16"/>
      <c r="O4123" s="17"/>
      <c r="Q4123" s="22"/>
      <c r="R4123" s="23"/>
    </row>
    <row r="4124" spans="1:18" ht="12.75">
      <c r="A4124" s="22"/>
      <c r="D4124" s="19"/>
      <c r="H4124" s="18"/>
      <c r="J4124" s="18"/>
      <c r="N4124" s="16"/>
      <c r="O4124" s="17"/>
      <c r="Q4124" s="22"/>
      <c r="R4124" s="23"/>
    </row>
    <row r="4125" spans="1:18" ht="12.75">
      <c r="A4125" s="22"/>
      <c r="D4125" s="19"/>
      <c r="H4125" s="18"/>
      <c r="J4125" s="18"/>
      <c r="N4125" s="16"/>
      <c r="O4125" s="17"/>
      <c r="Q4125" s="22"/>
      <c r="R4125" s="23"/>
    </row>
    <row r="4126" spans="1:18" ht="12.75">
      <c r="A4126" s="22"/>
      <c r="D4126" s="19"/>
      <c r="H4126" s="18"/>
      <c r="J4126" s="18"/>
      <c r="N4126" s="16"/>
      <c r="O4126" s="17"/>
      <c r="Q4126" s="22"/>
      <c r="R4126" s="23"/>
    </row>
    <row r="4127" spans="1:18" ht="12.75">
      <c r="A4127" s="22"/>
      <c r="D4127" s="19"/>
      <c r="H4127" s="18"/>
      <c r="J4127" s="18"/>
      <c r="N4127" s="16"/>
      <c r="O4127" s="17"/>
      <c r="Q4127" s="22"/>
      <c r="R4127" s="23"/>
    </row>
    <row r="4128" spans="1:18" ht="12.75">
      <c r="A4128" s="22"/>
      <c r="D4128" s="19"/>
      <c r="H4128" s="18"/>
      <c r="J4128" s="18"/>
      <c r="N4128" s="16"/>
      <c r="O4128" s="17"/>
      <c r="Q4128" s="22"/>
      <c r="R4128" s="23"/>
    </row>
    <row r="4129" spans="1:18" ht="12.75">
      <c r="A4129" s="22"/>
      <c r="D4129" s="19"/>
      <c r="H4129" s="18"/>
      <c r="J4129" s="18"/>
      <c r="N4129" s="16"/>
      <c r="O4129" s="17"/>
      <c r="Q4129" s="22"/>
      <c r="R4129" s="23"/>
    </row>
    <row r="4130" spans="1:18" ht="12.75">
      <c r="A4130" s="22"/>
      <c r="D4130" s="19"/>
      <c r="H4130" s="18"/>
      <c r="J4130" s="18"/>
      <c r="N4130" s="16"/>
      <c r="O4130" s="17"/>
      <c r="Q4130" s="22"/>
      <c r="R4130" s="23"/>
    </row>
    <row r="4131" spans="1:18" ht="12.75">
      <c r="A4131" s="22"/>
      <c r="D4131" s="19"/>
      <c r="H4131" s="18"/>
      <c r="J4131" s="18"/>
      <c r="N4131" s="16"/>
      <c r="O4131" s="17"/>
      <c r="Q4131" s="22"/>
      <c r="R4131" s="23"/>
    </row>
    <row r="4132" spans="1:18" ht="12.75">
      <c r="A4132" s="22"/>
      <c r="D4132" s="19"/>
      <c r="H4132" s="18"/>
      <c r="J4132" s="18"/>
      <c r="N4132" s="16"/>
      <c r="O4132" s="17"/>
      <c r="Q4132" s="22"/>
      <c r="R4132" s="23"/>
    </row>
    <row r="4133" spans="1:18" ht="12.75">
      <c r="A4133" s="22"/>
      <c r="D4133" s="19"/>
      <c r="H4133" s="18"/>
      <c r="J4133" s="18"/>
      <c r="N4133" s="16"/>
      <c r="O4133" s="17"/>
      <c r="Q4133" s="22"/>
      <c r="R4133" s="23"/>
    </row>
    <row r="4134" spans="1:18" ht="12.75">
      <c r="A4134" s="22"/>
      <c r="D4134" s="19"/>
      <c r="H4134" s="18"/>
      <c r="J4134" s="18"/>
      <c r="N4134" s="16"/>
      <c r="O4134" s="17"/>
      <c r="Q4134" s="22"/>
      <c r="R4134" s="23"/>
    </row>
    <row r="4135" spans="1:18" ht="12.75">
      <c r="A4135" s="22"/>
      <c r="D4135" s="19"/>
      <c r="H4135" s="18"/>
      <c r="J4135" s="18"/>
      <c r="N4135" s="16"/>
      <c r="O4135" s="17"/>
      <c r="Q4135" s="22"/>
      <c r="R4135" s="23"/>
    </row>
    <row r="4136" spans="1:18" ht="12.75">
      <c r="A4136" s="22"/>
      <c r="D4136" s="19"/>
      <c r="H4136" s="18"/>
      <c r="J4136" s="18"/>
      <c r="N4136" s="16"/>
      <c r="O4136" s="17"/>
      <c r="Q4136" s="22"/>
      <c r="R4136" s="23"/>
    </row>
    <row r="4137" spans="1:18" ht="12.75">
      <c r="A4137" s="22"/>
      <c r="D4137" s="19"/>
      <c r="H4137" s="18"/>
      <c r="J4137" s="18"/>
      <c r="N4137" s="16"/>
      <c r="O4137" s="17"/>
      <c r="Q4137" s="22"/>
      <c r="R4137" s="23"/>
    </row>
    <row r="4138" spans="1:18" ht="12.75">
      <c r="A4138" s="22"/>
      <c r="D4138" s="19"/>
      <c r="H4138" s="18"/>
      <c r="J4138" s="18"/>
      <c r="N4138" s="16"/>
      <c r="O4138" s="17"/>
      <c r="Q4138" s="22"/>
      <c r="R4138" s="23"/>
    </row>
    <row r="4139" spans="1:18" ht="12.75">
      <c r="A4139" s="22"/>
      <c r="D4139" s="19"/>
      <c r="H4139" s="18"/>
      <c r="J4139" s="18"/>
      <c r="N4139" s="16"/>
      <c r="O4139" s="17"/>
      <c r="Q4139" s="22"/>
      <c r="R4139" s="23"/>
    </row>
    <row r="4140" spans="1:18" ht="12.75">
      <c r="A4140" s="22"/>
      <c r="D4140" s="19"/>
      <c r="H4140" s="18"/>
      <c r="J4140" s="18"/>
      <c r="N4140" s="16"/>
      <c r="O4140" s="17"/>
      <c r="Q4140" s="22"/>
      <c r="R4140" s="23"/>
    </row>
    <row r="4141" spans="1:18" ht="12.75">
      <c r="A4141" s="22"/>
      <c r="D4141" s="19"/>
      <c r="H4141" s="18"/>
      <c r="J4141" s="18"/>
      <c r="N4141" s="16"/>
      <c r="O4141" s="17"/>
      <c r="Q4141" s="22"/>
      <c r="R4141" s="23"/>
    </row>
    <row r="4142" spans="1:18" ht="12.75">
      <c r="A4142" s="22"/>
      <c r="D4142" s="19"/>
      <c r="H4142" s="18"/>
      <c r="J4142" s="18"/>
      <c r="N4142" s="16"/>
      <c r="O4142" s="17"/>
      <c r="Q4142" s="22"/>
      <c r="R4142" s="23"/>
    </row>
    <row r="4143" spans="1:18" ht="12.75">
      <c r="A4143" s="22"/>
      <c r="D4143" s="19"/>
      <c r="H4143" s="18"/>
      <c r="J4143" s="18"/>
      <c r="N4143" s="16"/>
      <c r="O4143" s="17"/>
      <c r="Q4143" s="22"/>
      <c r="R4143" s="23"/>
    </row>
    <row r="4144" spans="1:18" ht="12.75">
      <c r="A4144" s="22"/>
      <c r="D4144" s="19"/>
      <c r="H4144" s="18"/>
      <c r="J4144" s="18"/>
      <c r="N4144" s="16"/>
      <c r="O4144" s="17"/>
      <c r="Q4144" s="22"/>
      <c r="R4144" s="23"/>
    </row>
    <row r="4145" spans="1:18" ht="12.75">
      <c r="A4145" s="22"/>
      <c r="D4145" s="19"/>
      <c r="H4145" s="18"/>
      <c r="J4145" s="18"/>
      <c r="N4145" s="16"/>
      <c r="O4145" s="17"/>
      <c r="Q4145" s="22"/>
      <c r="R4145" s="23"/>
    </row>
    <row r="4146" spans="1:18" ht="12.75">
      <c r="A4146" s="22"/>
      <c r="D4146" s="19"/>
      <c r="H4146" s="18"/>
      <c r="J4146" s="18"/>
      <c r="N4146" s="16"/>
      <c r="O4146" s="17"/>
      <c r="Q4146" s="22"/>
      <c r="R4146" s="23"/>
    </row>
    <row r="4147" spans="1:18" ht="12.75">
      <c r="A4147" s="22"/>
      <c r="D4147" s="19"/>
      <c r="H4147" s="18"/>
      <c r="J4147" s="18"/>
      <c r="N4147" s="16"/>
      <c r="O4147" s="17"/>
      <c r="Q4147" s="22"/>
      <c r="R4147" s="23"/>
    </row>
    <row r="4148" spans="1:18" ht="12.75">
      <c r="A4148" s="22"/>
      <c r="D4148" s="19"/>
      <c r="H4148" s="18"/>
      <c r="J4148" s="18"/>
      <c r="N4148" s="16"/>
      <c r="O4148" s="17"/>
      <c r="Q4148" s="22"/>
      <c r="R4148" s="23"/>
    </row>
    <row r="4149" spans="1:18" ht="12.75">
      <c r="A4149" s="22"/>
      <c r="D4149" s="19"/>
      <c r="H4149" s="18"/>
      <c r="J4149" s="18"/>
      <c r="N4149" s="16"/>
      <c r="O4149" s="17"/>
      <c r="Q4149" s="22"/>
      <c r="R4149" s="23"/>
    </row>
    <row r="4150" spans="1:18" ht="12.75">
      <c r="A4150" s="22"/>
      <c r="D4150" s="19"/>
      <c r="H4150" s="18"/>
      <c r="J4150" s="18"/>
      <c r="N4150" s="16"/>
      <c r="O4150" s="17"/>
      <c r="Q4150" s="22"/>
      <c r="R4150" s="23"/>
    </row>
    <row r="4151" spans="1:18" ht="12.75">
      <c r="A4151" s="22"/>
      <c r="D4151" s="19"/>
      <c r="H4151" s="18"/>
      <c r="J4151" s="18"/>
      <c r="N4151" s="16"/>
      <c r="O4151" s="17"/>
      <c r="Q4151" s="22"/>
      <c r="R4151" s="23"/>
    </row>
    <row r="4152" spans="1:18" ht="12.75">
      <c r="A4152" s="22"/>
      <c r="D4152" s="19"/>
      <c r="H4152" s="18"/>
      <c r="J4152" s="18"/>
      <c r="N4152" s="16"/>
      <c r="O4152" s="17"/>
      <c r="Q4152" s="22"/>
      <c r="R4152" s="23"/>
    </row>
    <row r="4153" spans="1:18" ht="12.75">
      <c r="A4153" s="22"/>
      <c r="D4153" s="19"/>
      <c r="H4153" s="18"/>
      <c r="J4153" s="18"/>
      <c r="N4153" s="16"/>
      <c r="O4153" s="17"/>
      <c r="Q4153" s="22"/>
      <c r="R4153" s="23"/>
    </row>
    <row r="4154" spans="1:18" ht="12.75">
      <c r="A4154" s="22"/>
      <c r="D4154" s="19"/>
      <c r="H4154" s="18"/>
      <c r="J4154" s="18"/>
      <c r="N4154" s="16"/>
      <c r="O4154" s="17"/>
      <c r="Q4154" s="22"/>
      <c r="R4154" s="23"/>
    </row>
    <row r="4155" spans="1:18" ht="12.75">
      <c r="A4155" s="22"/>
      <c r="D4155" s="19"/>
      <c r="H4155" s="18"/>
      <c r="J4155" s="18"/>
      <c r="N4155" s="16"/>
      <c r="O4155" s="17"/>
      <c r="Q4155" s="22"/>
      <c r="R4155" s="23"/>
    </row>
    <row r="4156" spans="1:18" ht="12.75">
      <c r="A4156" s="22"/>
      <c r="D4156" s="19"/>
      <c r="H4156" s="18"/>
      <c r="J4156" s="18"/>
      <c r="N4156" s="16"/>
      <c r="O4156" s="17"/>
      <c r="Q4156" s="22"/>
      <c r="R4156" s="23"/>
    </row>
    <row r="4157" spans="1:18" ht="12.75">
      <c r="A4157" s="22"/>
      <c r="D4157" s="19"/>
      <c r="H4157" s="18"/>
      <c r="J4157" s="18"/>
      <c r="N4157" s="16"/>
      <c r="O4157" s="17"/>
      <c r="Q4157" s="22"/>
      <c r="R4157" s="23"/>
    </row>
    <row r="4158" spans="1:18" ht="12.75">
      <c r="A4158" s="22"/>
      <c r="D4158" s="19"/>
      <c r="H4158" s="18"/>
      <c r="J4158" s="18"/>
      <c r="N4158" s="16"/>
      <c r="O4158" s="17"/>
      <c r="Q4158" s="22"/>
      <c r="R4158" s="23"/>
    </row>
    <row r="4159" spans="1:18" ht="12.75">
      <c r="A4159" s="22"/>
      <c r="D4159" s="19"/>
      <c r="H4159" s="18"/>
      <c r="J4159" s="18"/>
      <c r="N4159" s="16"/>
      <c r="O4159" s="17"/>
      <c r="Q4159" s="22"/>
      <c r="R4159" s="23"/>
    </row>
    <row r="4160" spans="1:18" ht="12.75">
      <c r="A4160" s="22"/>
      <c r="D4160" s="19"/>
      <c r="H4160" s="18"/>
      <c r="J4160" s="18"/>
      <c r="N4160" s="16"/>
      <c r="O4160" s="17"/>
      <c r="Q4160" s="22"/>
      <c r="R4160" s="23"/>
    </row>
    <row r="4161" spans="1:18" ht="12.75">
      <c r="A4161" s="22"/>
      <c r="D4161" s="19"/>
      <c r="H4161" s="18"/>
      <c r="J4161" s="18"/>
      <c r="N4161" s="16"/>
      <c r="O4161" s="17"/>
      <c r="Q4161" s="22"/>
      <c r="R4161" s="23"/>
    </row>
    <row r="4162" spans="1:18" ht="12.75">
      <c r="A4162" s="22"/>
      <c r="D4162" s="19"/>
      <c r="H4162" s="18"/>
      <c r="J4162" s="18"/>
      <c r="N4162" s="16"/>
      <c r="O4162" s="17"/>
      <c r="Q4162" s="22"/>
      <c r="R4162" s="23"/>
    </row>
    <row r="4163" spans="1:18" ht="12.75">
      <c r="A4163" s="22"/>
      <c r="D4163" s="19"/>
      <c r="H4163" s="18"/>
      <c r="J4163" s="18"/>
      <c r="N4163" s="16"/>
      <c r="O4163" s="17"/>
      <c r="Q4163" s="22"/>
      <c r="R4163" s="23"/>
    </row>
    <row r="4164" spans="1:18" ht="12.75">
      <c r="A4164" s="22"/>
      <c r="D4164" s="19"/>
      <c r="H4164" s="18"/>
      <c r="J4164" s="18"/>
      <c r="N4164" s="16"/>
      <c r="O4164" s="17"/>
      <c r="Q4164" s="22"/>
      <c r="R4164" s="23"/>
    </row>
    <row r="4165" spans="1:18" ht="12.75">
      <c r="A4165" s="22"/>
      <c r="D4165" s="19"/>
      <c r="H4165" s="18"/>
      <c r="J4165" s="18"/>
      <c r="N4165" s="16"/>
      <c r="O4165" s="17"/>
      <c r="Q4165" s="22"/>
      <c r="R4165" s="23"/>
    </row>
    <row r="4166" spans="1:18" ht="12.75">
      <c r="A4166" s="22"/>
      <c r="D4166" s="19"/>
      <c r="H4166" s="18"/>
      <c r="J4166" s="18"/>
      <c r="N4166" s="16"/>
      <c r="O4166" s="17"/>
      <c r="Q4166" s="22"/>
      <c r="R4166" s="23"/>
    </row>
    <row r="4167" spans="1:18" ht="12.75">
      <c r="A4167" s="22"/>
      <c r="D4167" s="19"/>
      <c r="H4167" s="18"/>
      <c r="J4167" s="18"/>
      <c r="N4167" s="16"/>
      <c r="O4167" s="17"/>
      <c r="Q4167" s="22"/>
      <c r="R4167" s="23"/>
    </row>
    <row r="4168" spans="1:18" ht="12.75">
      <c r="A4168" s="22"/>
      <c r="D4168" s="19"/>
      <c r="H4168" s="18"/>
      <c r="J4168" s="18"/>
      <c r="N4168" s="16"/>
      <c r="O4168" s="17"/>
      <c r="Q4168" s="22"/>
      <c r="R4168" s="23"/>
    </row>
    <row r="4169" spans="1:18" ht="12.75">
      <c r="A4169" s="22"/>
      <c r="D4169" s="19"/>
      <c r="H4169" s="18"/>
      <c r="J4169" s="18"/>
      <c r="N4169" s="16"/>
      <c r="O4169" s="17"/>
      <c r="Q4169" s="22"/>
      <c r="R4169" s="23"/>
    </row>
    <row r="4170" spans="1:18" ht="12.75">
      <c r="A4170" s="22"/>
      <c r="D4170" s="19"/>
      <c r="H4170" s="18"/>
      <c r="J4170" s="18"/>
      <c r="N4170" s="16"/>
      <c r="O4170" s="17"/>
      <c r="Q4170" s="22"/>
      <c r="R4170" s="23"/>
    </row>
    <row r="4171" spans="1:18" ht="12.75">
      <c r="A4171" s="22"/>
      <c r="D4171" s="19"/>
      <c r="H4171" s="18"/>
      <c r="J4171" s="18"/>
      <c r="N4171" s="16"/>
      <c r="O4171" s="17"/>
      <c r="Q4171" s="22"/>
      <c r="R4171" s="23"/>
    </row>
    <row r="4172" spans="1:18" ht="12.75">
      <c r="A4172" s="22"/>
      <c r="D4172" s="19"/>
      <c r="H4172" s="18"/>
      <c r="J4172" s="18"/>
      <c r="N4172" s="16"/>
      <c r="O4172" s="17"/>
      <c r="Q4172" s="22"/>
      <c r="R4172" s="23"/>
    </row>
    <row r="4173" spans="1:18" ht="12.75">
      <c r="A4173" s="22"/>
      <c r="D4173" s="19"/>
      <c r="H4173" s="18"/>
      <c r="J4173" s="18"/>
      <c r="N4173" s="16"/>
      <c r="O4173" s="17"/>
      <c r="Q4173" s="22"/>
      <c r="R4173" s="23"/>
    </row>
    <row r="4174" spans="1:18" ht="12.75">
      <c r="A4174" s="22"/>
      <c r="D4174" s="19"/>
      <c r="H4174" s="18"/>
      <c r="J4174" s="18"/>
      <c r="N4174" s="16"/>
      <c r="O4174" s="17"/>
      <c r="Q4174" s="22"/>
      <c r="R4174" s="23"/>
    </row>
    <row r="4175" spans="1:18" ht="12.75">
      <c r="A4175" s="22"/>
      <c r="D4175" s="19"/>
      <c r="H4175" s="18"/>
      <c r="J4175" s="18"/>
      <c r="N4175" s="16"/>
      <c r="O4175" s="17"/>
      <c r="Q4175" s="22"/>
      <c r="R4175" s="23"/>
    </row>
    <row r="4176" spans="1:18" ht="12.75">
      <c r="A4176" s="22"/>
      <c r="D4176" s="19"/>
      <c r="H4176" s="18"/>
      <c r="J4176" s="18"/>
      <c r="N4176" s="16"/>
      <c r="O4176" s="17"/>
      <c r="Q4176" s="22"/>
      <c r="R4176" s="23"/>
    </row>
    <row r="4177" spans="1:18" ht="12.75">
      <c r="A4177" s="22"/>
      <c r="D4177" s="19"/>
      <c r="H4177" s="18"/>
      <c r="J4177" s="18"/>
      <c r="N4177" s="16"/>
      <c r="O4177" s="17"/>
      <c r="Q4177" s="22"/>
      <c r="R4177" s="23"/>
    </row>
    <row r="4178" spans="1:18" ht="12.75">
      <c r="A4178" s="22"/>
      <c r="D4178" s="19"/>
      <c r="H4178" s="18"/>
      <c r="J4178" s="18"/>
      <c r="N4178" s="16"/>
      <c r="O4178" s="17"/>
      <c r="Q4178" s="22"/>
      <c r="R4178" s="23"/>
    </row>
    <row r="4179" spans="1:18" ht="12.75">
      <c r="A4179" s="22"/>
      <c r="D4179" s="19"/>
      <c r="H4179" s="18"/>
      <c r="J4179" s="18"/>
      <c r="N4179" s="16"/>
      <c r="O4179" s="17"/>
      <c r="Q4179" s="22"/>
      <c r="R4179" s="23"/>
    </row>
    <row r="4180" spans="1:18" ht="12.75">
      <c r="A4180" s="22"/>
      <c r="D4180" s="19"/>
      <c r="H4180" s="18"/>
      <c r="J4180" s="18"/>
      <c r="N4180" s="16"/>
      <c r="O4180" s="17"/>
      <c r="Q4180" s="22"/>
      <c r="R4180" s="23"/>
    </row>
    <row r="4181" spans="1:18" ht="12.75">
      <c r="A4181" s="22"/>
      <c r="D4181" s="19"/>
      <c r="H4181" s="18"/>
      <c r="J4181" s="18"/>
      <c r="N4181" s="16"/>
      <c r="O4181" s="17"/>
      <c r="Q4181" s="22"/>
      <c r="R4181" s="23"/>
    </row>
    <row r="4182" spans="1:18" ht="12.75">
      <c r="A4182" s="22"/>
      <c r="D4182" s="19"/>
      <c r="H4182" s="18"/>
      <c r="J4182" s="18"/>
      <c r="N4182" s="16"/>
      <c r="O4182" s="17"/>
      <c r="Q4182" s="22"/>
      <c r="R4182" s="23"/>
    </row>
    <row r="4183" spans="1:18" ht="12.75">
      <c r="A4183" s="22"/>
      <c r="D4183" s="19"/>
      <c r="H4183" s="18"/>
      <c r="J4183" s="18"/>
      <c r="N4183" s="16"/>
      <c r="O4183" s="17"/>
      <c r="Q4183" s="22"/>
      <c r="R4183" s="23"/>
    </row>
    <row r="4184" spans="1:18" ht="12.75">
      <c r="A4184" s="22"/>
      <c r="D4184" s="19"/>
      <c r="H4184" s="18"/>
      <c r="J4184" s="18"/>
      <c r="N4184" s="16"/>
      <c r="O4184" s="17"/>
      <c r="Q4184" s="22"/>
      <c r="R4184" s="23"/>
    </row>
    <row r="4185" spans="1:18" ht="12.75">
      <c r="A4185" s="22"/>
      <c r="D4185" s="19"/>
      <c r="H4185" s="18"/>
      <c r="J4185" s="18"/>
      <c r="N4185" s="16"/>
      <c r="O4185" s="17"/>
      <c r="Q4185" s="22"/>
      <c r="R4185" s="23"/>
    </row>
    <row r="4186" spans="1:18" ht="12.75">
      <c r="A4186" s="22"/>
      <c r="D4186" s="19"/>
      <c r="H4186" s="18"/>
      <c r="J4186" s="18"/>
      <c r="N4186" s="16"/>
      <c r="O4186" s="17"/>
      <c r="Q4186" s="22"/>
      <c r="R4186" s="23"/>
    </row>
    <row r="4187" spans="1:18" ht="12.75">
      <c r="A4187" s="22"/>
      <c r="D4187" s="19"/>
      <c r="H4187" s="18"/>
      <c r="J4187" s="18"/>
      <c r="N4187" s="16"/>
      <c r="O4187" s="17"/>
      <c r="Q4187" s="22"/>
      <c r="R4187" s="23"/>
    </row>
    <row r="4188" spans="1:18" ht="12.75">
      <c r="A4188" s="22"/>
      <c r="D4188" s="19"/>
      <c r="H4188" s="18"/>
      <c r="J4188" s="18"/>
      <c r="N4188" s="16"/>
      <c r="O4188" s="17"/>
      <c r="Q4188" s="22"/>
      <c r="R4188" s="23"/>
    </row>
    <row r="4189" spans="1:18" ht="12.75">
      <c r="A4189" s="22"/>
      <c r="D4189" s="19"/>
      <c r="H4189" s="18"/>
      <c r="J4189" s="18"/>
      <c r="N4189" s="16"/>
      <c r="O4189" s="17"/>
      <c r="Q4189" s="22"/>
      <c r="R4189" s="23"/>
    </row>
    <row r="4190" spans="1:18" ht="12.75">
      <c r="A4190" s="22"/>
      <c r="D4190" s="19"/>
      <c r="H4190" s="18"/>
      <c r="J4190" s="18"/>
      <c r="N4190" s="16"/>
      <c r="O4190" s="17"/>
      <c r="Q4190" s="22"/>
      <c r="R4190" s="23"/>
    </row>
    <row r="4191" spans="1:18" ht="12.75">
      <c r="A4191" s="22"/>
      <c r="D4191" s="19"/>
      <c r="H4191" s="18"/>
      <c r="J4191" s="18"/>
      <c r="N4191" s="16"/>
      <c r="O4191" s="17"/>
      <c r="Q4191" s="22"/>
      <c r="R4191" s="23"/>
    </row>
    <row r="4192" spans="1:18" ht="12.75">
      <c r="A4192" s="22"/>
      <c r="D4192" s="19"/>
      <c r="H4192" s="18"/>
      <c r="J4192" s="18"/>
      <c r="N4192" s="16"/>
      <c r="O4192" s="17"/>
      <c r="Q4192" s="22"/>
      <c r="R4192" s="23"/>
    </row>
    <row r="4193" spans="1:18" ht="12.75">
      <c r="A4193" s="22"/>
      <c r="D4193" s="19"/>
      <c r="H4193" s="18"/>
      <c r="J4193" s="18"/>
      <c r="N4193" s="16"/>
      <c r="O4193" s="17"/>
      <c r="Q4193" s="22"/>
      <c r="R4193" s="23"/>
    </row>
    <row r="4194" spans="1:18" ht="12.75">
      <c r="A4194" s="22"/>
      <c r="D4194" s="19"/>
      <c r="H4194" s="18"/>
      <c r="J4194" s="18"/>
      <c r="N4194" s="16"/>
      <c r="O4194" s="17"/>
      <c r="Q4194" s="22"/>
      <c r="R4194" s="23"/>
    </row>
    <row r="4195" spans="1:18" ht="12.75">
      <c r="A4195" s="22"/>
      <c r="D4195" s="19"/>
      <c r="H4195" s="18"/>
      <c r="J4195" s="18"/>
      <c r="N4195" s="16"/>
      <c r="O4195" s="17"/>
      <c r="Q4195" s="22"/>
      <c r="R4195" s="23"/>
    </row>
    <row r="4196" spans="1:18" ht="12.75">
      <c r="A4196" s="22"/>
      <c r="D4196" s="19"/>
      <c r="H4196" s="18"/>
      <c r="J4196" s="18"/>
      <c r="N4196" s="16"/>
      <c r="O4196" s="17"/>
      <c r="Q4196" s="22"/>
      <c r="R4196" s="23"/>
    </row>
    <row r="4197" spans="1:18" ht="12.75">
      <c r="A4197" s="22"/>
      <c r="D4197" s="19"/>
      <c r="H4197" s="18"/>
      <c r="J4197" s="18"/>
      <c r="N4197" s="16"/>
      <c r="O4197" s="17"/>
      <c r="Q4197" s="22"/>
      <c r="R4197" s="23"/>
    </row>
    <row r="4198" spans="1:18" ht="12.75">
      <c r="A4198" s="22"/>
      <c r="D4198" s="19"/>
      <c r="H4198" s="18"/>
      <c r="J4198" s="18"/>
      <c r="N4198" s="16"/>
      <c r="O4198" s="17"/>
      <c r="Q4198" s="22"/>
      <c r="R4198" s="23"/>
    </row>
    <row r="4199" spans="1:18" ht="12.75">
      <c r="A4199" s="22"/>
      <c r="D4199" s="19"/>
      <c r="H4199" s="18"/>
      <c r="J4199" s="18"/>
      <c r="N4199" s="16"/>
      <c r="O4199" s="17"/>
      <c r="Q4199" s="22"/>
      <c r="R4199" s="23"/>
    </row>
    <row r="4200" spans="1:18" ht="12.75">
      <c r="A4200" s="22"/>
      <c r="D4200" s="19"/>
      <c r="H4200" s="18"/>
      <c r="J4200" s="18"/>
      <c r="N4200" s="16"/>
      <c r="O4200" s="17"/>
      <c r="Q4200" s="22"/>
      <c r="R4200" s="23"/>
    </row>
    <row r="4201" spans="1:18" ht="12.75">
      <c r="A4201" s="22"/>
      <c r="D4201" s="19"/>
      <c r="H4201" s="18"/>
      <c r="J4201" s="18"/>
      <c r="N4201" s="16"/>
      <c r="O4201" s="17"/>
      <c r="Q4201" s="22"/>
      <c r="R4201" s="23"/>
    </row>
    <row r="4202" spans="1:18" ht="12.75">
      <c r="A4202" s="22"/>
      <c r="D4202" s="19"/>
      <c r="H4202" s="18"/>
      <c r="J4202" s="18"/>
      <c r="N4202" s="16"/>
      <c r="O4202" s="17"/>
      <c r="Q4202" s="22"/>
      <c r="R4202" s="23"/>
    </row>
    <row r="4203" spans="1:18" ht="12.75">
      <c r="A4203" s="22"/>
      <c r="D4203" s="19"/>
      <c r="H4203" s="18"/>
      <c r="J4203" s="18"/>
      <c r="N4203" s="16"/>
      <c r="O4203" s="17"/>
      <c r="Q4203" s="22"/>
      <c r="R4203" s="23"/>
    </row>
    <row r="4204" spans="1:18" ht="12.75">
      <c r="A4204" s="22"/>
      <c r="D4204" s="19"/>
      <c r="H4204" s="18"/>
      <c r="J4204" s="18"/>
      <c r="N4204" s="16"/>
      <c r="O4204" s="17"/>
      <c r="Q4204" s="22"/>
      <c r="R4204" s="23"/>
    </row>
    <row r="4205" spans="1:18" ht="12.75">
      <c r="A4205" s="22"/>
      <c r="D4205" s="19"/>
      <c r="H4205" s="18"/>
      <c r="J4205" s="18"/>
      <c r="N4205" s="16"/>
      <c r="O4205" s="17"/>
      <c r="Q4205" s="22"/>
      <c r="R4205" s="23"/>
    </row>
    <row r="4206" spans="1:18" ht="12.75">
      <c r="A4206" s="22"/>
      <c r="D4206" s="19"/>
      <c r="H4206" s="18"/>
      <c r="J4206" s="18"/>
      <c r="N4206" s="16"/>
      <c r="O4206" s="17"/>
      <c r="Q4206" s="22"/>
      <c r="R4206" s="23"/>
    </row>
    <row r="4207" spans="1:18" ht="12.75">
      <c r="A4207" s="22"/>
      <c r="D4207" s="19"/>
      <c r="H4207" s="18"/>
      <c r="J4207" s="18"/>
      <c r="N4207" s="16"/>
      <c r="O4207" s="17"/>
      <c r="Q4207" s="22"/>
      <c r="R4207" s="23"/>
    </row>
    <row r="4208" spans="1:18" ht="12.75">
      <c r="A4208" s="22"/>
      <c r="D4208" s="19"/>
      <c r="H4208" s="18"/>
      <c r="J4208" s="18"/>
      <c r="N4208" s="16"/>
      <c r="O4208" s="17"/>
      <c r="Q4208" s="22"/>
      <c r="R4208" s="23"/>
    </row>
    <row r="4209" spans="1:18" ht="12.75">
      <c r="A4209" s="22"/>
      <c r="D4209" s="19"/>
      <c r="H4209" s="18"/>
      <c r="J4209" s="18"/>
      <c r="N4209" s="16"/>
      <c r="O4209" s="17"/>
      <c r="Q4209" s="22"/>
      <c r="R4209" s="23"/>
    </row>
    <row r="4210" spans="1:18" ht="12.75">
      <c r="A4210" s="22"/>
      <c r="D4210" s="19"/>
      <c r="H4210" s="18"/>
      <c r="J4210" s="18"/>
      <c r="N4210" s="16"/>
      <c r="O4210" s="17"/>
      <c r="Q4210" s="22"/>
      <c r="R4210" s="23"/>
    </row>
    <row r="4211" spans="1:18" ht="12.75">
      <c r="A4211" s="22"/>
      <c r="D4211" s="19"/>
      <c r="H4211" s="18"/>
      <c r="J4211" s="18"/>
      <c r="N4211" s="16"/>
      <c r="O4211" s="17"/>
      <c r="Q4211" s="22"/>
      <c r="R4211" s="23"/>
    </row>
    <row r="4212" spans="1:18" ht="12.75">
      <c r="A4212" s="22"/>
      <c r="D4212" s="19"/>
      <c r="H4212" s="18"/>
      <c r="J4212" s="18"/>
      <c r="N4212" s="16"/>
      <c r="O4212" s="17"/>
      <c r="Q4212" s="22"/>
      <c r="R4212" s="23"/>
    </row>
    <row r="4213" spans="1:18" ht="12.75">
      <c r="A4213" s="22"/>
      <c r="D4213" s="19"/>
      <c r="H4213" s="18"/>
      <c r="J4213" s="18"/>
      <c r="N4213" s="16"/>
      <c r="O4213" s="17"/>
      <c r="Q4213" s="22"/>
      <c r="R4213" s="23"/>
    </row>
    <row r="4214" spans="1:18" ht="12.75">
      <c r="A4214" s="22"/>
      <c r="D4214" s="19"/>
      <c r="H4214" s="18"/>
      <c r="J4214" s="18"/>
      <c r="N4214" s="16"/>
      <c r="O4214" s="17"/>
      <c r="Q4214" s="22"/>
      <c r="R4214" s="23"/>
    </row>
    <row r="4215" spans="1:18" ht="12.75">
      <c r="A4215" s="22"/>
      <c r="D4215" s="19"/>
      <c r="H4215" s="18"/>
      <c r="J4215" s="18"/>
      <c r="N4215" s="16"/>
      <c r="O4215" s="17"/>
      <c r="Q4215" s="22"/>
      <c r="R4215" s="23"/>
    </row>
    <row r="4216" spans="1:18" ht="12.75">
      <c r="A4216" s="22"/>
      <c r="D4216" s="19"/>
      <c r="H4216" s="18"/>
      <c r="J4216" s="18"/>
      <c r="N4216" s="16"/>
      <c r="O4216" s="17"/>
      <c r="Q4216" s="22"/>
      <c r="R4216" s="23"/>
    </row>
    <row r="4217" spans="1:18" ht="12.75">
      <c r="A4217" s="22"/>
      <c r="D4217" s="19"/>
      <c r="H4217" s="18"/>
      <c r="J4217" s="18"/>
      <c r="N4217" s="16"/>
      <c r="O4217" s="17"/>
      <c r="Q4217" s="22"/>
      <c r="R4217" s="23"/>
    </row>
    <row r="4218" spans="1:18" ht="12.75">
      <c r="A4218" s="22"/>
      <c r="D4218" s="19"/>
      <c r="H4218" s="18"/>
      <c r="J4218" s="18"/>
      <c r="N4218" s="16"/>
      <c r="O4218" s="17"/>
      <c r="Q4218" s="22"/>
      <c r="R4218" s="23"/>
    </row>
    <row r="4219" spans="1:18" ht="12.75">
      <c r="A4219" s="22"/>
      <c r="D4219" s="19"/>
      <c r="H4219" s="18"/>
      <c r="J4219" s="18"/>
      <c r="N4219" s="16"/>
      <c r="O4219" s="17"/>
      <c r="Q4219" s="22"/>
      <c r="R4219" s="23"/>
    </row>
    <row r="4220" spans="1:18" ht="12.75">
      <c r="A4220" s="22"/>
      <c r="D4220" s="19"/>
      <c r="H4220" s="18"/>
      <c r="J4220" s="18"/>
      <c r="N4220" s="16"/>
      <c r="O4220" s="17"/>
      <c r="Q4220" s="22"/>
      <c r="R4220" s="23"/>
    </row>
    <row r="4221" spans="1:18" ht="12.75">
      <c r="A4221" s="22"/>
      <c r="D4221" s="19"/>
      <c r="H4221" s="18"/>
      <c r="J4221" s="18"/>
      <c r="N4221" s="16"/>
      <c r="O4221" s="17"/>
      <c r="Q4221" s="22"/>
      <c r="R4221" s="23"/>
    </row>
    <row r="4222" spans="1:18" ht="12.75">
      <c r="A4222" s="22"/>
      <c r="D4222" s="19"/>
      <c r="H4222" s="18"/>
      <c r="J4222" s="18"/>
      <c r="N4222" s="16"/>
      <c r="O4222" s="17"/>
      <c r="Q4222" s="22"/>
      <c r="R4222" s="23"/>
    </row>
    <row r="4223" spans="1:18" ht="12.75">
      <c r="A4223" s="22"/>
      <c r="D4223" s="19"/>
      <c r="H4223" s="18"/>
      <c r="J4223" s="18"/>
      <c r="N4223" s="16"/>
      <c r="O4223" s="17"/>
      <c r="Q4223" s="22"/>
      <c r="R4223" s="23"/>
    </row>
    <row r="4224" spans="1:18" ht="12.75">
      <c r="A4224" s="22"/>
      <c r="D4224" s="19"/>
      <c r="H4224" s="18"/>
      <c r="J4224" s="18"/>
      <c r="N4224" s="16"/>
      <c r="O4224" s="17"/>
      <c r="Q4224" s="22"/>
      <c r="R4224" s="23"/>
    </row>
    <row r="4225" spans="1:18" ht="12.75">
      <c r="A4225" s="22"/>
      <c r="D4225" s="19"/>
      <c r="H4225" s="18"/>
      <c r="J4225" s="18"/>
      <c r="N4225" s="16"/>
      <c r="O4225" s="17"/>
      <c r="Q4225" s="22"/>
      <c r="R4225" s="23"/>
    </row>
    <row r="4226" spans="1:18" ht="12.75">
      <c r="A4226" s="22"/>
      <c r="D4226" s="19"/>
      <c r="H4226" s="18"/>
      <c r="J4226" s="18"/>
      <c r="N4226" s="16"/>
      <c r="O4226" s="17"/>
      <c r="Q4226" s="22"/>
      <c r="R4226" s="23"/>
    </row>
    <row r="4227" spans="1:18" ht="12.75">
      <c r="A4227" s="22"/>
      <c r="D4227" s="19"/>
      <c r="H4227" s="18"/>
      <c r="J4227" s="18"/>
      <c r="N4227" s="16"/>
      <c r="O4227" s="17"/>
      <c r="Q4227" s="22"/>
      <c r="R4227" s="23"/>
    </row>
    <row r="4228" spans="1:18" ht="12.75">
      <c r="A4228" s="22"/>
      <c r="D4228" s="19"/>
      <c r="H4228" s="18"/>
      <c r="J4228" s="18"/>
      <c r="N4228" s="16"/>
      <c r="O4228" s="17"/>
      <c r="Q4228" s="22"/>
      <c r="R4228" s="23"/>
    </row>
    <row r="4229" spans="1:18" ht="12.75">
      <c r="A4229" s="22"/>
      <c r="D4229" s="19"/>
      <c r="H4229" s="18"/>
      <c r="J4229" s="18"/>
      <c r="N4229" s="16"/>
      <c r="O4229" s="17"/>
      <c r="Q4229" s="22"/>
      <c r="R4229" s="23"/>
    </row>
    <row r="4230" spans="1:18" ht="12.75">
      <c r="A4230" s="22"/>
      <c r="D4230" s="19"/>
      <c r="H4230" s="18"/>
      <c r="J4230" s="18"/>
      <c r="N4230" s="16"/>
      <c r="O4230" s="17"/>
      <c r="Q4230" s="22"/>
      <c r="R4230" s="23"/>
    </row>
    <row r="4231" spans="1:18" ht="12.75">
      <c r="A4231" s="22"/>
      <c r="D4231" s="19"/>
      <c r="H4231" s="18"/>
      <c r="J4231" s="18"/>
      <c r="N4231" s="16"/>
      <c r="O4231" s="17"/>
      <c r="Q4231" s="22"/>
      <c r="R4231" s="23"/>
    </row>
    <row r="4232" spans="1:18" ht="12.75">
      <c r="A4232" s="22"/>
      <c r="D4232" s="19"/>
      <c r="H4232" s="18"/>
      <c r="J4232" s="18"/>
      <c r="N4232" s="16"/>
      <c r="O4232" s="17"/>
      <c r="Q4232" s="22"/>
      <c r="R4232" s="23"/>
    </row>
    <row r="4233" spans="1:18" ht="12.75">
      <c r="A4233" s="22"/>
      <c r="D4233" s="19"/>
      <c r="H4233" s="18"/>
      <c r="J4233" s="18"/>
      <c r="N4233" s="16"/>
      <c r="O4233" s="17"/>
      <c r="Q4233" s="22"/>
      <c r="R4233" s="23"/>
    </row>
    <row r="4234" spans="1:18" ht="12.75">
      <c r="A4234" s="22"/>
      <c r="D4234" s="19"/>
      <c r="H4234" s="18"/>
      <c r="J4234" s="18"/>
      <c r="N4234" s="16"/>
      <c r="O4234" s="17"/>
      <c r="Q4234" s="22"/>
      <c r="R4234" s="23"/>
    </row>
    <row r="4235" spans="1:18" ht="12.75">
      <c r="A4235" s="22"/>
      <c r="D4235" s="19"/>
      <c r="H4235" s="18"/>
      <c r="J4235" s="18"/>
      <c r="N4235" s="16"/>
      <c r="O4235" s="17"/>
      <c r="Q4235" s="22"/>
      <c r="R4235" s="23"/>
    </row>
    <row r="4236" spans="1:18" ht="12.75">
      <c r="A4236" s="22"/>
      <c r="D4236" s="19"/>
      <c r="H4236" s="18"/>
      <c r="J4236" s="18"/>
      <c r="N4236" s="16"/>
      <c r="O4236" s="17"/>
      <c r="Q4236" s="22"/>
      <c r="R4236" s="23"/>
    </row>
    <row r="4237" spans="1:18" ht="12.75">
      <c r="A4237" s="22"/>
      <c r="D4237" s="19"/>
      <c r="H4237" s="18"/>
      <c r="J4237" s="18"/>
      <c r="N4237" s="16"/>
      <c r="O4237" s="17"/>
      <c r="Q4237" s="22"/>
      <c r="R4237" s="23"/>
    </row>
    <row r="4238" spans="1:18" ht="12.75">
      <c r="A4238" s="22"/>
      <c r="D4238" s="19"/>
      <c r="H4238" s="18"/>
      <c r="J4238" s="18"/>
      <c r="N4238" s="16"/>
      <c r="O4238" s="17"/>
      <c r="Q4238" s="22"/>
      <c r="R4238" s="23"/>
    </row>
    <row r="4239" spans="1:18" ht="12.75">
      <c r="A4239" s="22"/>
      <c r="D4239" s="19"/>
      <c r="H4239" s="18"/>
      <c r="J4239" s="18"/>
      <c r="N4239" s="16"/>
      <c r="O4239" s="17"/>
      <c r="Q4239" s="22"/>
      <c r="R4239" s="23"/>
    </row>
    <row r="4240" spans="1:18" ht="12.75">
      <c r="A4240" s="22"/>
      <c r="D4240" s="19"/>
      <c r="H4240" s="18"/>
      <c r="J4240" s="18"/>
      <c r="N4240" s="16"/>
      <c r="O4240" s="17"/>
      <c r="Q4240" s="22"/>
      <c r="R4240" s="23"/>
    </row>
    <row r="4241" spans="1:18" ht="12.75">
      <c r="A4241" s="22"/>
      <c r="D4241" s="19"/>
      <c r="H4241" s="18"/>
      <c r="J4241" s="18"/>
      <c r="N4241" s="16"/>
      <c r="O4241" s="17"/>
      <c r="Q4241" s="22"/>
      <c r="R4241" s="23"/>
    </row>
    <row r="4242" spans="1:18" ht="12.75">
      <c r="A4242" s="22"/>
      <c r="D4242" s="19"/>
      <c r="H4242" s="18"/>
      <c r="J4242" s="18"/>
      <c r="N4242" s="16"/>
      <c r="O4242" s="17"/>
      <c r="Q4242" s="22"/>
      <c r="R4242" s="23"/>
    </row>
    <row r="4243" spans="1:18" ht="12.75">
      <c r="A4243" s="22"/>
      <c r="D4243" s="19"/>
      <c r="H4243" s="18"/>
      <c r="J4243" s="18"/>
      <c r="N4243" s="16"/>
      <c r="O4243" s="17"/>
      <c r="Q4243" s="22"/>
      <c r="R4243" s="23"/>
    </row>
    <row r="4244" spans="1:18" ht="12.75">
      <c r="A4244" s="22"/>
      <c r="D4244" s="19"/>
      <c r="H4244" s="18"/>
      <c r="J4244" s="18"/>
      <c r="N4244" s="16"/>
      <c r="O4244" s="17"/>
      <c r="Q4244" s="22"/>
      <c r="R4244" s="23"/>
    </row>
    <row r="4245" spans="1:18" ht="12.75">
      <c r="A4245" s="22"/>
      <c r="D4245" s="19"/>
      <c r="H4245" s="18"/>
      <c r="J4245" s="18"/>
      <c r="N4245" s="16"/>
      <c r="O4245" s="17"/>
      <c r="Q4245" s="22"/>
      <c r="R4245" s="23"/>
    </row>
    <row r="4246" spans="1:18" ht="12.75">
      <c r="A4246" s="22"/>
      <c r="D4246" s="19"/>
      <c r="H4246" s="18"/>
      <c r="J4246" s="18"/>
      <c r="N4246" s="16"/>
      <c r="O4246" s="17"/>
      <c r="Q4246" s="22"/>
      <c r="R4246" s="23"/>
    </row>
    <row r="4247" spans="1:18" ht="12.75">
      <c r="A4247" s="22"/>
      <c r="D4247" s="19"/>
      <c r="H4247" s="18"/>
      <c r="J4247" s="18"/>
      <c r="N4247" s="16"/>
      <c r="O4247" s="17"/>
      <c r="Q4247" s="22"/>
      <c r="R4247" s="23"/>
    </row>
    <row r="4248" spans="1:18" ht="12.75">
      <c r="A4248" s="22"/>
      <c r="D4248" s="19"/>
      <c r="H4248" s="18"/>
      <c r="J4248" s="18"/>
      <c r="N4248" s="16"/>
      <c r="O4248" s="17"/>
      <c r="Q4248" s="22"/>
      <c r="R4248" s="23"/>
    </row>
    <row r="4249" spans="1:18" ht="12.75">
      <c r="A4249" s="22"/>
      <c r="D4249" s="19"/>
      <c r="H4249" s="18"/>
      <c r="J4249" s="18"/>
      <c r="N4249" s="16"/>
      <c r="O4249" s="17"/>
      <c r="Q4249" s="22"/>
      <c r="R4249" s="23"/>
    </row>
    <row r="4250" spans="1:18" ht="12.75">
      <c r="A4250" s="22"/>
      <c r="D4250" s="19"/>
      <c r="H4250" s="18"/>
      <c r="J4250" s="18"/>
      <c r="N4250" s="16"/>
      <c r="O4250" s="17"/>
      <c r="Q4250" s="22"/>
      <c r="R4250" s="23"/>
    </row>
    <row r="4251" spans="1:18" ht="12.75">
      <c r="A4251" s="22"/>
      <c r="D4251" s="19"/>
      <c r="H4251" s="18"/>
      <c r="J4251" s="18"/>
      <c r="N4251" s="16"/>
      <c r="O4251" s="17"/>
      <c r="Q4251" s="22"/>
      <c r="R4251" s="23"/>
    </row>
    <row r="4252" spans="1:18" ht="12.75">
      <c r="A4252" s="22"/>
      <c r="D4252" s="19"/>
      <c r="H4252" s="18"/>
      <c r="J4252" s="18"/>
      <c r="N4252" s="16"/>
      <c r="O4252" s="17"/>
      <c r="Q4252" s="22"/>
      <c r="R4252" s="23"/>
    </row>
    <row r="4253" spans="1:18" ht="12.75">
      <c r="A4253" s="22"/>
      <c r="D4253" s="19"/>
      <c r="H4253" s="18"/>
      <c r="J4253" s="18"/>
      <c r="N4253" s="16"/>
      <c r="O4253" s="17"/>
      <c r="Q4253" s="22"/>
      <c r="R4253" s="23"/>
    </row>
    <row r="4254" spans="1:18" ht="12.75">
      <c r="A4254" s="22"/>
      <c r="D4254" s="19"/>
      <c r="H4254" s="18"/>
      <c r="J4254" s="18"/>
      <c r="N4254" s="16"/>
      <c r="O4254" s="17"/>
      <c r="Q4254" s="22"/>
      <c r="R4254" s="23"/>
    </row>
    <row r="4255" spans="1:18" ht="12.75">
      <c r="A4255" s="22"/>
      <c r="D4255" s="19"/>
      <c r="H4255" s="18"/>
      <c r="J4255" s="18"/>
      <c r="N4255" s="16"/>
      <c r="O4255" s="17"/>
      <c r="Q4255" s="22"/>
      <c r="R4255" s="23"/>
    </row>
    <row r="4256" spans="1:18" ht="12.75">
      <c r="A4256" s="22"/>
      <c r="D4256" s="19"/>
      <c r="H4256" s="18"/>
      <c r="J4256" s="18"/>
      <c r="N4256" s="16"/>
      <c r="O4256" s="17"/>
      <c r="Q4256" s="22"/>
      <c r="R4256" s="23"/>
    </row>
    <row r="4257" spans="1:18" ht="12.75">
      <c r="A4257" s="22"/>
      <c r="D4257" s="19"/>
      <c r="H4257" s="18"/>
      <c r="J4257" s="18"/>
      <c r="N4257" s="16"/>
      <c r="O4257" s="17"/>
      <c r="Q4257" s="22"/>
      <c r="R4257" s="23"/>
    </row>
    <row r="4258" spans="1:18" ht="12.75">
      <c r="A4258" s="22"/>
      <c r="D4258" s="19"/>
      <c r="H4258" s="18"/>
      <c r="J4258" s="18"/>
      <c r="N4258" s="16"/>
      <c r="O4258" s="17"/>
      <c r="Q4258" s="22"/>
      <c r="R4258" s="23"/>
    </row>
    <row r="4259" spans="1:18" ht="12.75">
      <c r="A4259" s="22"/>
      <c r="D4259" s="19"/>
      <c r="H4259" s="18"/>
      <c r="J4259" s="18"/>
      <c r="N4259" s="16"/>
      <c r="O4259" s="17"/>
      <c r="Q4259" s="22"/>
      <c r="R4259" s="23"/>
    </row>
    <row r="4260" spans="1:18" ht="12.75">
      <c r="A4260" s="22"/>
      <c r="D4260" s="19"/>
      <c r="H4260" s="18"/>
      <c r="J4260" s="18"/>
      <c r="N4260" s="16"/>
      <c r="O4260" s="17"/>
      <c r="Q4260" s="22"/>
      <c r="R4260" s="23"/>
    </row>
    <row r="4261" spans="1:18" ht="12.75">
      <c r="A4261" s="22"/>
      <c r="D4261" s="19"/>
      <c r="H4261" s="18"/>
      <c r="J4261" s="18"/>
      <c r="N4261" s="16"/>
      <c r="O4261" s="17"/>
      <c r="Q4261" s="22"/>
      <c r="R4261" s="23"/>
    </row>
    <row r="4262" spans="1:18" ht="12.75">
      <c r="A4262" s="22"/>
      <c r="D4262" s="19"/>
      <c r="H4262" s="18"/>
      <c r="J4262" s="18"/>
      <c r="N4262" s="16"/>
      <c r="O4262" s="17"/>
      <c r="Q4262" s="22"/>
      <c r="R4262" s="23"/>
    </row>
    <row r="4263" spans="1:18" ht="12.75">
      <c r="A4263" s="22"/>
      <c r="D4263" s="19"/>
      <c r="H4263" s="18"/>
      <c r="J4263" s="18"/>
      <c r="N4263" s="16"/>
      <c r="O4263" s="17"/>
      <c r="Q4263" s="22"/>
      <c r="R4263" s="23"/>
    </row>
    <row r="4264" spans="1:18" ht="12.75">
      <c r="A4264" s="22"/>
      <c r="D4264" s="19"/>
      <c r="H4264" s="18"/>
      <c r="J4264" s="18"/>
      <c r="N4264" s="16"/>
      <c r="O4264" s="17"/>
      <c r="Q4264" s="22"/>
      <c r="R4264" s="23"/>
    </row>
    <row r="4265" spans="1:18" ht="12.75">
      <c r="A4265" s="22"/>
      <c r="D4265" s="19"/>
      <c r="H4265" s="18"/>
      <c r="J4265" s="18"/>
      <c r="N4265" s="16"/>
      <c r="O4265" s="17"/>
      <c r="Q4265" s="22"/>
      <c r="R4265" s="23"/>
    </row>
    <row r="4266" spans="1:18" ht="12.75">
      <c r="A4266" s="22"/>
      <c r="D4266" s="19"/>
      <c r="H4266" s="18"/>
      <c r="J4266" s="18"/>
      <c r="N4266" s="16"/>
      <c r="O4266" s="17"/>
      <c r="Q4266" s="22"/>
      <c r="R4266" s="23"/>
    </row>
    <row r="4267" spans="1:18" ht="12.75">
      <c r="A4267" s="22"/>
      <c r="D4267" s="19"/>
      <c r="H4267" s="18"/>
      <c r="J4267" s="18"/>
      <c r="N4267" s="16"/>
      <c r="O4267" s="17"/>
      <c r="Q4267" s="22"/>
      <c r="R4267" s="23"/>
    </row>
    <row r="4268" spans="1:18" ht="12.75">
      <c r="A4268" s="22"/>
      <c r="D4268" s="19"/>
      <c r="H4268" s="18"/>
      <c r="J4268" s="18"/>
      <c r="N4268" s="16"/>
      <c r="O4268" s="17"/>
      <c r="Q4268" s="22"/>
      <c r="R4268" s="23"/>
    </row>
    <row r="4269" spans="1:18" ht="12.75">
      <c r="A4269" s="22"/>
      <c r="D4269" s="19"/>
      <c r="H4269" s="18"/>
      <c r="J4269" s="18"/>
      <c r="N4269" s="16"/>
      <c r="O4269" s="17"/>
      <c r="Q4269" s="22"/>
      <c r="R4269" s="23"/>
    </row>
    <row r="4270" spans="1:18" ht="12.75">
      <c r="A4270" s="22"/>
      <c r="D4270" s="19"/>
      <c r="H4270" s="18"/>
      <c r="J4270" s="18"/>
      <c r="N4270" s="16"/>
      <c r="O4270" s="17"/>
      <c r="Q4270" s="22"/>
      <c r="R4270" s="23"/>
    </row>
    <row r="4271" spans="1:18" ht="12.75">
      <c r="A4271" s="22"/>
      <c r="D4271" s="19"/>
      <c r="H4271" s="18"/>
      <c r="J4271" s="18"/>
      <c r="N4271" s="16"/>
      <c r="O4271" s="17"/>
      <c r="Q4271" s="22"/>
      <c r="R4271" s="23"/>
    </row>
    <row r="4272" spans="1:18" ht="12.75">
      <c r="A4272" s="22"/>
      <c r="D4272" s="19"/>
      <c r="H4272" s="18"/>
      <c r="J4272" s="18"/>
      <c r="N4272" s="16"/>
      <c r="O4272" s="17"/>
      <c r="Q4272" s="22"/>
      <c r="R4272" s="23"/>
    </row>
    <row r="4273" spans="1:18" ht="12.75">
      <c r="A4273" s="22"/>
      <c r="D4273" s="19"/>
      <c r="H4273" s="18"/>
      <c r="J4273" s="18"/>
      <c r="N4273" s="16"/>
      <c r="O4273" s="17"/>
      <c r="Q4273" s="22"/>
      <c r="R4273" s="23"/>
    </row>
    <row r="4274" spans="1:18" ht="12.75">
      <c r="A4274" s="22"/>
      <c r="D4274" s="19"/>
      <c r="H4274" s="18"/>
      <c r="J4274" s="18"/>
      <c r="N4274" s="16"/>
      <c r="O4274" s="17"/>
      <c r="Q4274" s="22"/>
      <c r="R4274" s="23"/>
    </row>
    <row r="4275" spans="1:18" ht="12.75">
      <c r="A4275" s="22"/>
      <c r="D4275" s="19"/>
      <c r="H4275" s="18"/>
      <c r="J4275" s="18"/>
      <c r="N4275" s="16"/>
      <c r="O4275" s="17"/>
      <c r="Q4275" s="22"/>
      <c r="R4275" s="23"/>
    </row>
    <row r="4276" spans="1:18" ht="12.75">
      <c r="A4276" s="22"/>
      <c r="D4276" s="19"/>
      <c r="H4276" s="18"/>
      <c r="J4276" s="18"/>
      <c r="N4276" s="16"/>
      <c r="O4276" s="17"/>
      <c r="Q4276" s="22"/>
      <c r="R4276" s="23"/>
    </row>
    <row r="4277" spans="1:18" ht="12.75">
      <c r="A4277" s="22"/>
      <c r="D4277" s="19"/>
      <c r="H4277" s="18"/>
      <c r="J4277" s="18"/>
      <c r="N4277" s="16"/>
      <c r="O4277" s="17"/>
      <c r="Q4277" s="22"/>
      <c r="R4277" s="23"/>
    </row>
    <row r="4278" spans="1:18" ht="12.75">
      <c r="A4278" s="22"/>
      <c r="D4278" s="19"/>
      <c r="H4278" s="18"/>
      <c r="J4278" s="18"/>
      <c r="N4278" s="16"/>
      <c r="O4278" s="17"/>
      <c r="Q4278" s="22"/>
      <c r="R4278" s="23"/>
    </row>
    <row r="4279" spans="1:18" ht="12.75">
      <c r="A4279" s="22"/>
      <c r="D4279" s="19"/>
      <c r="H4279" s="18"/>
      <c r="J4279" s="18"/>
      <c r="N4279" s="16"/>
      <c r="O4279" s="17"/>
      <c r="Q4279" s="22"/>
      <c r="R4279" s="23"/>
    </row>
    <row r="4280" spans="1:18" ht="12.75">
      <c r="A4280" s="22"/>
      <c r="D4280" s="19"/>
      <c r="H4280" s="18"/>
      <c r="J4280" s="18"/>
      <c r="N4280" s="16"/>
      <c r="O4280" s="17"/>
      <c r="Q4280" s="22"/>
      <c r="R4280" s="23"/>
    </row>
    <row r="4281" spans="1:18" ht="12.75">
      <c r="A4281" s="22"/>
      <c r="D4281" s="19"/>
      <c r="H4281" s="18"/>
      <c r="J4281" s="18"/>
      <c r="N4281" s="16"/>
      <c r="O4281" s="17"/>
      <c r="Q4281" s="22"/>
      <c r="R4281" s="23"/>
    </row>
    <row r="4282" spans="1:18" ht="12.75">
      <c r="A4282" s="22"/>
      <c r="D4282" s="19"/>
      <c r="H4282" s="18"/>
      <c r="J4282" s="18"/>
      <c r="N4282" s="16"/>
      <c r="O4282" s="17"/>
      <c r="Q4282" s="22"/>
      <c r="R4282" s="23"/>
    </row>
    <row r="4283" spans="1:18" ht="12.75">
      <c r="A4283" s="22"/>
      <c r="D4283" s="19"/>
      <c r="H4283" s="18"/>
      <c r="J4283" s="18"/>
      <c r="N4283" s="16"/>
      <c r="O4283" s="17"/>
      <c r="Q4283" s="22"/>
      <c r="R4283" s="23"/>
    </row>
    <row r="4284" spans="1:18" ht="12.75">
      <c r="A4284" s="22"/>
      <c r="D4284" s="19"/>
      <c r="H4284" s="18"/>
      <c r="J4284" s="18"/>
      <c r="N4284" s="16"/>
      <c r="O4284" s="17"/>
      <c r="Q4284" s="22"/>
      <c r="R4284" s="23"/>
    </row>
    <row r="4285" spans="1:18" ht="12.75">
      <c r="A4285" s="22"/>
      <c r="D4285" s="19"/>
      <c r="H4285" s="18"/>
      <c r="J4285" s="18"/>
      <c r="N4285" s="16"/>
      <c r="O4285" s="17"/>
      <c r="Q4285" s="22"/>
      <c r="R4285" s="23"/>
    </row>
    <row r="4286" spans="1:18" ht="12.75">
      <c r="A4286" s="22"/>
      <c r="D4286" s="19"/>
      <c r="H4286" s="18"/>
      <c r="J4286" s="18"/>
      <c r="N4286" s="16"/>
      <c r="O4286" s="17"/>
      <c r="Q4286" s="22"/>
      <c r="R4286" s="23"/>
    </row>
    <row r="4287" spans="1:18" ht="12.75">
      <c r="A4287" s="22"/>
      <c r="D4287" s="19"/>
      <c r="H4287" s="18"/>
      <c r="J4287" s="18"/>
      <c r="N4287" s="16"/>
      <c r="O4287" s="17"/>
      <c r="Q4287" s="22"/>
      <c r="R4287" s="23"/>
    </row>
    <row r="4288" spans="1:18" ht="12.75">
      <c r="A4288" s="22"/>
      <c r="D4288" s="19"/>
      <c r="H4288" s="18"/>
      <c r="J4288" s="18"/>
      <c r="N4288" s="16"/>
      <c r="O4288" s="17"/>
      <c r="Q4288" s="22"/>
      <c r="R4288" s="23"/>
    </row>
    <row r="4289" spans="1:18" ht="12.75">
      <c r="A4289" s="22"/>
      <c r="D4289" s="19"/>
      <c r="H4289" s="18"/>
      <c r="J4289" s="18"/>
      <c r="N4289" s="16"/>
      <c r="O4289" s="17"/>
      <c r="Q4289" s="22"/>
      <c r="R4289" s="23"/>
    </row>
    <row r="4290" spans="1:18" ht="12.75">
      <c r="A4290" s="22"/>
      <c r="D4290" s="19"/>
      <c r="H4290" s="18"/>
      <c r="J4290" s="18"/>
      <c r="N4290" s="16"/>
      <c r="O4290" s="17"/>
      <c r="Q4290" s="22"/>
      <c r="R4290" s="23"/>
    </row>
    <row r="4291" spans="1:18" ht="12.75">
      <c r="A4291" s="22"/>
      <c r="D4291" s="19"/>
      <c r="H4291" s="18"/>
      <c r="J4291" s="18"/>
      <c r="N4291" s="16"/>
      <c r="O4291" s="17"/>
      <c r="Q4291" s="22"/>
      <c r="R4291" s="23"/>
    </row>
    <row r="4292" spans="1:18" ht="12.75">
      <c r="A4292" s="22"/>
      <c r="D4292" s="19"/>
      <c r="H4292" s="18"/>
      <c r="J4292" s="18"/>
      <c r="N4292" s="16"/>
      <c r="O4292" s="17"/>
      <c r="Q4292" s="22"/>
      <c r="R4292" s="23"/>
    </row>
    <row r="4293" spans="1:18" ht="12.75">
      <c r="A4293" s="22"/>
      <c r="D4293" s="19"/>
      <c r="H4293" s="18"/>
      <c r="J4293" s="18"/>
      <c r="N4293" s="16"/>
      <c r="O4293" s="17"/>
      <c r="Q4293" s="22"/>
      <c r="R4293" s="23"/>
    </row>
    <row r="4294" spans="1:18" ht="12.75">
      <c r="A4294" s="22"/>
      <c r="D4294" s="19"/>
      <c r="H4294" s="18"/>
      <c r="J4294" s="18"/>
      <c r="N4294" s="16"/>
      <c r="O4294" s="17"/>
      <c r="Q4294" s="22"/>
      <c r="R4294" s="23"/>
    </row>
    <row r="4295" spans="1:18" ht="12.75">
      <c r="A4295" s="22"/>
      <c r="D4295" s="19"/>
      <c r="H4295" s="18"/>
      <c r="J4295" s="18"/>
      <c r="N4295" s="16"/>
      <c r="O4295" s="17"/>
      <c r="Q4295" s="22"/>
      <c r="R4295" s="23"/>
    </row>
    <row r="4296" spans="1:18" ht="12.75">
      <c r="A4296" s="22"/>
      <c r="D4296" s="19"/>
      <c r="H4296" s="18"/>
      <c r="J4296" s="18"/>
      <c r="N4296" s="16"/>
      <c r="O4296" s="17"/>
      <c r="Q4296" s="22"/>
      <c r="R4296" s="23"/>
    </row>
    <row r="4297" spans="1:18" ht="12.75">
      <c r="A4297" s="22"/>
      <c r="D4297" s="19"/>
      <c r="H4297" s="18"/>
      <c r="J4297" s="18"/>
      <c r="N4297" s="16"/>
      <c r="O4297" s="17"/>
      <c r="Q4297" s="22"/>
      <c r="R4297" s="23"/>
    </row>
    <row r="4298" spans="1:18" ht="12.75">
      <c r="A4298" s="22"/>
      <c r="D4298" s="19"/>
      <c r="H4298" s="18"/>
      <c r="J4298" s="18"/>
      <c r="N4298" s="16"/>
      <c r="O4298" s="17"/>
      <c r="Q4298" s="22"/>
      <c r="R4298" s="23"/>
    </row>
    <row r="4299" spans="1:18" ht="12.75">
      <c r="A4299" s="22"/>
      <c r="D4299" s="19"/>
      <c r="H4299" s="18"/>
      <c r="J4299" s="18"/>
      <c r="N4299" s="16"/>
      <c r="O4299" s="17"/>
      <c r="Q4299" s="22"/>
      <c r="R4299" s="23"/>
    </row>
    <row r="4300" spans="1:18" ht="12.75">
      <c r="A4300" s="22"/>
      <c r="D4300" s="19"/>
      <c r="H4300" s="18"/>
      <c r="J4300" s="18"/>
      <c r="N4300" s="16"/>
      <c r="O4300" s="17"/>
      <c r="Q4300" s="22"/>
      <c r="R4300" s="23"/>
    </row>
    <row r="4301" spans="1:18" ht="12.75">
      <c r="A4301" s="22"/>
      <c r="D4301" s="19"/>
      <c r="H4301" s="18"/>
      <c r="J4301" s="18"/>
      <c r="N4301" s="16"/>
      <c r="O4301" s="17"/>
      <c r="Q4301" s="22"/>
      <c r="R4301" s="23"/>
    </row>
    <row r="4302" spans="1:18" ht="12.75">
      <c r="A4302" s="22"/>
      <c r="D4302" s="19"/>
      <c r="H4302" s="18"/>
      <c r="J4302" s="18"/>
      <c r="N4302" s="16"/>
      <c r="O4302" s="17"/>
      <c r="Q4302" s="22"/>
      <c r="R4302" s="23"/>
    </row>
    <row r="4303" spans="1:18" ht="12.75">
      <c r="A4303" s="22"/>
      <c r="D4303" s="19"/>
      <c r="H4303" s="18"/>
      <c r="J4303" s="18"/>
      <c r="N4303" s="16"/>
      <c r="O4303" s="17"/>
      <c r="Q4303" s="22"/>
      <c r="R4303" s="23"/>
    </row>
    <row r="4304" spans="1:18" ht="12.75">
      <c r="A4304" s="22"/>
      <c r="D4304" s="19"/>
      <c r="H4304" s="18"/>
      <c r="J4304" s="18"/>
      <c r="N4304" s="16"/>
      <c r="O4304" s="17"/>
      <c r="Q4304" s="22"/>
      <c r="R4304" s="23"/>
    </row>
    <row r="4305" spans="1:18" ht="12.75">
      <c r="A4305" s="22"/>
      <c r="D4305" s="19"/>
      <c r="H4305" s="18"/>
      <c r="J4305" s="18"/>
      <c r="N4305" s="16"/>
      <c r="O4305" s="17"/>
      <c r="Q4305" s="22"/>
      <c r="R4305" s="23"/>
    </row>
    <row r="4306" spans="1:18" ht="12.75">
      <c r="A4306" s="22"/>
      <c r="D4306" s="19"/>
      <c r="H4306" s="18"/>
      <c r="J4306" s="18"/>
      <c r="N4306" s="16"/>
      <c r="O4306" s="17"/>
      <c r="Q4306" s="22"/>
      <c r="R4306" s="23"/>
    </row>
    <row r="4307" spans="1:18" ht="12.75">
      <c r="A4307" s="22"/>
      <c r="D4307" s="19"/>
      <c r="H4307" s="18"/>
      <c r="J4307" s="18"/>
      <c r="N4307" s="16"/>
      <c r="O4307" s="17"/>
      <c r="Q4307" s="22"/>
      <c r="R4307" s="23"/>
    </row>
    <row r="4308" spans="1:18" ht="12.75">
      <c r="A4308" s="22"/>
      <c r="D4308" s="19"/>
      <c r="H4308" s="18"/>
      <c r="J4308" s="18"/>
      <c r="N4308" s="16"/>
      <c r="O4308" s="17"/>
      <c r="Q4308" s="22"/>
      <c r="R4308" s="23"/>
    </row>
    <row r="4309" spans="1:18" ht="12.75">
      <c r="A4309" s="22"/>
      <c r="D4309" s="19"/>
      <c r="H4309" s="18"/>
      <c r="J4309" s="18"/>
      <c r="N4309" s="16"/>
      <c r="O4309" s="17"/>
      <c r="Q4309" s="22"/>
      <c r="R4309" s="23"/>
    </row>
    <row r="4310" spans="1:18" ht="12.75">
      <c r="A4310" s="22"/>
      <c r="D4310" s="19"/>
      <c r="H4310" s="18"/>
      <c r="J4310" s="18"/>
      <c r="N4310" s="16"/>
      <c r="O4310" s="17"/>
      <c r="Q4310" s="22"/>
      <c r="R4310" s="23"/>
    </row>
    <row r="4311" spans="1:18" ht="12.75">
      <c r="A4311" s="22"/>
      <c r="D4311" s="19"/>
      <c r="H4311" s="18"/>
      <c r="J4311" s="18"/>
      <c r="N4311" s="16"/>
      <c r="O4311" s="17"/>
      <c r="Q4311" s="22"/>
      <c r="R4311" s="23"/>
    </row>
    <row r="4312" spans="1:18" ht="12.75">
      <c r="A4312" s="22"/>
      <c r="D4312" s="19"/>
      <c r="H4312" s="18"/>
      <c r="J4312" s="18"/>
      <c r="N4312" s="16"/>
      <c r="O4312" s="17"/>
      <c r="Q4312" s="22"/>
      <c r="R4312" s="23"/>
    </row>
    <row r="4313" spans="1:18" ht="12.75">
      <c r="A4313" s="22"/>
      <c r="D4313" s="19"/>
      <c r="H4313" s="18"/>
      <c r="J4313" s="18"/>
      <c r="N4313" s="16"/>
      <c r="O4313" s="17"/>
      <c r="Q4313" s="22"/>
      <c r="R4313" s="23"/>
    </row>
    <row r="4314" spans="1:18" ht="12.75">
      <c r="A4314" s="22"/>
      <c r="D4314" s="19"/>
      <c r="H4314" s="18"/>
      <c r="J4314" s="18"/>
      <c r="N4314" s="16"/>
      <c r="O4314" s="17"/>
      <c r="Q4314" s="22"/>
      <c r="R4314" s="23"/>
    </row>
    <row r="4315" spans="1:18" ht="12.75">
      <c r="A4315" s="22"/>
      <c r="D4315" s="19"/>
      <c r="H4315" s="18"/>
      <c r="J4315" s="18"/>
      <c r="N4315" s="16"/>
      <c r="O4315" s="17"/>
      <c r="Q4315" s="22"/>
      <c r="R4315" s="23"/>
    </row>
    <row r="4316" spans="1:18" ht="12.75">
      <c r="A4316" s="22"/>
      <c r="D4316" s="19"/>
      <c r="H4316" s="18"/>
      <c r="J4316" s="18"/>
      <c r="N4316" s="16"/>
      <c r="O4316" s="17"/>
      <c r="Q4316" s="22"/>
      <c r="R4316" s="23"/>
    </row>
    <row r="4317" spans="1:18" ht="12.75">
      <c r="A4317" s="22"/>
      <c r="D4317" s="19"/>
      <c r="H4317" s="18"/>
      <c r="J4317" s="18"/>
      <c r="N4317" s="16"/>
      <c r="O4317" s="17"/>
      <c r="Q4317" s="22"/>
      <c r="R4317" s="23"/>
    </row>
    <row r="4318" spans="1:18" ht="12.75">
      <c r="A4318" s="22"/>
      <c r="D4318" s="19"/>
      <c r="H4318" s="18"/>
      <c r="J4318" s="18"/>
      <c r="N4318" s="16"/>
      <c r="O4318" s="17"/>
      <c r="Q4318" s="22"/>
      <c r="R4318" s="23"/>
    </row>
    <row r="4319" spans="1:18" ht="12.75">
      <c r="A4319" s="22"/>
      <c r="D4319" s="19"/>
      <c r="H4319" s="18"/>
      <c r="J4319" s="18"/>
      <c r="N4319" s="16"/>
      <c r="O4319" s="17"/>
      <c r="Q4319" s="22"/>
      <c r="R4319" s="23"/>
    </row>
    <row r="4320" spans="1:18" ht="12.75">
      <c r="A4320" s="22"/>
      <c r="D4320" s="19"/>
      <c r="H4320" s="18"/>
      <c r="J4320" s="18"/>
      <c r="N4320" s="16"/>
      <c r="O4320" s="17"/>
      <c r="Q4320" s="22"/>
      <c r="R4320" s="23"/>
    </row>
    <row r="4321" spans="1:18" ht="12.75">
      <c r="A4321" s="22"/>
      <c r="D4321" s="19"/>
      <c r="H4321" s="18"/>
      <c r="J4321" s="18"/>
      <c r="N4321" s="16"/>
      <c r="O4321" s="17"/>
      <c r="Q4321" s="22"/>
      <c r="R4321" s="23"/>
    </row>
    <row r="4322" spans="1:18" ht="12.75">
      <c r="A4322" s="22"/>
      <c r="D4322" s="19"/>
      <c r="H4322" s="18"/>
      <c r="J4322" s="18"/>
      <c r="N4322" s="16"/>
      <c r="O4322" s="17"/>
      <c r="Q4322" s="22"/>
      <c r="R4322" s="23"/>
    </row>
    <row r="4323" spans="1:18" ht="12.75">
      <c r="A4323" s="22"/>
      <c r="D4323" s="19"/>
      <c r="H4323" s="18"/>
      <c r="J4323" s="18"/>
      <c r="N4323" s="16"/>
      <c r="O4323" s="17"/>
      <c r="Q4323" s="22"/>
      <c r="R4323" s="23"/>
    </row>
    <row r="4324" spans="1:18" ht="12.75">
      <c r="A4324" s="22"/>
      <c r="D4324" s="19"/>
      <c r="H4324" s="18"/>
      <c r="J4324" s="18"/>
      <c r="N4324" s="16"/>
      <c r="O4324" s="17"/>
      <c r="Q4324" s="22"/>
      <c r="R4324" s="23"/>
    </row>
    <row r="4325" spans="1:18" ht="12.75">
      <c r="A4325" s="22"/>
      <c r="D4325" s="19"/>
      <c r="H4325" s="18"/>
      <c r="J4325" s="18"/>
      <c r="N4325" s="16"/>
      <c r="O4325" s="17"/>
      <c r="Q4325" s="22"/>
      <c r="R4325" s="23"/>
    </row>
    <row r="4326" spans="1:18" ht="12.75">
      <c r="A4326" s="22"/>
      <c r="D4326" s="19"/>
      <c r="H4326" s="18"/>
      <c r="J4326" s="18"/>
      <c r="N4326" s="16"/>
      <c r="O4326" s="17"/>
      <c r="Q4326" s="22"/>
      <c r="R4326" s="23"/>
    </row>
    <row r="4327" spans="1:18" ht="12.75">
      <c r="A4327" s="22"/>
      <c r="D4327" s="19"/>
      <c r="H4327" s="18"/>
      <c r="J4327" s="18"/>
      <c r="N4327" s="16"/>
      <c r="O4327" s="17"/>
      <c r="Q4327" s="22"/>
      <c r="R4327" s="23"/>
    </row>
    <row r="4328" spans="1:18" ht="12.75">
      <c r="A4328" s="22"/>
      <c r="D4328" s="19"/>
      <c r="H4328" s="18"/>
      <c r="J4328" s="18"/>
      <c r="N4328" s="16"/>
      <c r="O4328" s="17"/>
      <c r="Q4328" s="22"/>
      <c r="R4328" s="23"/>
    </row>
    <row r="4329" spans="1:18" ht="12.75">
      <c r="A4329" s="22"/>
      <c r="D4329" s="19"/>
      <c r="H4329" s="18"/>
      <c r="J4329" s="18"/>
      <c r="N4329" s="16"/>
      <c r="O4329" s="17"/>
      <c r="Q4329" s="22"/>
      <c r="R4329" s="23"/>
    </row>
    <row r="4330" spans="1:18" ht="12.75">
      <c r="A4330" s="22"/>
      <c r="D4330" s="19"/>
      <c r="H4330" s="18"/>
      <c r="J4330" s="18"/>
      <c r="N4330" s="16"/>
      <c r="O4330" s="17"/>
      <c r="Q4330" s="22"/>
      <c r="R4330" s="23"/>
    </row>
    <row r="4331" spans="1:18" ht="12.75">
      <c r="A4331" s="22"/>
      <c r="D4331" s="19"/>
      <c r="H4331" s="18"/>
      <c r="J4331" s="18"/>
      <c r="N4331" s="16"/>
      <c r="O4331" s="17"/>
      <c r="Q4331" s="22"/>
      <c r="R4331" s="23"/>
    </row>
    <row r="4332" spans="1:18" ht="12.75">
      <c r="A4332" s="22"/>
      <c r="D4332" s="19"/>
      <c r="H4332" s="18"/>
      <c r="J4332" s="18"/>
      <c r="N4332" s="16"/>
      <c r="O4332" s="17"/>
      <c r="Q4332" s="22"/>
      <c r="R4332" s="23"/>
    </row>
    <row r="4333" spans="1:18" ht="12.75">
      <c r="A4333" s="22"/>
      <c r="D4333" s="19"/>
      <c r="H4333" s="18"/>
      <c r="J4333" s="18"/>
      <c r="N4333" s="16"/>
      <c r="O4333" s="17"/>
      <c r="Q4333" s="22"/>
      <c r="R4333" s="23"/>
    </row>
    <row r="4334" spans="1:18" ht="12.75">
      <c r="A4334" s="22"/>
      <c r="D4334" s="19"/>
      <c r="H4334" s="18"/>
      <c r="J4334" s="18"/>
      <c r="N4334" s="16"/>
      <c r="O4334" s="17"/>
      <c r="Q4334" s="22"/>
      <c r="R4334" s="23"/>
    </row>
    <row r="4335" spans="1:18" ht="12.75">
      <c r="A4335" s="22"/>
      <c r="D4335" s="19"/>
      <c r="H4335" s="18"/>
      <c r="J4335" s="18"/>
      <c r="N4335" s="16"/>
      <c r="O4335" s="17"/>
      <c r="Q4335" s="22"/>
      <c r="R4335" s="23"/>
    </row>
    <row r="4336" spans="1:18" ht="12.75">
      <c r="A4336" s="22"/>
      <c r="D4336" s="19"/>
      <c r="H4336" s="18"/>
      <c r="J4336" s="18"/>
      <c r="N4336" s="16"/>
      <c r="O4336" s="17"/>
      <c r="Q4336" s="22"/>
      <c r="R4336" s="23"/>
    </row>
    <row r="4337" spans="1:18" ht="12.75">
      <c r="A4337" s="22"/>
      <c r="D4337" s="19"/>
      <c r="H4337" s="18"/>
      <c r="J4337" s="18"/>
      <c r="N4337" s="16"/>
      <c r="O4337" s="17"/>
      <c r="Q4337" s="22"/>
      <c r="R4337" s="23"/>
    </row>
    <row r="4338" spans="1:18" ht="12.75">
      <c r="A4338" s="22"/>
      <c r="D4338" s="19"/>
      <c r="H4338" s="18"/>
      <c r="J4338" s="18"/>
      <c r="N4338" s="16"/>
      <c r="O4338" s="17"/>
      <c r="Q4338" s="22"/>
      <c r="R4338" s="23"/>
    </row>
    <row r="4339" spans="1:18" ht="12.75">
      <c r="A4339" s="22"/>
      <c r="D4339" s="19"/>
      <c r="H4339" s="18"/>
      <c r="J4339" s="18"/>
      <c r="N4339" s="16"/>
      <c r="O4339" s="17"/>
      <c r="Q4339" s="22"/>
      <c r="R4339" s="23"/>
    </row>
    <row r="4340" spans="1:18" ht="12.75">
      <c r="A4340" s="22"/>
      <c r="D4340" s="19"/>
      <c r="H4340" s="18"/>
      <c r="J4340" s="18"/>
      <c r="N4340" s="16"/>
      <c r="O4340" s="17"/>
      <c r="Q4340" s="22"/>
      <c r="R4340" s="23"/>
    </row>
    <row r="4341" spans="1:18" ht="12.75">
      <c r="A4341" s="22"/>
      <c r="D4341" s="19"/>
      <c r="H4341" s="18"/>
      <c r="J4341" s="18"/>
      <c r="N4341" s="16"/>
      <c r="O4341" s="17"/>
      <c r="Q4341" s="22"/>
      <c r="R4341" s="23"/>
    </row>
    <row r="4342" spans="1:18" ht="12.75">
      <c r="A4342" s="22"/>
      <c r="D4342" s="19"/>
      <c r="H4342" s="18"/>
      <c r="J4342" s="18"/>
      <c r="N4342" s="16"/>
      <c r="O4342" s="17"/>
      <c r="Q4342" s="22"/>
      <c r="R4342" s="23"/>
    </row>
    <row r="4343" spans="1:18" ht="12.75">
      <c r="A4343" s="22"/>
      <c r="D4343" s="19"/>
      <c r="H4343" s="18"/>
      <c r="J4343" s="18"/>
      <c r="N4343" s="16"/>
      <c r="O4343" s="17"/>
      <c r="Q4343" s="22"/>
      <c r="R4343" s="23"/>
    </row>
    <row r="4344" spans="1:18" ht="12.75">
      <c r="A4344" s="22"/>
      <c r="D4344" s="19"/>
      <c r="H4344" s="18"/>
      <c r="J4344" s="18"/>
      <c r="N4344" s="16"/>
      <c r="O4344" s="17"/>
      <c r="Q4344" s="22"/>
      <c r="R4344" s="23"/>
    </row>
    <row r="4345" spans="1:18" ht="12.75">
      <c r="A4345" s="22"/>
      <c r="D4345" s="19"/>
      <c r="H4345" s="18"/>
      <c r="J4345" s="18"/>
      <c r="N4345" s="16"/>
      <c r="O4345" s="17"/>
      <c r="Q4345" s="22"/>
      <c r="R4345" s="23"/>
    </row>
    <row r="4346" spans="1:18" ht="12.75">
      <c r="A4346" s="22"/>
      <c r="D4346" s="19"/>
      <c r="H4346" s="18"/>
      <c r="J4346" s="18"/>
      <c r="N4346" s="16"/>
      <c r="O4346" s="17"/>
      <c r="Q4346" s="22"/>
      <c r="R4346" s="23"/>
    </row>
    <row r="4347" spans="1:18" ht="12.75">
      <c r="A4347" s="22"/>
      <c r="D4347" s="19"/>
      <c r="H4347" s="18"/>
      <c r="J4347" s="18"/>
      <c r="N4347" s="16"/>
      <c r="O4347" s="17"/>
      <c r="Q4347" s="22"/>
      <c r="R4347" s="23"/>
    </row>
    <row r="4348" spans="1:18" ht="12.75">
      <c r="A4348" s="22"/>
      <c r="D4348" s="19"/>
      <c r="H4348" s="18"/>
      <c r="J4348" s="18"/>
      <c r="N4348" s="16"/>
      <c r="O4348" s="17"/>
      <c r="Q4348" s="22"/>
      <c r="R4348" s="23"/>
    </row>
    <row r="4349" spans="1:18" ht="12.75">
      <c r="A4349" s="22"/>
      <c r="D4349" s="19"/>
      <c r="H4349" s="18"/>
      <c r="J4349" s="18"/>
      <c r="N4349" s="16"/>
      <c r="O4349" s="17"/>
      <c r="Q4349" s="22"/>
      <c r="R4349" s="23"/>
    </row>
    <row r="4350" spans="1:18" ht="12.75">
      <c r="A4350" s="22"/>
      <c r="D4350" s="19"/>
      <c r="H4350" s="18"/>
      <c r="J4350" s="18"/>
      <c r="N4350" s="16"/>
      <c r="O4350" s="17"/>
      <c r="Q4350" s="22"/>
      <c r="R4350" s="23"/>
    </row>
    <row r="4351" spans="1:18" ht="12.75">
      <c r="A4351" s="22"/>
      <c r="D4351" s="19"/>
      <c r="H4351" s="18"/>
      <c r="J4351" s="18"/>
      <c r="N4351" s="16"/>
      <c r="O4351" s="17"/>
      <c r="Q4351" s="22"/>
      <c r="R4351" s="23"/>
    </row>
    <row r="4352" spans="1:18" ht="12.75">
      <c r="A4352" s="22"/>
      <c r="D4352" s="19"/>
      <c r="H4352" s="18"/>
      <c r="J4352" s="18"/>
      <c r="N4352" s="16"/>
      <c r="O4352" s="17"/>
      <c r="Q4352" s="22"/>
      <c r="R4352" s="23"/>
    </row>
    <row r="4353" spans="1:18" ht="12.75">
      <c r="A4353" s="22"/>
      <c r="D4353" s="19"/>
      <c r="H4353" s="18"/>
      <c r="J4353" s="18"/>
      <c r="N4353" s="16"/>
      <c r="O4353" s="17"/>
      <c r="Q4353" s="22"/>
      <c r="R4353" s="23"/>
    </row>
    <row r="4354" spans="1:18" ht="12.75">
      <c r="A4354" s="22"/>
      <c r="D4354" s="19"/>
      <c r="H4354" s="18"/>
      <c r="J4354" s="18"/>
      <c r="N4354" s="16"/>
      <c r="O4354" s="17"/>
      <c r="Q4354" s="22"/>
      <c r="R4354" s="23"/>
    </row>
    <row r="4355" spans="1:18" ht="12.75">
      <c r="A4355" s="22"/>
      <c r="D4355" s="19"/>
      <c r="H4355" s="18"/>
      <c r="J4355" s="18"/>
      <c r="N4355" s="16"/>
      <c r="O4355" s="17"/>
      <c r="Q4355" s="22"/>
      <c r="R4355" s="23"/>
    </row>
    <row r="4356" spans="1:18" ht="12.75">
      <c r="A4356" s="22"/>
      <c r="D4356" s="19"/>
      <c r="H4356" s="18"/>
      <c r="J4356" s="18"/>
      <c r="N4356" s="16"/>
      <c r="O4356" s="17"/>
      <c r="Q4356" s="22"/>
      <c r="R4356" s="23"/>
    </row>
    <row r="4357" spans="1:18" ht="12.75">
      <c r="A4357" s="22"/>
      <c r="D4357" s="19"/>
      <c r="H4357" s="18"/>
      <c r="J4357" s="18"/>
      <c r="N4357" s="16"/>
      <c r="O4357" s="17"/>
      <c r="Q4357" s="22"/>
      <c r="R4357" s="23"/>
    </row>
    <row r="4358" spans="1:18" ht="12.75">
      <c r="A4358" s="22"/>
      <c r="D4358" s="19"/>
      <c r="H4358" s="18"/>
      <c r="J4358" s="18"/>
      <c r="N4358" s="16"/>
      <c r="O4358" s="17"/>
      <c r="Q4358" s="22"/>
      <c r="R4358" s="23"/>
    </row>
    <row r="4359" spans="1:18" ht="12.75">
      <c r="A4359" s="22"/>
      <c r="D4359" s="19"/>
      <c r="H4359" s="18"/>
      <c r="J4359" s="18"/>
      <c r="N4359" s="16"/>
      <c r="O4359" s="17"/>
      <c r="Q4359" s="22"/>
      <c r="R4359" s="23"/>
    </row>
    <row r="4360" spans="1:18" ht="12.75">
      <c r="A4360" s="22"/>
      <c r="D4360" s="19"/>
      <c r="H4360" s="18"/>
      <c r="J4360" s="18"/>
      <c r="N4360" s="16"/>
      <c r="O4360" s="17"/>
      <c r="Q4360" s="22"/>
      <c r="R4360" s="23"/>
    </row>
    <row r="4361" spans="1:18" ht="12.75">
      <c r="A4361" s="22"/>
      <c r="D4361" s="19"/>
      <c r="H4361" s="18"/>
      <c r="J4361" s="18"/>
      <c r="N4361" s="16"/>
      <c r="O4361" s="17"/>
      <c r="Q4361" s="22"/>
      <c r="R4361" s="23"/>
    </row>
    <row r="4362" spans="1:18" ht="12.75">
      <c r="A4362" s="22"/>
      <c r="D4362" s="19"/>
      <c r="H4362" s="18"/>
      <c r="J4362" s="18"/>
      <c r="N4362" s="16"/>
      <c r="O4362" s="17"/>
      <c r="Q4362" s="22"/>
      <c r="R4362" s="23"/>
    </row>
    <row r="4363" spans="1:18" ht="12.75">
      <c r="A4363" s="22"/>
      <c r="D4363" s="19"/>
      <c r="H4363" s="18"/>
      <c r="J4363" s="18"/>
      <c r="N4363" s="16"/>
      <c r="O4363" s="17"/>
      <c r="Q4363" s="22"/>
      <c r="R4363" s="23"/>
    </row>
    <row r="4364" spans="1:18" ht="12.75">
      <c r="A4364" s="22"/>
      <c r="D4364" s="19"/>
      <c r="H4364" s="18"/>
      <c r="J4364" s="18"/>
      <c r="N4364" s="16"/>
      <c r="O4364" s="17"/>
      <c r="Q4364" s="22"/>
      <c r="R4364" s="23"/>
    </row>
    <row r="4365" spans="1:18" ht="12.75">
      <c r="A4365" s="22"/>
      <c r="D4365" s="19"/>
      <c r="H4365" s="18"/>
      <c r="J4365" s="18"/>
      <c r="N4365" s="16"/>
      <c r="O4365" s="17"/>
      <c r="Q4365" s="22"/>
      <c r="R4365" s="23"/>
    </row>
    <row r="4366" spans="1:18" ht="12.75">
      <c r="A4366" s="22"/>
      <c r="D4366" s="19"/>
      <c r="H4366" s="18"/>
      <c r="J4366" s="18"/>
      <c r="N4366" s="16"/>
      <c r="O4366" s="17"/>
      <c r="Q4366" s="22"/>
      <c r="R4366" s="23"/>
    </row>
    <row r="4367" spans="1:18" ht="12.75">
      <c r="A4367" s="22"/>
      <c r="D4367" s="19"/>
      <c r="H4367" s="18"/>
      <c r="J4367" s="18"/>
      <c r="N4367" s="16"/>
      <c r="O4367" s="17"/>
      <c r="Q4367" s="22"/>
      <c r="R4367" s="23"/>
    </row>
    <row r="4368" spans="1:18" ht="12.75">
      <c r="A4368" s="22"/>
      <c r="D4368" s="19"/>
      <c r="H4368" s="18"/>
      <c r="J4368" s="18"/>
      <c r="N4368" s="16"/>
      <c r="O4368" s="17"/>
      <c r="Q4368" s="22"/>
      <c r="R4368" s="23"/>
    </row>
    <row r="4369" spans="1:18" ht="12.75">
      <c r="A4369" s="22"/>
      <c r="D4369" s="19"/>
      <c r="H4369" s="18"/>
      <c r="J4369" s="18"/>
      <c r="N4369" s="16"/>
      <c r="O4369" s="17"/>
      <c r="Q4369" s="22"/>
      <c r="R4369" s="23"/>
    </row>
    <row r="4370" spans="1:18" ht="12.75">
      <c r="A4370" s="22"/>
      <c r="D4370" s="19"/>
      <c r="H4370" s="18"/>
      <c r="J4370" s="18"/>
      <c r="N4370" s="16"/>
      <c r="O4370" s="17"/>
      <c r="Q4370" s="22"/>
      <c r="R4370" s="23"/>
    </row>
    <row r="4371" spans="1:18" ht="12.75">
      <c r="A4371" s="22"/>
      <c r="D4371" s="19"/>
      <c r="H4371" s="18"/>
      <c r="J4371" s="18"/>
      <c r="N4371" s="16"/>
      <c r="O4371" s="17"/>
      <c r="Q4371" s="22"/>
      <c r="R4371" s="23"/>
    </row>
    <row r="4372" spans="1:18" ht="12.75">
      <c r="A4372" s="22"/>
      <c r="D4372" s="19"/>
      <c r="H4372" s="18"/>
      <c r="J4372" s="18"/>
      <c r="N4372" s="16"/>
      <c r="O4372" s="17"/>
      <c r="Q4372" s="22"/>
      <c r="R4372" s="23"/>
    </row>
    <row r="4373" spans="1:18" ht="12.75">
      <c r="A4373" s="22"/>
      <c r="D4373" s="19"/>
      <c r="H4373" s="18"/>
      <c r="J4373" s="18"/>
      <c r="N4373" s="16"/>
      <c r="O4373" s="17"/>
      <c r="Q4373" s="22"/>
      <c r="R4373" s="23"/>
    </row>
    <row r="4374" spans="1:18" ht="12.75">
      <c r="A4374" s="22"/>
      <c r="D4374" s="19"/>
      <c r="H4374" s="18"/>
      <c r="J4374" s="18"/>
      <c r="N4374" s="16"/>
      <c r="O4374" s="17"/>
      <c r="Q4374" s="22"/>
      <c r="R4374" s="23"/>
    </row>
    <row r="4375" spans="1:18" ht="12.75">
      <c r="A4375" s="22"/>
      <c r="D4375" s="19"/>
      <c r="H4375" s="18"/>
      <c r="J4375" s="18"/>
      <c r="N4375" s="16"/>
      <c r="O4375" s="17"/>
      <c r="Q4375" s="22"/>
      <c r="R4375" s="23"/>
    </row>
    <row r="4376" spans="1:18" ht="12.75">
      <c r="A4376" s="22"/>
      <c r="D4376" s="19"/>
      <c r="H4376" s="18"/>
      <c r="J4376" s="18"/>
      <c r="N4376" s="16"/>
      <c r="O4376" s="17"/>
      <c r="Q4376" s="22"/>
      <c r="R4376" s="23"/>
    </row>
    <row r="4377" spans="1:18" ht="12.75">
      <c r="A4377" s="22"/>
      <c r="D4377" s="19"/>
      <c r="H4377" s="18"/>
      <c r="J4377" s="18"/>
      <c r="N4377" s="16"/>
      <c r="O4377" s="17"/>
      <c r="Q4377" s="22"/>
      <c r="R4377" s="23"/>
    </row>
    <row r="4378" spans="1:18" ht="12.75">
      <c r="A4378" s="22"/>
      <c r="D4378" s="19"/>
      <c r="H4378" s="18"/>
      <c r="J4378" s="18"/>
      <c r="N4378" s="16"/>
      <c r="O4378" s="17"/>
      <c r="Q4378" s="22"/>
      <c r="R4378" s="23"/>
    </row>
    <row r="4379" spans="1:18" ht="12.75">
      <c r="A4379" s="22"/>
      <c r="D4379" s="19"/>
      <c r="H4379" s="18"/>
      <c r="J4379" s="18"/>
      <c r="N4379" s="16"/>
      <c r="O4379" s="17"/>
      <c r="Q4379" s="22"/>
      <c r="R4379" s="23"/>
    </row>
    <row r="4380" spans="1:18" ht="12.75">
      <c r="A4380" s="22"/>
      <c r="D4380" s="19"/>
      <c r="H4380" s="18"/>
      <c r="J4380" s="18"/>
      <c r="N4380" s="16"/>
      <c r="O4380" s="17"/>
      <c r="Q4380" s="22"/>
      <c r="R4380" s="23"/>
    </row>
    <row r="4381" spans="1:18" ht="12.75">
      <c r="A4381" s="22"/>
      <c r="D4381" s="19"/>
      <c r="H4381" s="18"/>
      <c r="J4381" s="18"/>
      <c r="N4381" s="16"/>
      <c r="O4381" s="17"/>
      <c r="Q4381" s="22"/>
      <c r="R4381" s="23"/>
    </row>
    <row r="4382" spans="1:18" ht="12.75">
      <c r="A4382" s="22"/>
      <c r="D4382" s="19"/>
      <c r="H4382" s="18"/>
      <c r="J4382" s="18"/>
      <c r="N4382" s="16"/>
      <c r="O4382" s="17"/>
      <c r="Q4382" s="22"/>
      <c r="R4382" s="23"/>
    </row>
    <row r="4383" spans="1:18" ht="12.75">
      <c r="A4383" s="22"/>
      <c r="D4383" s="19"/>
      <c r="H4383" s="18"/>
      <c r="J4383" s="18"/>
      <c r="N4383" s="16"/>
      <c r="O4383" s="17"/>
      <c r="Q4383" s="22"/>
      <c r="R4383" s="23"/>
    </row>
    <row r="4384" spans="1:18" ht="12.75">
      <c r="A4384" s="22"/>
      <c r="D4384" s="19"/>
      <c r="H4384" s="18"/>
      <c r="J4384" s="18"/>
      <c r="N4384" s="16"/>
      <c r="O4384" s="17"/>
      <c r="Q4384" s="22"/>
      <c r="R4384" s="23"/>
    </row>
    <row r="4385" spans="1:18" ht="12.75">
      <c r="A4385" s="22"/>
      <c r="D4385" s="19"/>
      <c r="H4385" s="18"/>
      <c r="J4385" s="18"/>
      <c r="N4385" s="16"/>
      <c r="O4385" s="17"/>
      <c r="Q4385" s="22"/>
      <c r="R4385" s="23"/>
    </row>
    <row r="4386" spans="1:18" ht="12.75">
      <c r="A4386" s="22"/>
      <c r="D4386" s="19"/>
      <c r="H4386" s="18"/>
      <c r="J4386" s="18"/>
      <c r="N4386" s="16"/>
      <c r="O4386" s="17"/>
      <c r="Q4386" s="22"/>
      <c r="R4386" s="23"/>
    </row>
    <row r="4387" spans="1:18" ht="12.75">
      <c r="A4387" s="22"/>
      <c r="D4387" s="19"/>
      <c r="H4387" s="18"/>
      <c r="J4387" s="18"/>
      <c r="N4387" s="16"/>
      <c r="O4387" s="17"/>
      <c r="Q4387" s="22"/>
      <c r="R4387" s="23"/>
    </row>
    <row r="4388" spans="1:18" ht="12.75">
      <c r="A4388" s="22"/>
      <c r="D4388" s="19"/>
      <c r="H4388" s="18"/>
      <c r="J4388" s="18"/>
      <c r="N4388" s="16"/>
      <c r="O4388" s="17"/>
      <c r="Q4388" s="22"/>
      <c r="R4388" s="23"/>
    </row>
    <row r="4389" spans="1:18" ht="12.75">
      <c r="A4389" s="22"/>
      <c r="D4389" s="19"/>
      <c r="H4389" s="18"/>
      <c r="J4389" s="18"/>
      <c r="N4389" s="16"/>
      <c r="O4389" s="17"/>
      <c r="Q4389" s="22"/>
      <c r="R4389" s="23"/>
    </row>
    <row r="4390" spans="1:18" ht="12.75">
      <c r="A4390" s="22"/>
      <c r="D4390" s="19"/>
      <c r="H4390" s="18"/>
      <c r="J4390" s="18"/>
      <c r="N4390" s="16"/>
      <c r="O4390" s="17"/>
      <c r="Q4390" s="22"/>
      <c r="R4390" s="23"/>
    </row>
    <row r="4391" spans="1:18" ht="12.75">
      <c r="A4391" s="22"/>
      <c r="D4391" s="19"/>
      <c r="H4391" s="18"/>
      <c r="J4391" s="18"/>
      <c r="N4391" s="16"/>
      <c r="O4391" s="17"/>
      <c r="Q4391" s="22"/>
      <c r="R4391" s="23"/>
    </row>
    <row r="4392" spans="1:18" ht="12.75">
      <c r="A4392" s="22"/>
      <c r="D4392" s="19"/>
      <c r="H4392" s="18"/>
      <c r="J4392" s="18"/>
      <c r="N4392" s="16"/>
      <c r="O4392" s="17"/>
      <c r="Q4392" s="22"/>
      <c r="R4392" s="23"/>
    </row>
    <row r="4393" spans="1:18" ht="12.75">
      <c r="A4393" s="22"/>
      <c r="D4393" s="19"/>
      <c r="H4393" s="18"/>
      <c r="J4393" s="18"/>
      <c r="N4393" s="16"/>
      <c r="O4393" s="17"/>
      <c r="Q4393" s="22"/>
      <c r="R4393" s="23"/>
    </row>
    <row r="4394" spans="1:18" ht="12.75">
      <c r="A4394" s="22"/>
      <c r="D4394" s="19"/>
      <c r="H4394" s="18"/>
      <c r="J4394" s="18"/>
      <c r="N4394" s="16"/>
      <c r="O4394" s="17"/>
      <c r="Q4394" s="22"/>
      <c r="R4394" s="23"/>
    </row>
    <row r="4395" spans="1:18" ht="12.75">
      <c r="A4395" s="22"/>
      <c r="D4395" s="19"/>
      <c r="H4395" s="18"/>
      <c r="J4395" s="18"/>
      <c r="N4395" s="16"/>
      <c r="O4395" s="17"/>
      <c r="Q4395" s="22"/>
      <c r="R4395" s="23"/>
    </row>
    <row r="4396" spans="1:18" ht="12.75">
      <c r="A4396" s="22"/>
      <c r="D4396" s="19"/>
      <c r="H4396" s="18"/>
      <c r="J4396" s="18"/>
      <c r="N4396" s="16"/>
      <c r="O4396" s="17"/>
      <c r="Q4396" s="22"/>
      <c r="R4396" s="23"/>
    </row>
    <row r="4397" spans="1:18" ht="12.75">
      <c r="A4397" s="22"/>
      <c r="D4397" s="19"/>
      <c r="H4397" s="18"/>
      <c r="J4397" s="18"/>
      <c r="N4397" s="16"/>
      <c r="O4397" s="17"/>
      <c r="Q4397" s="22"/>
      <c r="R4397" s="23"/>
    </row>
    <row r="4398" spans="1:18" ht="12.75">
      <c r="A4398" s="22"/>
      <c r="D4398" s="19"/>
      <c r="H4398" s="18"/>
      <c r="J4398" s="18"/>
      <c r="N4398" s="16"/>
      <c r="O4398" s="17"/>
      <c r="Q4398" s="22"/>
      <c r="R4398" s="23"/>
    </row>
    <row r="4399" spans="1:18" ht="12.75">
      <c r="A4399" s="22"/>
      <c r="D4399" s="19"/>
      <c r="H4399" s="18"/>
      <c r="J4399" s="18"/>
      <c r="N4399" s="16"/>
      <c r="O4399" s="17"/>
      <c r="Q4399" s="22"/>
      <c r="R4399" s="23"/>
    </row>
    <row r="4400" spans="1:18" ht="12.75">
      <c r="A4400" s="22"/>
      <c r="D4400" s="19"/>
      <c r="H4400" s="18"/>
      <c r="J4400" s="18"/>
      <c r="N4400" s="16"/>
      <c r="O4400" s="17"/>
      <c r="Q4400" s="22"/>
      <c r="R4400" s="23"/>
    </row>
    <row r="4401" spans="1:18" ht="12.75">
      <c r="A4401" s="22"/>
      <c r="D4401" s="19"/>
      <c r="H4401" s="18"/>
      <c r="J4401" s="18"/>
      <c r="N4401" s="16"/>
      <c r="O4401" s="17"/>
      <c r="Q4401" s="22"/>
      <c r="R4401" s="23"/>
    </row>
    <row r="4402" spans="1:18" ht="12.75">
      <c r="A4402" s="22"/>
      <c r="D4402" s="19"/>
      <c r="H4402" s="18"/>
      <c r="J4402" s="18"/>
      <c r="N4402" s="16"/>
      <c r="O4402" s="17"/>
      <c r="Q4402" s="22"/>
      <c r="R4402" s="23"/>
    </row>
    <row r="4403" spans="1:18" ht="12.75">
      <c r="A4403" s="22"/>
      <c r="D4403" s="19"/>
      <c r="H4403" s="18"/>
      <c r="J4403" s="18"/>
      <c r="N4403" s="16"/>
      <c r="O4403" s="17"/>
      <c r="Q4403" s="22"/>
      <c r="R4403" s="23"/>
    </row>
    <row r="4404" spans="1:18" ht="12.75">
      <c r="A4404" s="22"/>
      <c r="D4404" s="19"/>
      <c r="H4404" s="18"/>
      <c r="J4404" s="18"/>
      <c r="N4404" s="16"/>
      <c r="O4404" s="17"/>
      <c r="Q4404" s="22"/>
      <c r="R4404" s="23"/>
    </row>
    <row r="4405" spans="1:18" ht="12.75">
      <c r="A4405" s="22"/>
      <c r="D4405" s="19"/>
      <c r="H4405" s="18"/>
      <c r="J4405" s="18"/>
      <c r="N4405" s="16"/>
      <c r="O4405" s="17"/>
      <c r="Q4405" s="22"/>
      <c r="R4405" s="23"/>
    </row>
    <row r="4406" spans="1:18" ht="12.75">
      <c r="A4406" s="22"/>
      <c r="D4406" s="19"/>
      <c r="H4406" s="18"/>
      <c r="J4406" s="18"/>
      <c r="N4406" s="16"/>
      <c r="O4406" s="17"/>
      <c r="Q4406" s="22"/>
      <c r="R4406" s="23"/>
    </row>
    <row r="4407" spans="1:18" ht="12.75">
      <c r="A4407" s="22"/>
      <c r="D4407" s="19"/>
      <c r="H4407" s="18"/>
      <c r="J4407" s="18"/>
      <c r="N4407" s="16"/>
      <c r="O4407" s="17"/>
      <c r="Q4407" s="22"/>
      <c r="R4407" s="23"/>
    </row>
    <row r="4408" spans="1:18" ht="12.75">
      <c r="A4408" s="22"/>
      <c r="D4408" s="19"/>
      <c r="H4408" s="18"/>
      <c r="J4408" s="18"/>
      <c r="N4408" s="16"/>
      <c r="O4408" s="17"/>
      <c r="Q4408" s="22"/>
      <c r="R4408" s="23"/>
    </row>
    <row r="4409" spans="1:18" ht="12.75">
      <c r="A4409" s="22"/>
      <c r="D4409" s="19"/>
      <c r="H4409" s="18"/>
      <c r="J4409" s="18"/>
      <c r="N4409" s="16"/>
      <c r="O4409" s="17"/>
      <c r="Q4409" s="22"/>
      <c r="R4409" s="23"/>
    </row>
    <row r="4410" spans="1:18" ht="12.75">
      <c r="A4410" s="22"/>
      <c r="D4410" s="19"/>
      <c r="H4410" s="18"/>
      <c r="J4410" s="18"/>
      <c r="N4410" s="16"/>
      <c r="O4410" s="17"/>
      <c r="Q4410" s="22"/>
      <c r="R4410" s="23"/>
    </row>
    <row r="4411" spans="1:18" ht="12.75">
      <c r="A4411" s="22"/>
      <c r="D4411" s="19"/>
      <c r="H4411" s="18"/>
      <c r="J4411" s="18"/>
      <c r="N4411" s="16"/>
      <c r="O4411" s="17"/>
      <c r="Q4411" s="22"/>
      <c r="R4411" s="23"/>
    </row>
    <row r="4412" spans="1:18" ht="12.75">
      <c r="A4412" s="22"/>
      <c r="D4412" s="19"/>
      <c r="H4412" s="18"/>
      <c r="J4412" s="18"/>
      <c r="N4412" s="16"/>
      <c r="O4412" s="17"/>
      <c r="Q4412" s="22"/>
      <c r="R4412" s="23"/>
    </row>
    <row r="4413" spans="1:18" ht="12.75">
      <c r="A4413" s="22"/>
      <c r="D4413" s="19"/>
      <c r="H4413" s="18"/>
      <c r="J4413" s="18"/>
      <c r="N4413" s="16"/>
      <c r="O4413" s="17"/>
      <c r="Q4413" s="22"/>
      <c r="R4413" s="23"/>
    </row>
    <row r="4414" spans="1:18" ht="12.75">
      <c r="A4414" s="22"/>
      <c r="D4414" s="19"/>
      <c r="H4414" s="18"/>
      <c r="J4414" s="18"/>
      <c r="N4414" s="16"/>
      <c r="O4414" s="17"/>
      <c r="Q4414" s="22"/>
      <c r="R4414" s="23"/>
    </row>
    <row r="4415" spans="1:18" ht="12.75">
      <c r="A4415" s="22"/>
      <c r="D4415" s="19"/>
      <c r="H4415" s="18"/>
      <c r="J4415" s="18"/>
      <c r="N4415" s="16"/>
      <c r="O4415" s="17"/>
      <c r="Q4415" s="22"/>
      <c r="R4415" s="23"/>
    </row>
    <row r="4416" spans="1:18" ht="12.75">
      <c r="A4416" s="22"/>
      <c r="D4416" s="19"/>
      <c r="H4416" s="18"/>
      <c r="J4416" s="18"/>
      <c r="N4416" s="16"/>
      <c r="O4416" s="17"/>
      <c r="Q4416" s="22"/>
      <c r="R4416" s="23"/>
    </row>
    <row r="4417" spans="1:18" ht="12.75">
      <c r="A4417" s="22"/>
      <c r="D4417" s="19"/>
      <c r="H4417" s="18"/>
      <c r="J4417" s="18"/>
      <c r="N4417" s="16"/>
      <c r="O4417" s="17"/>
      <c r="Q4417" s="22"/>
      <c r="R4417" s="23"/>
    </row>
    <row r="4418" spans="1:18" ht="12.75">
      <c r="A4418" s="22"/>
      <c r="D4418" s="19"/>
      <c r="H4418" s="18"/>
      <c r="J4418" s="18"/>
      <c r="N4418" s="16"/>
      <c r="O4418" s="17"/>
      <c r="Q4418" s="22"/>
      <c r="R4418" s="23"/>
    </row>
    <row r="4419" spans="1:18" ht="12.75">
      <c r="A4419" s="22"/>
      <c r="D4419" s="19"/>
      <c r="H4419" s="18"/>
      <c r="J4419" s="18"/>
      <c r="N4419" s="16"/>
      <c r="O4419" s="17"/>
      <c r="Q4419" s="22"/>
      <c r="R4419" s="23"/>
    </row>
    <row r="4420" spans="1:18" ht="12.75">
      <c r="A4420" s="22"/>
      <c r="D4420" s="19"/>
      <c r="H4420" s="18"/>
      <c r="J4420" s="18"/>
      <c r="N4420" s="16"/>
      <c r="O4420" s="17"/>
      <c r="Q4420" s="22"/>
      <c r="R4420" s="23"/>
    </row>
    <row r="4421" spans="1:18" ht="12.75">
      <c r="A4421" s="22"/>
      <c r="D4421" s="19"/>
      <c r="H4421" s="18"/>
      <c r="J4421" s="18"/>
      <c r="N4421" s="16"/>
      <c r="O4421" s="17"/>
      <c r="Q4421" s="22"/>
      <c r="R4421" s="23"/>
    </row>
    <row r="4422" spans="1:18" ht="12.75">
      <c r="A4422" s="22"/>
      <c r="D4422" s="19"/>
      <c r="H4422" s="18"/>
      <c r="J4422" s="18"/>
      <c r="N4422" s="16"/>
      <c r="O4422" s="17"/>
      <c r="Q4422" s="22"/>
      <c r="R4422" s="23"/>
    </row>
    <row r="4423" spans="1:18" ht="12.75">
      <c r="A4423" s="22"/>
      <c r="D4423" s="19"/>
      <c r="H4423" s="18"/>
      <c r="J4423" s="18"/>
      <c r="N4423" s="16"/>
      <c r="O4423" s="17"/>
      <c r="Q4423" s="22"/>
      <c r="R4423" s="23"/>
    </row>
    <row r="4424" spans="1:18" ht="12.75">
      <c r="A4424" s="22"/>
      <c r="D4424" s="19"/>
      <c r="H4424" s="18"/>
      <c r="J4424" s="18"/>
      <c r="N4424" s="16"/>
      <c r="O4424" s="17"/>
      <c r="Q4424" s="22"/>
      <c r="R4424" s="23"/>
    </row>
    <row r="4425" spans="1:18" ht="12.75">
      <c r="A4425" s="22"/>
      <c r="D4425" s="19"/>
      <c r="H4425" s="18"/>
      <c r="J4425" s="18"/>
      <c r="N4425" s="16"/>
      <c r="O4425" s="17"/>
      <c r="Q4425" s="22"/>
      <c r="R4425" s="23"/>
    </row>
    <row r="4426" spans="1:18" ht="12.75">
      <c r="A4426" s="22"/>
      <c r="D4426" s="19"/>
      <c r="H4426" s="18"/>
      <c r="J4426" s="18"/>
      <c r="N4426" s="16"/>
      <c r="O4426" s="17"/>
      <c r="Q4426" s="22"/>
      <c r="R4426" s="23"/>
    </row>
    <row r="4427" spans="1:18" ht="12.75">
      <c r="A4427" s="22"/>
      <c r="D4427" s="19"/>
      <c r="H4427" s="18"/>
      <c r="J4427" s="18"/>
      <c r="N4427" s="16"/>
      <c r="O4427" s="17"/>
      <c r="Q4427" s="22"/>
      <c r="R4427" s="23"/>
    </row>
    <row r="4428" spans="1:18" ht="12.75">
      <c r="A4428" s="22"/>
      <c r="D4428" s="19"/>
      <c r="H4428" s="18"/>
      <c r="J4428" s="18"/>
      <c r="N4428" s="16"/>
      <c r="O4428" s="17"/>
      <c r="Q4428" s="22"/>
      <c r="R4428" s="23"/>
    </row>
    <row r="4429" spans="1:18" ht="12.75">
      <c r="A4429" s="22"/>
      <c r="D4429" s="19"/>
      <c r="H4429" s="18"/>
      <c r="J4429" s="18"/>
      <c r="N4429" s="16"/>
      <c r="O4429" s="17"/>
      <c r="Q4429" s="22"/>
      <c r="R4429" s="23"/>
    </row>
    <row r="4430" spans="1:18" ht="12.75">
      <c r="A4430" s="22"/>
      <c r="D4430" s="19"/>
      <c r="H4430" s="18"/>
      <c r="J4430" s="18"/>
      <c r="N4430" s="16"/>
      <c r="O4430" s="17"/>
      <c r="Q4430" s="22"/>
      <c r="R4430" s="23"/>
    </row>
    <row r="4431" spans="1:18" ht="12.75">
      <c r="A4431" s="22"/>
      <c r="D4431" s="19"/>
      <c r="H4431" s="18"/>
      <c r="J4431" s="18"/>
      <c r="N4431" s="16"/>
      <c r="O4431" s="17"/>
      <c r="Q4431" s="22"/>
      <c r="R4431" s="23"/>
    </row>
    <row r="4432" spans="1:18" ht="12.75">
      <c r="A4432" s="22"/>
      <c r="D4432" s="19"/>
      <c r="H4432" s="18"/>
      <c r="J4432" s="18"/>
      <c r="N4432" s="16"/>
      <c r="O4432" s="17"/>
      <c r="Q4432" s="22"/>
      <c r="R4432" s="23"/>
    </row>
    <row r="4433" spans="1:18" ht="12.75">
      <c r="A4433" s="22"/>
      <c r="D4433" s="19"/>
      <c r="H4433" s="18"/>
      <c r="J4433" s="18"/>
      <c r="N4433" s="16"/>
      <c r="O4433" s="17"/>
      <c r="Q4433" s="22"/>
      <c r="R4433" s="23"/>
    </row>
    <row r="4434" spans="1:18" ht="12.75">
      <c r="A4434" s="22"/>
      <c r="D4434" s="19"/>
      <c r="H4434" s="18"/>
      <c r="J4434" s="18"/>
      <c r="N4434" s="16"/>
      <c r="O4434" s="17"/>
      <c r="Q4434" s="22"/>
      <c r="R4434" s="23"/>
    </row>
    <row r="4435" spans="1:18" ht="12.75">
      <c r="A4435" s="22"/>
      <c r="D4435" s="19"/>
      <c r="H4435" s="18"/>
      <c r="J4435" s="18"/>
      <c r="N4435" s="16"/>
      <c r="O4435" s="17"/>
      <c r="Q4435" s="22"/>
      <c r="R4435" s="23"/>
    </row>
    <row r="4436" spans="1:18" ht="12.75">
      <c r="A4436" s="22"/>
      <c r="D4436" s="19"/>
      <c r="H4436" s="18"/>
      <c r="J4436" s="18"/>
      <c r="N4436" s="16"/>
      <c r="O4436" s="17"/>
      <c r="Q4436" s="22"/>
      <c r="R4436" s="23"/>
    </row>
    <row r="4437" spans="1:18" ht="12.75">
      <c r="A4437" s="22"/>
      <c r="D4437" s="19"/>
      <c r="H4437" s="18"/>
      <c r="J4437" s="18"/>
      <c r="N4437" s="16"/>
      <c r="O4437" s="17"/>
      <c r="Q4437" s="22"/>
      <c r="R4437" s="23"/>
    </row>
    <row r="4438" spans="1:18" ht="12.75">
      <c r="A4438" s="22"/>
      <c r="D4438" s="19"/>
      <c r="H4438" s="18"/>
      <c r="J4438" s="18"/>
      <c r="N4438" s="16"/>
      <c r="O4438" s="17"/>
      <c r="Q4438" s="22"/>
      <c r="R4438" s="23"/>
    </row>
    <row r="4439" spans="1:18" ht="12.75">
      <c r="A4439" s="22"/>
      <c r="D4439" s="19"/>
      <c r="H4439" s="18"/>
      <c r="J4439" s="18"/>
      <c r="N4439" s="16"/>
      <c r="O4439" s="17"/>
      <c r="Q4439" s="22"/>
      <c r="R4439" s="23"/>
    </row>
    <row r="4440" spans="1:18" ht="12.75">
      <c r="A4440" s="22"/>
      <c r="D4440" s="19"/>
      <c r="H4440" s="18"/>
      <c r="J4440" s="18"/>
      <c r="N4440" s="16"/>
      <c r="O4440" s="17"/>
      <c r="Q4440" s="22"/>
      <c r="R4440" s="23"/>
    </row>
    <row r="4441" spans="1:18" ht="12.75">
      <c r="A4441" s="22"/>
      <c r="D4441" s="19"/>
      <c r="H4441" s="18"/>
      <c r="J4441" s="18"/>
      <c r="N4441" s="16"/>
      <c r="O4441" s="17"/>
      <c r="Q4441" s="22"/>
      <c r="R4441" s="23"/>
    </row>
    <row r="4442" spans="1:18" ht="12.75">
      <c r="A4442" s="22"/>
      <c r="D4442" s="19"/>
      <c r="H4442" s="18"/>
      <c r="J4442" s="18"/>
      <c r="N4442" s="16"/>
      <c r="O4442" s="17"/>
      <c r="Q4442" s="22"/>
      <c r="R4442" s="23"/>
    </row>
    <row r="4443" spans="1:18" ht="12.75">
      <c r="A4443" s="22"/>
      <c r="D4443" s="19"/>
      <c r="H4443" s="18"/>
      <c r="J4443" s="18"/>
      <c r="N4443" s="16"/>
      <c r="O4443" s="17"/>
      <c r="Q4443" s="22"/>
      <c r="R4443" s="23"/>
    </row>
    <row r="4444" spans="1:18" ht="12.75">
      <c r="A4444" s="22"/>
      <c r="D4444" s="19"/>
      <c r="H4444" s="18"/>
      <c r="J4444" s="18"/>
      <c r="N4444" s="16"/>
      <c r="O4444" s="17"/>
      <c r="Q4444" s="22"/>
      <c r="R4444" s="23"/>
    </row>
    <row r="4445" spans="1:18" ht="12.75">
      <c r="A4445" s="22"/>
      <c r="D4445" s="19"/>
      <c r="H4445" s="18"/>
      <c r="J4445" s="18"/>
      <c r="N4445" s="16"/>
      <c r="O4445" s="17"/>
      <c r="Q4445" s="22"/>
      <c r="R4445" s="23"/>
    </row>
    <row r="4446" spans="1:18" ht="12.75">
      <c r="A4446" s="22"/>
      <c r="D4446" s="19"/>
      <c r="H4446" s="18"/>
      <c r="J4446" s="18"/>
      <c r="N4446" s="16"/>
      <c r="O4446" s="17"/>
      <c r="Q4446" s="22"/>
      <c r="R4446" s="23"/>
    </row>
    <row r="4447" spans="1:18" ht="12.75">
      <c r="A4447" s="22"/>
      <c r="D4447" s="19"/>
      <c r="H4447" s="18"/>
      <c r="J4447" s="18"/>
      <c r="N4447" s="16"/>
      <c r="O4447" s="17"/>
      <c r="Q4447" s="22"/>
      <c r="R4447" s="23"/>
    </row>
    <row r="4448" spans="1:18" ht="12.75">
      <c r="A4448" s="22"/>
      <c r="D4448" s="19"/>
      <c r="H4448" s="18"/>
      <c r="J4448" s="18"/>
      <c r="N4448" s="16"/>
      <c r="O4448" s="17"/>
      <c r="Q4448" s="22"/>
      <c r="R4448" s="23"/>
    </row>
    <row r="4449" spans="1:18" ht="12.75">
      <c r="A4449" s="22"/>
      <c r="D4449" s="19"/>
      <c r="H4449" s="18"/>
      <c r="J4449" s="18"/>
      <c r="N4449" s="16"/>
      <c r="O4449" s="17"/>
      <c r="Q4449" s="22"/>
      <c r="R4449" s="23"/>
    </row>
    <row r="4450" spans="1:18" ht="12.75">
      <c r="A4450" s="22"/>
      <c r="D4450" s="19"/>
      <c r="H4450" s="18"/>
      <c r="J4450" s="18"/>
      <c r="N4450" s="16"/>
      <c r="O4450" s="17"/>
      <c r="Q4450" s="22"/>
      <c r="R4450" s="23"/>
    </row>
    <row r="4451" spans="1:18" ht="12.75">
      <c r="A4451" s="22"/>
      <c r="D4451" s="19"/>
      <c r="H4451" s="18"/>
      <c r="J4451" s="18"/>
      <c r="N4451" s="16"/>
      <c r="O4451" s="17"/>
      <c r="Q4451" s="22"/>
      <c r="R4451" s="23"/>
    </row>
    <row r="4452" spans="1:18" ht="12.75">
      <c r="A4452" s="22"/>
      <c r="D4452" s="19"/>
      <c r="H4452" s="18"/>
      <c r="J4452" s="18"/>
      <c r="N4452" s="16"/>
      <c r="O4452" s="17"/>
      <c r="Q4452" s="22"/>
      <c r="R4452" s="23"/>
    </row>
    <row r="4453" spans="1:18" ht="12.75">
      <c r="A4453" s="22"/>
      <c r="D4453" s="19"/>
      <c r="H4453" s="18"/>
      <c r="J4453" s="18"/>
      <c r="N4453" s="16"/>
      <c r="O4453" s="17"/>
      <c r="Q4453" s="22"/>
      <c r="R4453" s="23"/>
    </row>
    <row r="4454" spans="1:18" ht="12.75">
      <c r="A4454" s="22"/>
      <c r="D4454" s="19"/>
      <c r="H4454" s="18"/>
      <c r="J4454" s="18"/>
      <c r="N4454" s="16"/>
      <c r="O4454" s="17"/>
      <c r="Q4454" s="22"/>
      <c r="R4454" s="23"/>
    </row>
    <row r="4455" spans="1:18" ht="12.75">
      <c r="A4455" s="22"/>
      <c r="D4455" s="19"/>
      <c r="H4455" s="18"/>
      <c r="J4455" s="18"/>
      <c r="N4455" s="16"/>
      <c r="O4455" s="17"/>
      <c r="Q4455" s="22"/>
      <c r="R4455" s="23"/>
    </row>
    <row r="4456" spans="1:18" ht="12.75">
      <c r="A4456" s="22"/>
      <c r="D4456" s="19"/>
      <c r="H4456" s="18"/>
      <c r="J4456" s="18"/>
      <c r="N4456" s="16"/>
      <c r="O4456" s="17"/>
      <c r="Q4456" s="22"/>
      <c r="R4456" s="23"/>
    </row>
    <row r="4457" spans="1:18" ht="12.75">
      <c r="A4457" s="22"/>
      <c r="D4457" s="19"/>
      <c r="H4457" s="18"/>
      <c r="J4457" s="18"/>
      <c r="N4457" s="16"/>
      <c r="O4457" s="17"/>
      <c r="Q4457" s="22"/>
      <c r="R4457" s="23"/>
    </row>
    <row r="4458" spans="1:18" ht="12.75">
      <c r="A4458" s="22"/>
      <c r="D4458" s="19"/>
      <c r="H4458" s="18"/>
      <c r="J4458" s="18"/>
      <c r="N4458" s="16"/>
      <c r="O4458" s="17"/>
      <c r="Q4458" s="22"/>
      <c r="R4458" s="23"/>
    </row>
    <row r="4459" spans="1:18" ht="12.75">
      <c r="A4459" s="22"/>
      <c r="D4459" s="19"/>
      <c r="H4459" s="18"/>
      <c r="J4459" s="18"/>
      <c r="N4459" s="16"/>
      <c r="O4459" s="17"/>
      <c r="Q4459" s="22"/>
      <c r="R4459" s="23"/>
    </row>
    <row r="4460" spans="1:18" ht="12.75">
      <c r="A4460" s="22"/>
      <c r="D4460" s="19"/>
      <c r="H4460" s="18"/>
      <c r="J4460" s="18"/>
      <c r="N4460" s="16"/>
      <c r="O4460" s="17"/>
      <c r="Q4460" s="22"/>
      <c r="R4460" s="23"/>
    </row>
    <row r="4461" spans="1:18" ht="12.75">
      <c r="A4461" s="22"/>
      <c r="D4461" s="19"/>
      <c r="H4461" s="18"/>
      <c r="J4461" s="18"/>
      <c r="N4461" s="16"/>
      <c r="O4461" s="17"/>
      <c r="Q4461" s="22"/>
      <c r="R4461" s="23"/>
    </row>
    <row r="4462" spans="1:18" ht="12.75">
      <c r="A4462" s="22"/>
      <c r="D4462" s="19"/>
      <c r="H4462" s="18"/>
      <c r="J4462" s="18"/>
      <c r="N4462" s="16"/>
      <c r="O4462" s="17"/>
      <c r="Q4462" s="22"/>
      <c r="R4462" s="23"/>
    </row>
    <row r="4463" spans="1:18" ht="12.75">
      <c r="A4463" s="22"/>
      <c r="D4463" s="19"/>
      <c r="H4463" s="18"/>
      <c r="J4463" s="18"/>
      <c r="N4463" s="16"/>
      <c r="O4463" s="17"/>
      <c r="Q4463" s="22"/>
      <c r="R4463" s="23"/>
    </row>
    <row r="4464" spans="1:18" ht="12.75">
      <c r="A4464" s="22"/>
      <c r="D4464" s="19"/>
      <c r="H4464" s="18"/>
      <c r="J4464" s="18"/>
      <c r="N4464" s="16"/>
      <c r="O4464" s="17"/>
      <c r="Q4464" s="22"/>
      <c r="R4464" s="23"/>
    </row>
    <row r="4465" spans="1:18" ht="12.75">
      <c r="A4465" s="22"/>
      <c r="D4465" s="19"/>
      <c r="H4465" s="18"/>
      <c r="J4465" s="18"/>
      <c r="N4465" s="16"/>
      <c r="O4465" s="17"/>
      <c r="Q4465" s="22"/>
      <c r="R4465" s="23"/>
    </row>
    <row r="4466" spans="1:18" ht="12.75">
      <c r="A4466" s="22"/>
      <c r="D4466" s="19"/>
      <c r="H4466" s="18"/>
      <c r="J4466" s="18"/>
      <c r="N4466" s="16"/>
      <c r="O4466" s="17"/>
      <c r="Q4466" s="22"/>
      <c r="R4466" s="23"/>
    </row>
    <row r="4467" spans="1:18" ht="12.75">
      <c r="A4467" s="22"/>
      <c r="D4467" s="19"/>
      <c r="H4467" s="18"/>
      <c r="J4467" s="18"/>
      <c r="N4467" s="16"/>
      <c r="O4467" s="17"/>
      <c r="Q4467" s="22"/>
      <c r="R4467" s="23"/>
    </row>
    <row r="4468" spans="1:18" ht="12.75">
      <c r="A4468" s="22"/>
      <c r="D4468" s="19"/>
      <c r="H4468" s="18"/>
      <c r="J4468" s="18"/>
      <c r="N4468" s="16"/>
      <c r="O4468" s="17"/>
      <c r="Q4468" s="22"/>
      <c r="R4468" s="23"/>
    </row>
    <row r="4469" spans="1:18" ht="12.75">
      <c r="A4469" s="22"/>
      <c r="D4469" s="19"/>
      <c r="H4469" s="18"/>
      <c r="J4469" s="18"/>
      <c r="N4469" s="16"/>
      <c r="O4469" s="17"/>
      <c r="Q4469" s="22"/>
      <c r="R4469" s="23"/>
    </row>
    <row r="4470" spans="1:18" ht="12.75">
      <c r="A4470" s="22"/>
      <c r="D4470" s="19"/>
      <c r="H4470" s="18"/>
      <c r="J4470" s="18"/>
      <c r="N4470" s="16"/>
      <c r="O4470" s="17"/>
      <c r="Q4470" s="22"/>
      <c r="R4470" s="23"/>
    </row>
    <row r="4471" spans="1:18" ht="12.75">
      <c r="A4471" s="22"/>
      <c r="D4471" s="19"/>
      <c r="H4471" s="18"/>
      <c r="J4471" s="18"/>
      <c r="N4471" s="16"/>
      <c r="O4471" s="17"/>
      <c r="Q4471" s="22"/>
      <c r="R4471" s="23"/>
    </row>
    <row r="4472" spans="1:18" ht="12.75">
      <c r="A4472" s="22"/>
      <c r="D4472" s="19"/>
      <c r="H4472" s="18"/>
      <c r="J4472" s="18"/>
      <c r="N4472" s="16"/>
      <c r="O4472" s="17"/>
      <c r="Q4472" s="22"/>
      <c r="R4472" s="23"/>
    </row>
    <row r="4473" spans="1:18" ht="12.75">
      <c r="A4473" s="22"/>
      <c r="D4473" s="19"/>
      <c r="H4473" s="18"/>
      <c r="J4473" s="18"/>
      <c r="N4473" s="16"/>
      <c r="O4473" s="17"/>
      <c r="Q4473" s="22"/>
      <c r="R4473" s="23"/>
    </row>
    <row r="4474" spans="1:18" ht="12.75">
      <c r="A4474" s="22"/>
      <c r="D4474" s="19"/>
      <c r="H4474" s="18"/>
      <c r="J4474" s="18"/>
      <c r="N4474" s="16"/>
      <c r="O4474" s="17"/>
      <c r="Q4474" s="22"/>
      <c r="R4474" s="23"/>
    </row>
    <row r="4475" spans="1:18" ht="12.75">
      <c r="A4475" s="22"/>
      <c r="D4475" s="19"/>
      <c r="H4475" s="18"/>
      <c r="J4475" s="18"/>
      <c r="N4475" s="16"/>
      <c r="O4475" s="17"/>
      <c r="Q4475" s="22"/>
      <c r="R4475" s="23"/>
    </row>
    <row r="4476" spans="1:18" ht="12.75">
      <c r="A4476" s="22"/>
      <c r="D4476" s="19"/>
      <c r="H4476" s="18"/>
      <c r="J4476" s="18"/>
      <c r="N4476" s="16"/>
      <c r="O4476" s="17"/>
      <c r="Q4476" s="22"/>
      <c r="R4476" s="23"/>
    </row>
    <row r="4477" spans="1:18" ht="12.75">
      <c r="A4477" s="22"/>
      <c r="D4477" s="19"/>
      <c r="H4477" s="18"/>
      <c r="J4477" s="18"/>
      <c r="N4477" s="16"/>
      <c r="O4477" s="17"/>
      <c r="Q4477" s="22"/>
      <c r="R4477" s="23"/>
    </row>
    <row r="4478" spans="1:18" ht="12.75">
      <c r="A4478" s="22"/>
      <c r="D4478" s="19"/>
      <c r="H4478" s="18"/>
      <c r="J4478" s="18"/>
      <c r="N4478" s="16"/>
      <c r="O4478" s="17"/>
      <c r="Q4478" s="22"/>
      <c r="R4478" s="23"/>
    </row>
    <row r="4479" spans="1:18" ht="12.75">
      <c r="A4479" s="22"/>
      <c r="D4479" s="19"/>
      <c r="H4479" s="18"/>
      <c r="J4479" s="18"/>
      <c r="N4479" s="16"/>
      <c r="O4479" s="17"/>
      <c r="Q4479" s="22"/>
      <c r="R4479" s="23"/>
    </row>
    <row r="4480" spans="1:18" ht="12.75">
      <c r="A4480" s="22"/>
      <c r="D4480" s="19"/>
      <c r="H4480" s="18"/>
      <c r="J4480" s="18"/>
      <c r="N4480" s="16"/>
      <c r="O4480" s="17"/>
      <c r="Q4480" s="22"/>
      <c r="R4480" s="23"/>
    </row>
    <row r="4481" spans="1:18" ht="12.75">
      <c r="A4481" s="22"/>
      <c r="D4481" s="19"/>
      <c r="H4481" s="18"/>
      <c r="J4481" s="18"/>
      <c r="N4481" s="16"/>
      <c r="O4481" s="17"/>
      <c r="Q4481" s="22"/>
      <c r="R4481" s="23"/>
    </row>
    <row r="4482" spans="1:18" ht="12.75">
      <c r="A4482" s="22"/>
      <c r="D4482" s="19"/>
      <c r="H4482" s="18"/>
      <c r="J4482" s="18"/>
      <c r="N4482" s="16"/>
      <c r="O4482" s="17"/>
      <c r="Q4482" s="22"/>
      <c r="R4482" s="23"/>
    </row>
    <row r="4483" spans="1:18" ht="12.75">
      <c r="A4483" s="22"/>
      <c r="D4483" s="19"/>
      <c r="H4483" s="18"/>
      <c r="J4483" s="18"/>
      <c r="N4483" s="16"/>
      <c r="O4483" s="17"/>
      <c r="Q4483" s="22"/>
      <c r="R4483" s="23"/>
    </row>
    <row r="4484" spans="1:18" ht="12.75">
      <c r="A4484" s="22"/>
      <c r="D4484" s="19"/>
      <c r="H4484" s="18"/>
      <c r="J4484" s="18"/>
      <c r="N4484" s="16"/>
      <c r="O4484" s="17"/>
      <c r="Q4484" s="22"/>
      <c r="R4484" s="23"/>
    </row>
    <row r="4485" spans="1:18" ht="12.75">
      <c r="A4485" s="22"/>
      <c r="D4485" s="19"/>
      <c r="H4485" s="18"/>
      <c r="J4485" s="18"/>
      <c r="N4485" s="16"/>
      <c r="O4485" s="17"/>
      <c r="Q4485" s="22"/>
      <c r="R4485" s="23"/>
    </row>
    <row r="4486" spans="1:18" ht="12.75">
      <c r="A4486" s="22"/>
      <c r="D4486" s="19"/>
      <c r="H4486" s="18"/>
      <c r="J4486" s="18"/>
      <c r="N4486" s="16"/>
      <c r="O4486" s="17"/>
      <c r="Q4486" s="22"/>
      <c r="R4486" s="23"/>
    </row>
    <row r="4487" spans="1:18" ht="12.75">
      <c r="A4487" s="22"/>
      <c r="D4487" s="19"/>
      <c r="H4487" s="18"/>
      <c r="J4487" s="18"/>
      <c r="N4487" s="16"/>
      <c r="O4487" s="17"/>
      <c r="Q4487" s="22"/>
      <c r="R4487" s="23"/>
    </row>
    <row r="4488" spans="1:18" ht="12.75">
      <c r="A4488" s="22"/>
      <c r="D4488" s="19"/>
      <c r="H4488" s="18"/>
      <c r="J4488" s="18"/>
      <c r="N4488" s="16"/>
      <c r="O4488" s="17"/>
      <c r="Q4488" s="22"/>
      <c r="R4488" s="23"/>
    </row>
    <row r="4489" spans="1:18" ht="12.75">
      <c r="A4489" s="22"/>
      <c r="D4489" s="19"/>
      <c r="H4489" s="18"/>
      <c r="J4489" s="18"/>
      <c r="N4489" s="16"/>
      <c r="O4489" s="17"/>
      <c r="Q4489" s="22"/>
      <c r="R4489" s="23"/>
    </row>
    <row r="4490" spans="1:18" ht="12.75">
      <c r="A4490" s="22"/>
      <c r="D4490" s="19"/>
      <c r="H4490" s="18"/>
      <c r="J4490" s="18"/>
      <c r="N4490" s="16"/>
      <c r="O4490" s="17"/>
      <c r="Q4490" s="22"/>
      <c r="R4490" s="23"/>
    </row>
    <row r="4491" spans="1:18" ht="12.75">
      <c r="A4491" s="22"/>
      <c r="D4491" s="19"/>
      <c r="H4491" s="18"/>
      <c r="J4491" s="18"/>
      <c r="N4491" s="16"/>
      <c r="O4491" s="17"/>
      <c r="Q4491" s="22"/>
      <c r="R4491" s="23"/>
    </row>
    <row r="4492" spans="1:18" ht="12.75">
      <c r="A4492" s="22"/>
      <c r="D4492" s="19"/>
      <c r="H4492" s="18"/>
      <c r="J4492" s="18"/>
      <c r="N4492" s="16"/>
      <c r="O4492" s="17"/>
      <c r="Q4492" s="22"/>
      <c r="R4492" s="23"/>
    </row>
    <row r="4493" spans="1:18" ht="12.75">
      <c r="A4493" s="22"/>
      <c r="D4493" s="19"/>
      <c r="H4493" s="18"/>
      <c r="J4493" s="18"/>
      <c r="N4493" s="16"/>
      <c r="O4493" s="17"/>
      <c r="Q4493" s="22"/>
      <c r="R4493" s="23"/>
    </row>
    <row r="4494" spans="1:18" ht="12.75">
      <c r="A4494" s="22"/>
      <c r="D4494" s="19"/>
      <c r="H4494" s="18"/>
      <c r="J4494" s="18"/>
      <c r="N4494" s="16"/>
      <c r="O4494" s="17"/>
      <c r="Q4494" s="22"/>
      <c r="R4494" s="23"/>
    </row>
    <row r="4495" spans="1:18" ht="12.75">
      <c r="A4495" s="22"/>
      <c r="D4495" s="19"/>
      <c r="H4495" s="18"/>
      <c r="J4495" s="18"/>
      <c r="N4495" s="16"/>
      <c r="O4495" s="17"/>
      <c r="Q4495" s="22"/>
      <c r="R4495" s="23"/>
    </row>
    <row r="4496" spans="1:18" ht="12.75">
      <c r="A4496" s="22"/>
      <c r="D4496" s="19"/>
      <c r="H4496" s="18"/>
      <c r="J4496" s="18"/>
      <c r="N4496" s="16"/>
      <c r="O4496" s="17"/>
      <c r="Q4496" s="22"/>
      <c r="R4496" s="23"/>
    </row>
    <row r="4497" spans="1:18" ht="12.75">
      <c r="A4497" s="22"/>
      <c r="D4497" s="19"/>
      <c r="H4497" s="18"/>
      <c r="J4497" s="18"/>
      <c r="N4497" s="16"/>
      <c r="O4497" s="17"/>
      <c r="Q4497" s="22"/>
      <c r="R4497" s="23"/>
    </row>
    <row r="4498" spans="1:18" ht="12.75">
      <c r="A4498" s="22"/>
      <c r="D4498" s="19"/>
      <c r="H4498" s="18"/>
      <c r="J4498" s="18"/>
      <c r="N4498" s="16"/>
      <c r="O4498" s="17"/>
      <c r="Q4498" s="22"/>
      <c r="R4498" s="23"/>
    </row>
    <row r="4499" spans="1:18" ht="12.75">
      <c r="A4499" s="22"/>
      <c r="D4499" s="19"/>
      <c r="H4499" s="18"/>
      <c r="J4499" s="18"/>
      <c r="N4499" s="16"/>
      <c r="O4499" s="17"/>
      <c r="Q4499" s="22"/>
      <c r="R4499" s="23"/>
    </row>
    <row r="4500" spans="1:18" ht="12.75">
      <c r="A4500" s="22"/>
      <c r="D4500" s="19"/>
      <c r="H4500" s="18"/>
      <c r="J4500" s="18"/>
      <c r="N4500" s="16"/>
      <c r="O4500" s="17"/>
      <c r="Q4500" s="22"/>
      <c r="R4500" s="23"/>
    </row>
    <row r="4501" spans="1:18" ht="12.75">
      <c r="A4501" s="22"/>
      <c r="D4501" s="19"/>
      <c r="H4501" s="18"/>
      <c r="J4501" s="18"/>
      <c r="N4501" s="16"/>
      <c r="O4501" s="17"/>
      <c r="Q4501" s="22"/>
      <c r="R4501" s="23"/>
    </row>
    <row r="4502" spans="1:18" ht="12.75">
      <c r="A4502" s="22"/>
      <c r="D4502" s="19"/>
      <c r="H4502" s="18"/>
      <c r="J4502" s="18"/>
      <c r="N4502" s="16"/>
      <c r="O4502" s="17"/>
      <c r="Q4502" s="22"/>
      <c r="R4502" s="23"/>
    </row>
    <row r="4503" spans="1:18" ht="12.75">
      <c r="A4503" s="22"/>
      <c r="D4503" s="19"/>
      <c r="H4503" s="18"/>
      <c r="J4503" s="18"/>
      <c r="N4503" s="16"/>
      <c r="O4503" s="17"/>
      <c r="Q4503" s="22"/>
      <c r="R4503" s="23"/>
    </row>
    <row r="4504" spans="1:18" ht="12.75">
      <c r="A4504" s="22"/>
      <c r="D4504" s="19"/>
      <c r="H4504" s="18"/>
      <c r="J4504" s="18"/>
      <c r="N4504" s="16"/>
      <c r="O4504" s="17"/>
      <c r="Q4504" s="22"/>
      <c r="R4504" s="23"/>
    </row>
    <row r="4505" spans="1:18" ht="12.75">
      <c r="A4505" s="22"/>
      <c r="D4505" s="19"/>
      <c r="H4505" s="18"/>
      <c r="J4505" s="18"/>
      <c r="N4505" s="16"/>
      <c r="O4505" s="17"/>
      <c r="Q4505" s="22"/>
      <c r="R4505" s="23"/>
    </row>
    <row r="4506" spans="1:18" ht="12.75">
      <c r="A4506" s="22"/>
      <c r="D4506" s="19"/>
      <c r="H4506" s="18"/>
      <c r="J4506" s="18"/>
      <c r="N4506" s="16"/>
      <c r="O4506" s="17"/>
      <c r="Q4506" s="22"/>
      <c r="R4506" s="23"/>
    </row>
    <row r="4507" spans="1:18" ht="12.75">
      <c r="A4507" s="22"/>
      <c r="D4507" s="19"/>
      <c r="H4507" s="18"/>
      <c r="J4507" s="18"/>
      <c r="N4507" s="16"/>
      <c r="O4507" s="17"/>
      <c r="Q4507" s="22"/>
      <c r="R4507" s="23"/>
    </row>
    <row r="4508" spans="1:18" ht="12.75">
      <c r="A4508" s="22"/>
      <c r="D4508" s="19"/>
      <c r="H4508" s="18"/>
      <c r="J4508" s="18"/>
      <c r="N4508" s="16"/>
      <c r="O4508" s="17"/>
      <c r="Q4508" s="22"/>
      <c r="R4508" s="23"/>
    </row>
    <row r="4509" spans="1:18" ht="12.75">
      <c r="A4509" s="22"/>
      <c r="D4509" s="19"/>
      <c r="H4509" s="18"/>
      <c r="J4509" s="18"/>
      <c r="N4509" s="16"/>
      <c r="O4509" s="17"/>
      <c r="Q4509" s="22"/>
      <c r="R4509" s="23"/>
    </row>
    <row r="4510" spans="1:18" ht="12.75">
      <c r="A4510" s="22"/>
      <c r="D4510" s="19"/>
      <c r="H4510" s="18"/>
      <c r="J4510" s="18"/>
      <c r="N4510" s="16"/>
      <c r="O4510" s="17"/>
      <c r="Q4510" s="22"/>
      <c r="R4510" s="23"/>
    </row>
    <row r="4511" spans="1:18" ht="12.75">
      <c r="A4511" s="22"/>
      <c r="D4511" s="19"/>
      <c r="H4511" s="18"/>
      <c r="J4511" s="18"/>
      <c r="N4511" s="16"/>
      <c r="O4511" s="17"/>
      <c r="Q4511" s="22"/>
      <c r="R4511" s="23"/>
    </row>
    <row r="4512" spans="1:18" ht="12.75">
      <c r="A4512" s="22"/>
      <c r="D4512" s="19"/>
      <c r="H4512" s="18"/>
      <c r="J4512" s="18"/>
      <c r="N4512" s="16"/>
      <c r="O4512" s="17"/>
      <c r="Q4512" s="22"/>
      <c r="R4512" s="23"/>
    </row>
    <row r="4513" spans="1:18" ht="12.75">
      <c r="A4513" s="22"/>
      <c r="D4513" s="19"/>
      <c r="H4513" s="18"/>
      <c r="J4513" s="18"/>
      <c r="N4513" s="16"/>
      <c r="O4513" s="17"/>
      <c r="Q4513" s="22"/>
      <c r="R4513" s="23"/>
    </row>
    <row r="4514" spans="1:18" ht="12.75">
      <c r="A4514" s="22"/>
      <c r="D4514" s="19"/>
      <c r="H4514" s="18"/>
      <c r="J4514" s="18"/>
      <c r="N4514" s="16"/>
      <c r="O4514" s="17"/>
      <c r="Q4514" s="22"/>
      <c r="R4514" s="23"/>
    </row>
    <row r="4515" spans="1:18" ht="12.75">
      <c r="A4515" s="22"/>
      <c r="D4515" s="19"/>
      <c r="H4515" s="18"/>
      <c r="J4515" s="18"/>
      <c r="N4515" s="16"/>
      <c r="O4515" s="17"/>
      <c r="Q4515" s="22"/>
      <c r="R4515" s="23"/>
    </row>
    <row r="4516" spans="1:18" ht="12.75">
      <c r="A4516" s="22"/>
      <c r="D4516" s="19"/>
      <c r="H4516" s="18"/>
      <c r="J4516" s="18"/>
      <c r="N4516" s="16"/>
      <c r="O4516" s="17"/>
      <c r="Q4516" s="22"/>
      <c r="R4516" s="23"/>
    </row>
    <row r="4517" spans="1:18" ht="12.75">
      <c r="A4517" s="22"/>
      <c r="D4517" s="19"/>
      <c r="H4517" s="18"/>
      <c r="J4517" s="18"/>
      <c r="N4517" s="16"/>
      <c r="O4517" s="17"/>
      <c r="Q4517" s="22"/>
      <c r="R4517" s="23"/>
    </row>
    <row r="4518" spans="1:18" ht="12.75">
      <c r="A4518" s="22"/>
      <c r="D4518" s="19"/>
      <c r="H4518" s="18"/>
      <c r="J4518" s="18"/>
      <c r="N4518" s="16"/>
      <c r="O4518" s="17"/>
      <c r="Q4518" s="22"/>
      <c r="R4518" s="23"/>
    </row>
    <row r="4519" spans="1:18" ht="12.75">
      <c r="A4519" s="22"/>
      <c r="D4519" s="19"/>
      <c r="H4519" s="18"/>
      <c r="J4519" s="18"/>
      <c r="N4519" s="16"/>
      <c r="O4519" s="17"/>
      <c r="Q4519" s="22"/>
      <c r="R4519" s="23"/>
    </row>
    <row r="4520" spans="1:18" ht="12.75">
      <c r="A4520" s="22"/>
      <c r="D4520" s="19"/>
      <c r="H4520" s="18"/>
      <c r="J4520" s="18"/>
      <c r="N4520" s="16"/>
      <c r="O4520" s="17"/>
      <c r="Q4520" s="22"/>
      <c r="R4520" s="23"/>
    </row>
    <row r="4521" spans="1:18" ht="12.75">
      <c r="A4521" s="22"/>
      <c r="D4521" s="19"/>
      <c r="H4521" s="18"/>
      <c r="J4521" s="18"/>
      <c r="N4521" s="16"/>
      <c r="O4521" s="17"/>
      <c r="Q4521" s="22"/>
      <c r="R4521" s="23"/>
    </row>
    <row r="4522" spans="1:18" ht="12.75">
      <c r="A4522" s="22"/>
      <c r="D4522" s="19"/>
      <c r="H4522" s="18"/>
      <c r="J4522" s="18"/>
      <c r="N4522" s="16"/>
      <c r="O4522" s="17"/>
      <c r="Q4522" s="22"/>
      <c r="R4522" s="23"/>
    </row>
    <row r="4523" spans="1:18" ht="12.75">
      <c r="A4523" s="22"/>
      <c r="D4523" s="19"/>
      <c r="H4523" s="18"/>
      <c r="J4523" s="18"/>
      <c r="N4523" s="16"/>
      <c r="O4523" s="17"/>
      <c r="Q4523" s="22"/>
      <c r="R4523" s="23"/>
    </row>
    <row r="4524" spans="1:18" ht="12.75">
      <c r="A4524" s="22"/>
      <c r="D4524" s="19"/>
      <c r="H4524" s="18"/>
      <c r="J4524" s="18"/>
      <c r="N4524" s="16"/>
      <c r="O4524" s="17"/>
      <c r="Q4524" s="22"/>
      <c r="R4524" s="23"/>
    </row>
    <row r="4525" spans="1:18" ht="12.75">
      <c r="A4525" s="22"/>
      <c r="D4525" s="19"/>
      <c r="H4525" s="18"/>
      <c r="J4525" s="18"/>
      <c r="N4525" s="16"/>
      <c r="O4525" s="17"/>
      <c r="Q4525" s="22"/>
      <c r="R4525" s="23"/>
    </row>
    <row r="4526" spans="1:18" ht="12.75">
      <c r="A4526" s="22"/>
      <c r="D4526" s="19"/>
      <c r="H4526" s="18"/>
      <c r="J4526" s="18"/>
      <c r="N4526" s="16"/>
      <c r="O4526" s="17"/>
      <c r="Q4526" s="22"/>
      <c r="R4526" s="23"/>
    </row>
    <row r="4527" spans="1:18" ht="12.75">
      <c r="A4527" s="22"/>
      <c r="D4527" s="19"/>
      <c r="H4527" s="18"/>
      <c r="J4527" s="18"/>
      <c r="N4527" s="16"/>
      <c r="O4527" s="17"/>
      <c r="Q4527" s="22"/>
      <c r="R4527" s="23"/>
    </row>
    <row r="4528" spans="1:18" ht="12.75">
      <c r="A4528" s="22"/>
      <c r="D4528" s="19"/>
      <c r="H4528" s="18"/>
      <c r="J4528" s="18"/>
      <c r="N4528" s="16"/>
      <c r="O4528" s="17"/>
      <c r="Q4528" s="22"/>
      <c r="R4528" s="23"/>
    </row>
    <row r="4529" spans="1:18" ht="12.75">
      <c r="A4529" s="22"/>
      <c r="D4529" s="19"/>
      <c r="H4529" s="18"/>
      <c r="J4529" s="18"/>
      <c r="N4529" s="16"/>
      <c r="O4529" s="17"/>
      <c r="Q4529" s="22"/>
      <c r="R4529" s="23"/>
    </row>
    <row r="4530" spans="1:18" ht="12.75">
      <c r="A4530" s="22"/>
      <c r="D4530" s="19"/>
      <c r="H4530" s="18"/>
      <c r="J4530" s="18"/>
      <c r="N4530" s="16"/>
      <c r="O4530" s="17"/>
      <c r="Q4530" s="22"/>
      <c r="R4530" s="23"/>
    </row>
    <row r="4531" spans="1:18" ht="12.75">
      <c r="A4531" s="22"/>
      <c r="D4531" s="19"/>
      <c r="H4531" s="18"/>
      <c r="J4531" s="18"/>
      <c r="N4531" s="16"/>
      <c r="O4531" s="17"/>
      <c r="Q4531" s="22"/>
      <c r="R4531" s="23"/>
    </row>
    <row r="4532" spans="1:18" ht="12.75">
      <c r="A4532" s="22"/>
      <c r="D4532" s="19"/>
      <c r="H4532" s="18"/>
      <c r="J4532" s="18"/>
      <c r="N4532" s="16"/>
      <c r="O4532" s="17"/>
      <c r="Q4532" s="22"/>
      <c r="R4532" s="23"/>
    </row>
    <row r="4533" spans="1:18" ht="12.75">
      <c r="A4533" s="22"/>
      <c r="D4533" s="19"/>
      <c r="H4533" s="18"/>
      <c r="J4533" s="18"/>
      <c r="N4533" s="16"/>
      <c r="O4533" s="17"/>
      <c r="Q4533" s="22"/>
      <c r="R4533" s="23"/>
    </row>
    <row r="4534" spans="1:18" ht="12.75">
      <c r="A4534" s="22"/>
      <c r="D4534" s="19"/>
      <c r="H4534" s="18"/>
      <c r="J4534" s="18"/>
      <c r="N4534" s="16"/>
      <c r="O4534" s="17"/>
      <c r="Q4534" s="22"/>
      <c r="R4534" s="23"/>
    </row>
    <row r="4535" spans="1:18" ht="12.75">
      <c r="A4535" s="22"/>
      <c r="D4535" s="19"/>
      <c r="H4535" s="18"/>
      <c r="J4535" s="18"/>
      <c r="N4535" s="16"/>
      <c r="O4535" s="17"/>
      <c r="Q4535" s="22"/>
      <c r="R4535" s="23"/>
    </row>
    <row r="4536" spans="1:18" ht="12.75">
      <c r="A4536" s="22"/>
      <c r="D4536" s="19"/>
      <c r="H4536" s="18"/>
      <c r="J4536" s="18"/>
      <c r="N4536" s="16"/>
      <c r="O4536" s="17"/>
      <c r="Q4536" s="22"/>
      <c r="R4536" s="23"/>
    </row>
    <row r="4537" spans="1:18" ht="12.75">
      <c r="A4537" s="22"/>
      <c r="D4537" s="19"/>
      <c r="H4537" s="18"/>
      <c r="J4537" s="18"/>
      <c r="N4537" s="16"/>
      <c r="O4537" s="17"/>
      <c r="Q4537" s="22"/>
      <c r="R4537" s="23"/>
    </row>
    <row r="4538" spans="1:18" ht="12.75">
      <c r="A4538" s="22"/>
      <c r="D4538" s="19"/>
      <c r="H4538" s="18"/>
      <c r="J4538" s="18"/>
      <c r="N4538" s="16"/>
      <c r="O4538" s="17"/>
      <c r="Q4538" s="22"/>
      <c r="R4538" s="23"/>
    </row>
    <row r="4539" spans="1:18" ht="12.75">
      <c r="A4539" s="22"/>
      <c r="D4539" s="19"/>
      <c r="H4539" s="18"/>
      <c r="J4539" s="18"/>
      <c r="N4539" s="16"/>
      <c r="O4539" s="17"/>
      <c r="Q4539" s="22"/>
      <c r="R4539" s="23"/>
    </row>
    <row r="4540" spans="1:18" ht="12.75">
      <c r="A4540" s="22"/>
      <c r="D4540" s="19"/>
      <c r="H4540" s="18"/>
      <c r="J4540" s="18"/>
      <c r="N4540" s="16"/>
      <c r="O4540" s="17"/>
      <c r="Q4540" s="22"/>
      <c r="R4540" s="23"/>
    </row>
    <row r="4541" spans="1:18" ht="12.75">
      <c r="A4541" s="22"/>
      <c r="D4541" s="19"/>
      <c r="H4541" s="18"/>
      <c r="J4541" s="18"/>
      <c r="N4541" s="16"/>
      <c r="O4541" s="17"/>
      <c r="Q4541" s="22"/>
      <c r="R4541" s="23"/>
    </row>
    <row r="4542" spans="1:18" ht="12.75">
      <c r="A4542" s="22"/>
      <c r="D4542" s="19"/>
      <c r="H4542" s="18"/>
      <c r="J4542" s="18"/>
      <c r="N4542" s="16"/>
      <c r="O4542" s="17"/>
      <c r="Q4542" s="22"/>
      <c r="R4542" s="23"/>
    </row>
    <row r="4543" spans="1:18" ht="12.75">
      <c r="A4543" s="22"/>
      <c r="D4543" s="19"/>
      <c r="H4543" s="18"/>
      <c r="J4543" s="18"/>
      <c r="N4543" s="16"/>
      <c r="O4543" s="17"/>
      <c r="Q4543" s="22"/>
      <c r="R4543" s="23"/>
    </row>
    <row r="4544" spans="1:18" ht="12.75">
      <c r="A4544" s="22"/>
      <c r="D4544" s="19"/>
      <c r="H4544" s="18"/>
      <c r="J4544" s="18"/>
      <c r="N4544" s="16"/>
      <c r="O4544" s="17"/>
      <c r="Q4544" s="22"/>
      <c r="R4544" s="23"/>
    </row>
    <row r="4545" spans="1:18" ht="12.75">
      <c r="A4545" s="22"/>
      <c r="D4545" s="19"/>
      <c r="H4545" s="18"/>
      <c r="J4545" s="18"/>
      <c r="N4545" s="16"/>
      <c r="O4545" s="17"/>
      <c r="Q4545" s="22"/>
      <c r="R4545" s="23"/>
    </row>
    <row r="4546" spans="1:18" ht="12.75">
      <c r="A4546" s="22"/>
      <c r="D4546" s="19"/>
      <c r="H4546" s="18"/>
      <c r="J4546" s="18"/>
      <c r="N4546" s="16"/>
      <c r="O4546" s="17"/>
      <c r="Q4546" s="22"/>
      <c r="R4546" s="23"/>
    </row>
    <row r="4547" spans="1:18" ht="12.75">
      <c r="A4547" s="22"/>
      <c r="D4547" s="19"/>
      <c r="H4547" s="18"/>
      <c r="J4547" s="18"/>
      <c r="N4547" s="16"/>
      <c r="O4547" s="17"/>
      <c r="Q4547" s="22"/>
      <c r="R4547" s="23"/>
    </row>
    <row r="4548" spans="1:18" ht="12.75">
      <c r="A4548" s="22"/>
      <c r="D4548" s="19"/>
      <c r="H4548" s="18"/>
      <c r="J4548" s="18"/>
      <c r="N4548" s="16"/>
      <c r="O4548" s="17"/>
      <c r="Q4548" s="22"/>
      <c r="R4548" s="23"/>
    </row>
    <row r="4549" spans="1:18" ht="12.75">
      <c r="A4549" s="22"/>
      <c r="D4549" s="19"/>
      <c r="H4549" s="18"/>
      <c r="J4549" s="18"/>
      <c r="N4549" s="16"/>
      <c r="O4549" s="17"/>
      <c r="Q4549" s="22"/>
      <c r="R4549" s="23"/>
    </row>
    <row r="4550" spans="1:18" ht="12.75">
      <c r="A4550" s="22"/>
      <c r="D4550" s="19"/>
      <c r="H4550" s="18"/>
      <c r="J4550" s="18"/>
      <c r="N4550" s="16"/>
      <c r="O4550" s="17"/>
      <c r="Q4550" s="22"/>
      <c r="R4550" s="23"/>
    </row>
    <row r="4551" spans="1:18" ht="12.75">
      <c r="A4551" s="22"/>
      <c r="D4551" s="19"/>
      <c r="H4551" s="18"/>
      <c r="J4551" s="18"/>
      <c r="N4551" s="16"/>
      <c r="O4551" s="17"/>
      <c r="Q4551" s="22"/>
      <c r="R4551" s="23"/>
    </row>
    <row r="4552" spans="1:18" ht="12.75">
      <c r="A4552" s="22"/>
      <c r="D4552" s="19"/>
      <c r="H4552" s="18"/>
      <c r="J4552" s="18"/>
      <c r="N4552" s="16"/>
      <c r="O4552" s="17"/>
      <c r="Q4552" s="22"/>
      <c r="R4552" s="23"/>
    </row>
    <row r="4553" spans="1:18" ht="12.75">
      <c r="A4553" s="22"/>
      <c r="D4553" s="19"/>
      <c r="H4553" s="18"/>
      <c r="J4553" s="18"/>
      <c r="N4553" s="16"/>
      <c r="O4553" s="17"/>
      <c r="Q4553" s="22"/>
      <c r="R4553" s="23"/>
    </row>
    <row r="4554" spans="1:18" ht="12.75">
      <c r="A4554" s="22"/>
      <c r="D4554" s="19"/>
      <c r="H4554" s="18"/>
      <c r="J4554" s="18"/>
      <c r="N4554" s="16"/>
      <c r="O4554" s="17"/>
      <c r="Q4554" s="22"/>
      <c r="R4554" s="23"/>
    </row>
    <row r="4555" spans="1:18" ht="12.75">
      <c r="A4555" s="22"/>
      <c r="D4555" s="19"/>
      <c r="H4555" s="18"/>
      <c r="J4555" s="18"/>
      <c r="N4555" s="16"/>
      <c r="O4555" s="17"/>
      <c r="Q4555" s="22"/>
      <c r="R4555" s="23"/>
    </row>
    <row r="4556" spans="1:18" ht="12.75">
      <c r="A4556" s="22"/>
      <c r="D4556" s="19"/>
      <c r="H4556" s="18"/>
      <c r="J4556" s="18"/>
      <c r="N4556" s="16"/>
      <c r="O4556" s="17"/>
      <c r="Q4556" s="22"/>
      <c r="R4556" s="23"/>
    </row>
    <row r="4557" spans="1:18" ht="12.75">
      <c r="A4557" s="22"/>
      <c r="D4557" s="19"/>
      <c r="H4557" s="18"/>
      <c r="J4557" s="18"/>
      <c r="N4557" s="16"/>
      <c r="O4557" s="17"/>
      <c r="Q4557" s="22"/>
      <c r="R4557" s="23"/>
    </row>
    <row r="4558" spans="1:18" ht="12.75">
      <c r="A4558" s="22"/>
      <c r="D4558" s="19"/>
      <c r="H4558" s="18"/>
      <c r="J4558" s="18"/>
      <c r="N4558" s="16"/>
      <c r="O4558" s="17"/>
      <c r="Q4558" s="22"/>
      <c r="R4558" s="23"/>
    </row>
    <row r="4559" spans="1:18" ht="12.75">
      <c r="A4559" s="22"/>
      <c r="D4559" s="19"/>
      <c r="H4559" s="18"/>
      <c r="J4559" s="18"/>
      <c r="N4559" s="16"/>
      <c r="O4559" s="17"/>
      <c r="Q4559" s="22"/>
      <c r="R4559" s="23"/>
    </row>
    <row r="4560" spans="1:18" ht="12.75">
      <c r="A4560" s="22"/>
      <c r="D4560" s="19"/>
      <c r="H4560" s="18"/>
      <c r="J4560" s="18"/>
      <c r="N4560" s="16"/>
      <c r="O4560" s="17"/>
      <c r="Q4560" s="22"/>
      <c r="R4560" s="23"/>
    </row>
    <row r="4561" spans="1:18" ht="12.75">
      <c r="A4561" s="22"/>
      <c r="D4561" s="19"/>
      <c r="H4561" s="18"/>
      <c r="J4561" s="18"/>
      <c r="N4561" s="16"/>
      <c r="O4561" s="17"/>
      <c r="Q4561" s="22"/>
      <c r="R4561" s="23"/>
    </row>
    <row r="4562" spans="1:18" ht="12.75">
      <c r="A4562" s="22"/>
      <c r="D4562" s="19"/>
      <c r="H4562" s="18"/>
      <c r="J4562" s="18"/>
      <c r="N4562" s="16"/>
      <c r="O4562" s="17"/>
      <c r="Q4562" s="22"/>
      <c r="R4562" s="23"/>
    </row>
    <row r="4563" spans="1:18" ht="12.75">
      <c r="A4563" s="22"/>
      <c r="D4563" s="19"/>
      <c r="H4563" s="18"/>
      <c r="J4563" s="18"/>
      <c r="N4563" s="16"/>
      <c r="O4563" s="17"/>
      <c r="Q4563" s="22"/>
      <c r="R4563" s="23"/>
    </row>
    <row r="4564" spans="1:18" ht="12.75">
      <c r="A4564" s="22"/>
      <c r="D4564" s="19"/>
      <c r="H4564" s="18"/>
      <c r="J4564" s="18"/>
      <c r="N4564" s="16"/>
      <c r="O4564" s="17"/>
      <c r="Q4564" s="22"/>
      <c r="R4564" s="23"/>
    </row>
    <row r="4565" spans="1:18" ht="12.75">
      <c r="A4565" s="22"/>
      <c r="D4565" s="19"/>
      <c r="H4565" s="18"/>
      <c r="J4565" s="18"/>
      <c r="N4565" s="16"/>
      <c r="O4565" s="17"/>
      <c r="Q4565" s="22"/>
      <c r="R4565" s="23"/>
    </row>
    <row r="4566" spans="1:18" ht="12.75">
      <c r="A4566" s="22"/>
      <c r="D4566" s="19"/>
      <c r="H4566" s="18"/>
      <c r="J4566" s="18"/>
      <c r="N4566" s="16"/>
      <c r="O4566" s="17"/>
      <c r="Q4566" s="22"/>
      <c r="R4566" s="23"/>
    </row>
    <row r="4567" spans="1:18" ht="12.75">
      <c r="A4567" s="22"/>
      <c r="D4567" s="19"/>
      <c r="H4567" s="18"/>
      <c r="J4567" s="18"/>
      <c r="N4567" s="16"/>
      <c r="O4567" s="17"/>
      <c r="Q4567" s="22"/>
      <c r="R4567" s="23"/>
    </row>
    <row r="4568" spans="1:18" ht="12.75">
      <c r="A4568" s="22"/>
      <c r="D4568" s="19"/>
      <c r="H4568" s="18"/>
      <c r="J4568" s="18"/>
      <c r="N4568" s="16"/>
      <c r="O4568" s="17"/>
      <c r="Q4568" s="22"/>
      <c r="R4568" s="23"/>
    </row>
    <row r="4569" spans="1:18" ht="12.75">
      <c r="A4569" s="22"/>
      <c r="D4569" s="19"/>
      <c r="H4569" s="18"/>
      <c r="J4569" s="18"/>
      <c r="N4569" s="16"/>
      <c r="O4569" s="17"/>
      <c r="Q4569" s="22"/>
      <c r="R4569" s="23"/>
    </row>
    <row r="4570" spans="1:18" ht="12.75">
      <c r="A4570" s="22"/>
      <c r="D4570" s="19"/>
      <c r="H4570" s="18"/>
      <c r="J4570" s="18"/>
      <c r="N4570" s="16"/>
      <c r="O4570" s="17"/>
      <c r="Q4570" s="22"/>
      <c r="R4570" s="23"/>
    </row>
    <row r="4571" spans="1:18" ht="12.75">
      <c r="A4571" s="22"/>
      <c r="D4571" s="19"/>
      <c r="H4571" s="18"/>
      <c r="J4571" s="18"/>
      <c r="N4571" s="16"/>
      <c r="O4571" s="17"/>
      <c r="Q4571" s="22"/>
      <c r="R4571" s="23"/>
    </row>
    <row r="4572" spans="1:18" ht="12.75">
      <c r="A4572" s="22"/>
      <c r="D4572" s="19"/>
      <c r="H4572" s="18"/>
      <c r="J4572" s="18"/>
      <c r="N4572" s="16"/>
      <c r="O4572" s="17"/>
      <c r="Q4572" s="22"/>
      <c r="R4572" s="23"/>
    </row>
    <row r="4573" spans="1:18" ht="12.75">
      <c r="A4573" s="22"/>
      <c r="D4573" s="19"/>
      <c r="H4573" s="18"/>
      <c r="J4573" s="18"/>
      <c r="N4573" s="16"/>
      <c r="O4573" s="17"/>
      <c r="Q4573" s="22"/>
      <c r="R4573" s="23"/>
    </row>
    <row r="4574" spans="1:18" ht="12.75">
      <c r="A4574" s="22"/>
      <c r="D4574" s="19"/>
      <c r="H4574" s="18"/>
      <c r="J4574" s="18"/>
      <c r="N4574" s="16"/>
      <c r="O4574" s="17"/>
      <c r="Q4574" s="22"/>
      <c r="R4574" s="23"/>
    </row>
    <row r="4575" spans="1:18" ht="12.75">
      <c r="A4575" s="22"/>
      <c r="D4575" s="19"/>
      <c r="H4575" s="18"/>
      <c r="J4575" s="18"/>
      <c r="N4575" s="16"/>
      <c r="O4575" s="17"/>
      <c r="Q4575" s="22"/>
      <c r="R4575" s="23"/>
    </row>
    <row r="4576" spans="1:18" ht="12.75">
      <c r="A4576" s="22"/>
      <c r="D4576" s="19"/>
      <c r="H4576" s="18"/>
      <c r="J4576" s="18"/>
      <c r="N4576" s="16"/>
      <c r="O4576" s="17"/>
      <c r="Q4576" s="22"/>
      <c r="R4576" s="23"/>
    </row>
    <row r="4577" spans="1:18" ht="12.75">
      <c r="A4577" s="22"/>
      <c r="D4577" s="19"/>
      <c r="H4577" s="18"/>
      <c r="J4577" s="18"/>
      <c r="N4577" s="16"/>
      <c r="O4577" s="17"/>
      <c r="Q4577" s="22"/>
      <c r="R4577" s="23"/>
    </row>
    <row r="4578" spans="1:18" ht="12.75">
      <c r="A4578" s="22"/>
      <c r="D4578" s="19"/>
      <c r="H4578" s="18"/>
      <c r="J4578" s="18"/>
      <c r="N4578" s="16"/>
      <c r="O4578" s="17"/>
      <c r="Q4578" s="22"/>
      <c r="R4578" s="23"/>
    </row>
    <row r="4579" spans="1:18" ht="12.75">
      <c r="A4579" s="22"/>
      <c r="D4579" s="19"/>
      <c r="H4579" s="18"/>
      <c r="J4579" s="18"/>
      <c r="N4579" s="16"/>
      <c r="O4579" s="17"/>
      <c r="Q4579" s="22"/>
      <c r="R4579" s="23"/>
    </row>
    <row r="4580" spans="1:18" ht="12.75">
      <c r="A4580" s="22"/>
      <c r="D4580" s="19"/>
      <c r="H4580" s="18"/>
      <c r="J4580" s="18"/>
      <c r="N4580" s="16"/>
      <c r="O4580" s="17"/>
      <c r="Q4580" s="22"/>
      <c r="R4580" s="23"/>
    </row>
    <row r="4581" spans="1:18" ht="12.75">
      <c r="A4581" s="22"/>
      <c r="D4581" s="19"/>
      <c r="H4581" s="18"/>
      <c r="J4581" s="18"/>
      <c r="N4581" s="16"/>
      <c r="O4581" s="17"/>
      <c r="Q4581" s="22"/>
      <c r="R4581" s="23"/>
    </row>
    <row r="4582" spans="1:18" ht="12.75">
      <c r="A4582" s="22"/>
      <c r="D4582" s="19"/>
      <c r="H4582" s="18"/>
      <c r="J4582" s="18"/>
      <c r="N4582" s="16"/>
      <c r="O4582" s="17"/>
      <c r="Q4582" s="22"/>
      <c r="R4582" s="23"/>
    </row>
    <row r="4583" spans="1:18" ht="12.75">
      <c r="A4583" s="22"/>
      <c r="D4583" s="19"/>
      <c r="H4583" s="18"/>
      <c r="J4583" s="18"/>
      <c r="N4583" s="16"/>
      <c r="O4583" s="17"/>
      <c r="Q4583" s="22"/>
      <c r="R4583" s="23"/>
    </row>
    <row r="4584" spans="1:18" ht="12.75">
      <c r="A4584" s="22"/>
      <c r="D4584" s="19"/>
      <c r="H4584" s="18"/>
      <c r="J4584" s="18"/>
      <c r="N4584" s="16"/>
      <c r="O4584" s="17"/>
      <c r="Q4584" s="22"/>
      <c r="R4584" s="23"/>
    </row>
    <row r="4585" spans="1:18" ht="12.75">
      <c r="A4585" s="22"/>
      <c r="D4585" s="19"/>
      <c r="H4585" s="18"/>
      <c r="J4585" s="18"/>
      <c r="N4585" s="16"/>
      <c r="O4585" s="17"/>
      <c r="Q4585" s="22"/>
      <c r="R4585" s="23"/>
    </row>
    <row r="4586" spans="1:18" ht="12.75">
      <c r="A4586" s="22"/>
      <c r="D4586" s="19"/>
      <c r="H4586" s="18"/>
      <c r="J4586" s="18"/>
      <c r="N4586" s="16"/>
      <c r="O4586" s="17"/>
      <c r="Q4586" s="22"/>
      <c r="R4586" s="23"/>
    </row>
    <row r="4587" spans="1:18" ht="12.75">
      <c r="A4587" s="22"/>
      <c r="D4587" s="19"/>
      <c r="H4587" s="18"/>
      <c r="J4587" s="18"/>
      <c r="N4587" s="16"/>
      <c r="O4587" s="17"/>
      <c r="Q4587" s="22"/>
      <c r="R4587" s="23"/>
    </row>
    <row r="4588" spans="1:18" ht="12.75">
      <c r="A4588" s="22"/>
      <c r="D4588" s="19"/>
      <c r="H4588" s="18"/>
      <c r="J4588" s="18"/>
      <c r="N4588" s="16"/>
      <c r="O4588" s="17"/>
      <c r="Q4588" s="22"/>
      <c r="R4588" s="23"/>
    </row>
    <row r="4589" spans="1:18" ht="12.75">
      <c r="A4589" s="22"/>
      <c r="D4589" s="19"/>
      <c r="H4589" s="18"/>
      <c r="J4589" s="18"/>
      <c r="N4589" s="16"/>
      <c r="O4589" s="17"/>
      <c r="Q4589" s="22"/>
      <c r="R4589" s="23"/>
    </row>
    <row r="4590" spans="1:18" ht="12.75">
      <c r="A4590" s="22"/>
      <c r="D4590" s="19"/>
      <c r="H4590" s="18"/>
      <c r="J4590" s="18"/>
      <c r="N4590" s="16"/>
      <c r="O4590" s="17"/>
      <c r="Q4590" s="22"/>
      <c r="R4590" s="23"/>
    </row>
    <row r="4591" spans="1:18" ht="12.75">
      <c r="A4591" s="22"/>
      <c r="D4591" s="19"/>
      <c r="H4591" s="18"/>
      <c r="J4591" s="18"/>
      <c r="N4591" s="16"/>
      <c r="O4591" s="17"/>
      <c r="Q4591" s="22"/>
      <c r="R4591" s="23"/>
    </row>
    <row r="4592" spans="1:18" ht="12.75">
      <c r="A4592" s="22"/>
      <c r="D4592" s="19"/>
      <c r="H4592" s="18"/>
      <c r="J4592" s="18"/>
      <c r="N4592" s="16"/>
      <c r="O4592" s="17"/>
      <c r="Q4592" s="22"/>
      <c r="R4592" s="23"/>
    </row>
    <row r="4593" spans="1:18" ht="12.75">
      <c r="A4593" s="22"/>
      <c r="D4593" s="19"/>
      <c r="H4593" s="18"/>
      <c r="J4593" s="18"/>
      <c r="N4593" s="16"/>
      <c r="O4593" s="17"/>
      <c r="Q4593" s="22"/>
      <c r="R4593" s="23"/>
    </row>
    <row r="4594" spans="1:18" ht="12.75">
      <c r="A4594" s="22"/>
      <c r="D4594" s="19"/>
      <c r="H4594" s="18"/>
      <c r="J4594" s="18"/>
      <c r="N4594" s="16"/>
      <c r="O4594" s="17"/>
      <c r="Q4594" s="22"/>
      <c r="R4594" s="23"/>
    </row>
    <row r="4595" spans="1:18" ht="12.75">
      <c r="A4595" s="22"/>
      <c r="D4595" s="19"/>
      <c r="H4595" s="18"/>
      <c r="J4595" s="18"/>
      <c r="N4595" s="16"/>
      <c r="O4595" s="17"/>
      <c r="Q4595" s="22"/>
      <c r="R4595" s="23"/>
    </row>
    <row r="4596" spans="1:18" ht="12.75">
      <c r="A4596" s="22"/>
      <c r="D4596" s="19"/>
      <c r="H4596" s="18"/>
      <c r="J4596" s="18"/>
      <c r="N4596" s="16"/>
      <c r="O4596" s="17"/>
      <c r="Q4596" s="22"/>
      <c r="R4596" s="23"/>
    </row>
    <row r="4597" spans="1:18" ht="12.75">
      <c r="A4597" s="22"/>
      <c r="D4597" s="19"/>
      <c r="H4597" s="18"/>
      <c r="J4597" s="18"/>
      <c r="N4597" s="16"/>
      <c r="O4597" s="17"/>
      <c r="Q4597" s="22"/>
      <c r="R4597" s="23"/>
    </row>
    <row r="4598" spans="1:18" ht="12.75">
      <c r="A4598" s="22"/>
      <c r="D4598" s="19"/>
      <c r="H4598" s="18"/>
      <c r="J4598" s="18"/>
      <c r="N4598" s="16"/>
      <c r="O4598" s="17"/>
      <c r="Q4598" s="22"/>
      <c r="R4598" s="23"/>
    </row>
    <row r="4599" spans="1:18" ht="12.75">
      <c r="A4599" s="22"/>
      <c r="D4599" s="19"/>
      <c r="H4599" s="18"/>
      <c r="J4599" s="18"/>
      <c r="N4599" s="16"/>
      <c r="O4599" s="17"/>
      <c r="Q4599" s="22"/>
      <c r="R4599" s="23"/>
    </row>
    <row r="4600" spans="1:18" ht="12.75">
      <c r="A4600" s="22"/>
      <c r="D4600" s="19"/>
      <c r="H4600" s="18"/>
      <c r="J4600" s="18"/>
      <c r="N4600" s="16"/>
      <c r="O4600" s="17"/>
      <c r="Q4600" s="22"/>
      <c r="R4600" s="23"/>
    </row>
    <row r="4601" spans="1:18" ht="12.75">
      <c r="A4601" s="22"/>
      <c r="D4601" s="19"/>
      <c r="H4601" s="18"/>
      <c r="J4601" s="18"/>
      <c r="N4601" s="16"/>
      <c r="O4601" s="17"/>
      <c r="Q4601" s="22"/>
      <c r="R4601" s="23"/>
    </row>
    <row r="4602" spans="1:18" ht="12.75">
      <c r="A4602" s="22"/>
      <c r="D4602" s="19"/>
      <c r="H4602" s="18"/>
      <c r="J4602" s="18"/>
      <c r="N4602" s="16"/>
      <c r="O4602" s="17"/>
      <c r="Q4602" s="22"/>
      <c r="R4602" s="23"/>
    </row>
    <row r="4603" spans="1:18" ht="12.75">
      <c r="A4603" s="22"/>
      <c r="D4603" s="19"/>
      <c r="H4603" s="18"/>
      <c r="J4603" s="18"/>
      <c r="N4603" s="16"/>
      <c r="O4603" s="17"/>
      <c r="Q4603" s="22"/>
      <c r="R4603" s="23"/>
    </row>
    <row r="4604" spans="1:18" ht="12.75">
      <c r="A4604" s="22"/>
      <c r="D4604" s="19"/>
      <c r="H4604" s="18"/>
      <c r="J4604" s="18"/>
      <c r="N4604" s="16"/>
      <c r="O4604" s="17"/>
      <c r="Q4604" s="22"/>
      <c r="R4604" s="23"/>
    </row>
    <row r="4605" spans="1:18" ht="12.75">
      <c r="A4605" s="22"/>
      <c r="D4605" s="19"/>
      <c r="H4605" s="18"/>
      <c r="J4605" s="18"/>
      <c r="N4605" s="16"/>
      <c r="O4605" s="17"/>
      <c r="Q4605" s="22"/>
      <c r="R4605" s="23"/>
    </row>
    <row r="4606" spans="1:18" ht="12.75">
      <c r="A4606" s="22"/>
      <c r="D4606" s="19"/>
      <c r="H4606" s="18"/>
      <c r="J4606" s="18"/>
      <c r="N4606" s="16"/>
      <c r="O4606" s="17"/>
      <c r="Q4606" s="22"/>
      <c r="R4606" s="23"/>
    </row>
    <row r="4607" spans="1:18" ht="12.75">
      <c r="A4607" s="22"/>
      <c r="D4607" s="19"/>
      <c r="H4607" s="18"/>
      <c r="J4607" s="18"/>
      <c r="N4607" s="16"/>
      <c r="O4607" s="17"/>
      <c r="Q4607" s="22"/>
      <c r="R4607" s="23"/>
    </row>
    <row r="4608" spans="1:18" ht="12.75">
      <c r="A4608" s="22"/>
      <c r="D4608" s="19"/>
      <c r="H4608" s="18"/>
      <c r="J4608" s="18"/>
      <c r="N4608" s="16"/>
      <c r="O4608" s="17"/>
      <c r="Q4608" s="22"/>
      <c r="R4608" s="23"/>
    </row>
    <row r="4609" spans="1:18" ht="12.75">
      <c r="A4609" s="22"/>
      <c r="D4609" s="19"/>
      <c r="H4609" s="18"/>
      <c r="J4609" s="18"/>
      <c r="N4609" s="16"/>
      <c r="O4609" s="17"/>
      <c r="Q4609" s="22"/>
      <c r="R4609" s="23"/>
    </row>
    <row r="4610" spans="1:18" ht="12.75">
      <c r="A4610" s="22"/>
      <c r="D4610" s="19"/>
      <c r="H4610" s="18"/>
      <c r="J4610" s="18"/>
      <c r="N4610" s="16"/>
      <c r="O4610" s="17"/>
      <c r="Q4610" s="22"/>
      <c r="R4610" s="23"/>
    </row>
    <row r="4611" spans="1:18" ht="12.75">
      <c r="A4611" s="22"/>
      <c r="D4611" s="19"/>
      <c r="H4611" s="18"/>
      <c r="J4611" s="18"/>
      <c r="N4611" s="16"/>
      <c r="O4611" s="17"/>
      <c r="Q4611" s="22"/>
      <c r="R4611" s="23"/>
    </row>
    <row r="4612" spans="1:18" ht="12.75">
      <c r="A4612" s="22"/>
      <c r="D4612" s="19"/>
      <c r="H4612" s="18"/>
      <c r="J4612" s="18"/>
      <c r="N4612" s="16"/>
      <c r="O4612" s="17"/>
      <c r="Q4612" s="22"/>
      <c r="R4612" s="23"/>
    </row>
    <row r="4613" spans="1:18" ht="12.75">
      <c r="A4613" s="22"/>
      <c r="D4613" s="19"/>
      <c r="H4613" s="18"/>
      <c r="J4613" s="18"/>
      <c r="N4613" s="16"/>
      <c r="O4613" s="17"/>
      <c r="Q4613" s="22"/>
      <c r="R4613" s="23"/>
    </row>
    <row r="4614" spans="1:18" ht="12.75">
      <c r="A4614" s="22"/>
      <c r="D4614" s="19"/>
      <c r="H4614" s="18"/>
      <c r="J4614" s="18"/>
      <c r="N4614" s="16"/>
      <c r="O4614" s="17"/>
      <c r="Q4614" s="22"/>
      <c r="R4614" s="23"/>
    </row>
    <row r="4615" spans="1:18" ht="12.75">
      <c r="A4615" s="22"/>
      <c r="D4615" s="19"/>
      <c r="H4615" s="18"/>
      <c r="J4615" s="18"/>
      <c r="N4615" s="16"/>
      <c r="O4615" s="17"/>
      <c r="Q4615" s="22"/>
      <c r="R4615" s="23"/>
    </row>
    <row r="4616" spans="1:18" ht="12.75">
      <c r="A4616" s="22"/>
      <c r="D4616" s="19"/>
      <c r="H4616" s="18"/>
      <c r="J4616" s="18"/>
      <c r="N4616" s="16"/>
      <c r="O4616" s="17"/>
      <c r="Q4616" s="22"/>
      <c r="R4616" s="23"/>
    </row>
    <row r="4617" spans="1:18" ht="12.75">
      <c r="A4617" s="22"/>
      <c r="D4617" s="19"/>
      <c r="H4617" s="18"/>
      <c r="J4617" s="18"/>
      <c r="N4617" s="16"/>
      <c r="O4617" s="17"/>
      <c r="Q4617" s="22"/>
      <c r="R4617" s="23"/>
    </row>
    <row r="4618" spans="1:18" ht="12.75">
      <c r="A4618" s="22"/>
      <c r="D4618" s="19"/>
      <c r="H4618" s="18"/>
      <c r="J4618" s="18"/>
      <c r="N4618" s="16"/>
      <c r="O4618" s="17"/>
      <c r="Q4618" s="22"/>
      <c r="R4618" s="23"/>
    </row>
    <row r="4619" spans="1:18" ht="12.75">
      <c r="A4619" s="22"/>
      <c r="D4619" s="19"/>
      <c r="H4619" s="18"/>
      <c r="J4619" s="18"/>
      <c r="N4619" s="16"/>
      <c r="O4619" s="17"/>
      <c r="Q4619" s="22"/>
      <c r="R4619" s="23"/>
    </row>
    <row r="4620" spans="1:18" ht="12.75">
      <c r="A4620" s="22"/>
      <c r="D4620" s="19"/>
      <c r="H4620" s="18"/>
      <c r="J4620" s="18"/>
      <c r="N4620" s="16"/>
      <c r="O4620" s="17"/>
      <c r="Q4620" s="22"/>
      <c r="R4620" s="23"/>
    </row>
    <row r="4621" spans="1:18" ht="12.75">
      <c r="A4621" s="22"/>
      <c r="D4621" s="19"/>
      <c r="H4621" s="18"/>
      <c r="J4621" s="18"/>
      <c r="N4621" s="16"/>
      <c r="O4621" s="17"/>
      <c r="Q4621" s="22"/>
      <c r="R4621" s="23"/>
    </row>
    <row r="4622" spans="1:18" ht="12.75">
      <c r="A4622" s="22"/>
      <c r="D4622" s="19"/>
      <c r="H4622" s="18"/>
      <c r="J4622" s="18"/>
      <c r="N4622" s="16"/>
      <c r="O4622" s="17"/>
      <c r="Q4622" s="22"/>
      <c r="R4622" s="23"/>
    </row>
    <row r="4623" spans="1:18" ht="12.75">
      <c r="A4623" s="22"/>
      <c r="D4623" s="19"/>
      <c r="H4623" s="18"/>
      <c r="J4623" s="18"/>
      <c r="N4623" s="16"/>
      <c r="O4623" s="17"/>
      <c r="Q4623" s="22"/>
      <c r="R4623" s="23"/>
    </row>
    <row r="4624" spans="1:18" ht="12.75">
      <c r="A4624" s="22"/>
      <c r="D4624" s="19"/>
      <c r="H4624" s="18"/>
      <c r="J4624" s="18"/>
      <c r="N4624" s="16"/>
      <c r="O4624" s="17"/>
      <c r="Q4624" s="22"/>
      <c r="R4624" s="23"/>
    </row>
    <row r="4625" spans="1:18" ht="12.75">
      <c r="A4625" s="22"/>
      <c r="D4625" s="19"/>
      <c r="H4625" s="18"/>
      <c r="J4625" s="18"/>
      <c r="N4625" s="16"/>
      <c r="O4625" s="17"/>
      <c r="Q4625" s="22"/>
      <c r="R4625" s="23"/>
    </row>
    <row r="4626" spans="1:18" ht="12.75">
      <c r="A4626" s="22"/>
      <c r="D4626" s="19"/>
      <c r="H4626" s="18"/>
      <c r="J4626" s="18"/>
      <c r="N4626" s="16"/>
      <c r="O4626" s="17"/>
      <c r="Q4626" s="22"/>
      <c r="R4626" s="23"/>
    </row>
    <row r="4627" spans="1:18" ht="12.75">
      <c r="A4627" s="22"/>
      <c r="D4627" s="19"/>
      <c r="H4627" s="18"/>
      <c r="J4627" s="18"/>
      <c r="N4627" s="16"/>
      <c r="O4627" s="17"/>
      <c r="Q4627" s="22"/>
      <c r="R4627" s="23"/>
    </row>
    <row r="4628" spans="1:18" ht="12.75">
      <c r="A4628" s="22"/>
      <c r="D4628" s="19"/>
      <c r="H4628" s="18"/>
      <c r="J4628" s="18"/>
      <c r="N4628" s="16"/>
      <c r="O4628" s="17"/>
      <c r="Q4628" s="22"/>
      <c r="R4628" s="23"/>
    </row>
    <row r="4629" spans="1:18" ht="12.75">
      <c r="A4629" s="22"/>
      <c r="D4629" s="19"/>
      <c r="H4629" s="18"/>
      <c r="J4629" s="18"/>
      <c r="N4629" s="16"/>
      <c r="O4629" s="17"/>
      <c r="Q4629" s="22"/>
      <c r="R4629" s="23"/>
    </row>
    <row r="4630" spans="1:18" ht="12.75">
      <c r="A4630" s="22"/>
      <c r="D4630" s="19"/>
      <c r="H4630" s="18"/>
      <c r="J4630" s="18"/>
      <c r="N4630" s="16"/>
      <c r="O4630" s="17"/>
      <c r="Q4630" s="22"/>
      <c r="R4630" s="23"/>
    </row>
    <row r="4631" spans="1:18" ht="12.75">
      <c r="A4631" s="22"/>
      <c r="D4631" s="19"/>
      <c r="H4631" s="18"/>
      <c r="J4631" s="18"/>
      <c r="N4631" s="16"/>
      <c r="O4631" s="17"/>
      <c r="Q4631" s="22"/>
      <c r="R4631" s="23"/>
    </row>
    <row r="4632" spans="1:18" ht="12.75">
      <c r="A4632" s="22"/>
      <c r="D4632" s="19"/>
      <c r="H4632" s="18"/>
      <c r="J4632" s="18"/>
      <c r="N4632" s="16"/>
      <c r="O4632" s="17"/>
      <c r="Q4632" s="22"/>
      <c r="R4632" s="23"/>
    </row>
    <row r="4633" spans="1:18" ht="12.75">
      <c r="A4633" s="22"/>
      <c r="D4633" s="19"/>
      <c r="H4633" s="18"/>
      <c r="J4633" s="18"/>
      <c r="N4633" s="16"/>
      <c r="O4633" s="17"/>
      <c r="Q4633" s="22"/>
      <c r="R4633" s="23"/>
    </row>
    <row r="4634" spans="1:18" ht="12.75">
      <c r="A4634" s="22"/>
      <c r="D4634" s="19"/>
      <c r="H4634" s="18"/>
      <c r="J4634" s="18"/>
      <c r="N4634" s="16"/>
      <c r="O4634" s="17"/>
      <c r="Q4634" s="22"/>
      <c r="R4634" s="23"/>
    </row>
    <row r="4635" spans="1:18" ht="12.75">
      <c r="A4635" s="22"/>
      <c r="D4635" s="19"/>
      <c r="H4635" s="18"/>
      <c r="J4635" s="18"/>
      <c r="N4635" s="16"/>
      <c r="O4635" s="17"/>
      <c r="Q4635" s="22"/>
      <c r="R4635" s="23"/>
    </row>
    <row r="4636" spans="1:18" ht="12.75">
      <c r="A4636" s="22"/>
      <c r="D4636" s="19"/>
      <c r="H4636" s="18"/>
      <c r="J4636" s="18"/>
      <c r="N4636" s="16"/>
      <c r="O4636" s="17"/>
      <c r="Q4636" s="22"/>
      <c r="R4636" s="23"/>
    </row>
    <row r="4637" spans="1:18" ht="12.75">
      <c r="A4637" s="22"/>
      <c r="D4637" s="19"/>
      <c r="H4637" s="18"/>
      <c r="J4637" s="18"/>
      <c r="N4637" s="16"/>
      <c r="O4637" s="17"/>
      <c r="Q4637" s="22"/>
      <c r="R4637" s="23"/>
    </row>
    <row r="4638" spans="1:18" ht="12.75">
      <c r="A4638" s="22"/>
      <c r="D4638" s="19"/>
      <c r="H4638" s="18"/>
      <c r="J4638" s="18"/>
      <c r="N4638" s="16"/>
      <c r="O4638" s="17"/>
      <c r="Q4638" s="22"/>
      <c r="R4638" s="23"/>
    </row>
    <row r="4639" spans="1:18" ht="12.75">
      <c r="A4639" s="22"/>
      <c r="D4639" s="19"/>
      <c r="H4639" s="18"/>
      <c r="J4639" s="18"/>
      <c r="N4639" s="16"/>
      <c r="O4639" s="17"/>
      <c r="Q4639" s="22"/>
      <c r="R4639" s="23"/>
    </row>
    <row r="4640" spans="1:18" ht="12.75">
      <c r="A4640" s="22"/>
      <c r="D4640" s="19"/>
      <c r="H4640" s="18"/>
      <c r="J4640" s="18"/>
      <c r="N4640" s="16"/>
      <c r="O4640" s="17"/>
      <c r="Q4640" s="22"/>
      <c r="R4640" s="23"/>
    </row>
    <row r="4641" spans="1:18" ht="12.75">
      <c r="A4641" s="22"/>
      <c r="D4641" s="19"/>
      <c r="H4641" s="18"/>
      <c r="J4641" s="18"/>
      <c r="N4641" s="16"/>
      <c r="O4641" s="17"/>
      <c r="Q4641" s="22"/>
      <c r="R4641" s="23"/>
    </row>
    <row r="4642" spans="1:18" ht="12.75">
      <c r="A4642" s="22"/>
      <c r="D4642" s="19"/>
      <c r="H4642" s="18"/>
      <c r="J4642" s="18"/>
      <c r="N4642" s="16"/>
      <c r="O4642" s="17"/>
      <c r="Q4642" s="22"/>
      <c r="R4642" s="23"/>
    </row>
    <row r="4643" spans="1:18" ht="12.75">
      <c r="A4643" s="22"/>
      <c r="D4643" s="19"/>
      <c r="H4643" s="18"/>
      <c r="J4643" s="18"/>
      <c r="N4643" s="16"/>
      <c r="O4643" s="17"/>
      <c r="Q4643" s="22"/>
      <c r="R4643" s="23"/>
    </row>
    <row r="4644" spans="1:18" ht="12.75">
      <c r="A4644" s="22"/>
      <c r="D4644" s="19"/>
      <c r="H4644" s="18"/>
      <c r="J4644" s="18"/>
      <c r="N4644" s="16"/>
      <c r="O4644" s="17"/>
      <c r="Q4644" s="22"/>
      <c r="R4644" s="23"/>
    </row>
    <row r="4645" spans="1:18" ht="12.75">
      <c r="A4645" s="22"/>
      <c r="D4645" s="19"/>
      <c r="H4645" s="18"/>
      <c r="J4645" s="18"/>
      <c r="N4645" s="16"/>
      <c r="O4645" s="17"/>
      <c r="Q4645" s="22"/>
      <c r="R4645" s="23"/>
    </row>
    <row r="4646" spans="1:18" ht="12.75">
      <c r="A4646" s="22"/>
      <c r="D4646" s="19"/>
      <c r="H4646" s="18"/>
      <c r="J4646" s="18"/>
      <c r="N4646" s="16"/>
      <c r="O4646" s="17"/>
      <c r="Q4646" s="22"/>
      <c r="R4646" s="23"/>
    </row>
    <row r="4647" spans="1:18" ht="12.75">
      <c r="A4647" s="22"/>
      <c r="D4647" s="19"/>
      <c r="H4647" s="18"/>
      <c r="J4647" s="18"/>
      <c r="N4647" s="16"/>
      <c r="O4647" s="17"/>
      <c r="Q4647" s="22"/>
      <c r="R4647" s="23"/>
    </row>
    <row r="4648" spans="1:18" ht="12.75">
      <c r="A4648" s="22"/>
      <c r="D4648" s="19"/>
      <c r="H4648" s="18"/>
      <c r="J4648" s="18"/>
      <c r="N4648" s="16"/>
      <c r="O4648" s="17"/>
      <c r="Q4648" s="22"/>
      <c r="R4648" s="23"/>
    </row>
    <row r="4649" spans="1:18" ht="12.75">
      <c r="A4649" s="22"/>
      <c r="D4649" s="19"/>
      <c r="H4649" s="18"/>
      <c r="J4649" s="18"/>
      <c r="N4649" s="16"/>
      <c r="O4649" s="17"/>
      <c r="Q4649" s="22"/>
      <c r="R4649" s="23"/>
    </row>
    <row r="4650" spans="1:18" ht="12.75">
      <c r="A4650" s="22"/>
      <c r="D4650" s="19"/>
      <c r="H4650" s="18"/>
      <c r="J4650" s="18"/>
      <c r="N4650" s="16"/>
      <c r="O4650" s="17"/>
      <c r="Q4650" s="22"/>
      <c r="R4650" s="23"/>
    </row>
    <row r="4651" spans="1:18" ht="12.75">
      <c r="A4651" s="22"/>
      <c r="D4651" s="19"/>
      <c r="H4651" s="18"/>
      <c r="J4651" s="18"/>
      <c r="N4651" s="16"/>
      <c r="O4651" s="17"/>
      <c r="Q4651" s="22"/>
      <c r="R4651" s="23"/>
    </row>
    <row r="4652" spans="1:18" ht="12.75">
      <c r="A4652" s="22"/>
      <c r="D4652" s="19"/>
      <c r="H4652" s="18"/>
      <c r="J4652" s="18"/>
      <c r="N4652" s="16"/>
      <c r="O4652" s="17"/>
      <c r="Q4652" s="22"/>
      <c r="R4652" s="23"/>
    </row>
    <row r="4653" spans="1:18" ht="12.75">
      <c r="A4653" s="22"/>
      <c r="D4653" s="19"/>
      <c r="H4653" s="18"/>
      <c r="J4653" s="18"/>
      <c r="N4653" s="16"/>
      <c r="O4653" s="17"/>
      <c r="Q4653" s="22"/>
      <c r="R4653" s="23"/>
    </row>
    <row r="4654" spans="1:18" ht="12.75">
      <c r="A4654" s="22"/>
      <c r="D4654" s="19"/>
      <c r="H4654" s="18"/>
      <c r="J4654" s="18"/>
      <c r="N4654" s="16"/>
      <c r="O4654" s="17"/>
      <c r="Q4654" s="22"/>
      <c r="R4654" s="23"/>
    </row>
    <row r="4655" spans="1:18" ht="12.75">
      <c r="A4655" s="22"/>
      <c r="D4655" s="19"/>
      <c r="H4655" s="18"/>
      <c r="J4655" s="18"/>
      <c r="N4655" s="16"/>
      <c r="O4655" s="17"/>
      <c r="Q4655" s="22"/>
      <c r="R4655" s="23"/>
    </row>
    <row r="4656" spans="1:18" ht="12.75">
      <c r="A4656" s="22"/>
      <c r="D4656" s="19"/>
      <c r="H4656" s="18"/>
      <c r="J4656" s="18"/>
      <c r="N4656" s="16"/>
      <c r="O4656" s="17"/>
      <c r="Q4656" s="22"/>
      <c r="R4656" s="23"/>
    </row>
    <row r="4657" spans="1:18" ht="12.75">
      <c r="A4657" s="22"/>
      <c r="D4657" s="19"/>
      <c r="H4657" s="18"/>
      <c r="J4657" s="18"/>
      <c r="N4657" s="16"/>
      <c r="O4657" s="17"/>
      <c r="Q4657" s="22"/>
      <c r="R4657" s="23"/>
    </row>
    <row r="4658" spans="1:18" ht="12.75">
      <c r="A4658" s="22"/>
      <c r="D4658" s="19"/>
      <c r="H4658" s="18"/>
      <c r="J4658" s="18"/>
      <c r="N4658" s="16"/>
      <c r="O4658" s="17"/>
      <c r="Q4658" s="22"/>
      <c r="R4658" s="23"/>
    </row>
    <row r="4659" spans="1:18" ht="12.75">
      <c r="A4659" s="22"/>
      <c r="D4659" s="19"/>
      <c r="H4659" s="18"/>
      <c r="J4659" s="18"/>
      <c r="N4659" s="16"/>
      <c r="O4659" s="17"/>
      <c r="Q4659" s="22"/>
      <c r="R4659" s="23"/>
    </row>
    <row r="4660" spans="1:18" ht="12.75">
      <c r="A4660" s="22"/>
      <c r="D4660" s="19"/>
      <c r="H4660" s="18"/>
      <c r="J4660" s="18"/>
      <c r="N4660" s="16"/>
      <c r="O4660" s="17"/>
      <c r="Q4660" s="22"/>
      <c r="R4660" s="23"/>
    </row>
    <row r="4661" spans="1:18" ht="12.75">
      <c r="A4661" s="22"/>
      <c r="D4661" s="19"/>
      <c r="H4661" s="18"/>
      <c r="J4661" s="18"/>
      <c r="N4661" s="16"/>
      <c r="O4661" s="17"/>
      <c r="Q4661" s="22"/>
      <c r="R4661" s="23"/>
    </row>
    <row r="4662" spans="1:18" ht="12.75">
      <c r="A4662" s="22"/>
      <c r="D4662" s="19"/>
      <c r="H4662" s="18"/>
      <c r="J4662" s="18"/>
      <c r="N4662" s="16"/>
      <c r="O4662" s="17"/>
      <c r="Q4662" s="22"/>
      <c r="R4662" s="23"/>
    </row>
    <row r="4663" spans="1:18" ht="12.75">
      <c r="A4663" s="22"/>
      <c r="D4663" s="19"/>
      <c r="H4663" s="18"/>
      <c r="J4663" s="18"/>
      <c r="N4663" s="16"/>
      <c r="O4663" s="17"/>
      <c r="Q4663" s="22"/>
      <c r="R4663" s="23"/>
    </row>
    <row r="4664" spans="1:18" ht="12.75">
      <c r="A4664" s="22"/>
      <c r="D4664" s="19"/>
      <c r="H4664" s="18"/>
      <c r="J4664" s="18"/>
      <c r="N4664" s="16"/>
      <c r="O4664" s="17"/>
      <c r="Q4664" s="22"/>
      <c r="R4664" s="23"/>
    </row>
    <row r="4665" spans="1:18" ht="12.75">
      <c r="A4665" s="22"/>
      <c r="D4665" s="19"/>
      <c r="H4665" s="18"/>
      <c r="J4665" s="18"/>
      <c r="N4665" s="16"/>
      <c r="O4665" s="17"/>
      <c r="Q4665" s="22"/>
      <c r="R4665" s="23"/>
    </row>
    <row r="4666" spans="1:18" ht="12.75">
      <c r="A4666" s="22"/>
      <c r="D4666" s="19"/>
      <c r="H4666" s="18"/>
      <c r="J4666" s="18"/>
      <c r="N4666" s="16"/>
      <c r="O4666" s="17"/>
      <c r="Q4666" s="22"/>
      <c r="R4666" s="23"/>
    </row>
    <row r="4667" spans="1:18" ht="12.75">
      <c r="A4667" s="22"/>
      <c r="D4667" s="19"/>
      <c r="H4667" s="18"/>
      <c r="J4667" s="18"/>
      <c r="N4667" s="16"/>
      <c r="O4667" s="17"/>
      <c r="Q4667" s="22"/>
      <c r="R4667" s="23"/>
    </row>
    <row r="4668" spans="1:18" ht="12.75">
      <c r="A4668" s="22"/>
      <c r="D4668" s="19"/>
      <c r="H4668" s="18"/>
      <c r="J4668" s="18"/>
      <c r="N4668" s="16"/>
      <c r="O4668" s="17"/>
      <c r="Q4668" s="22"/>
      <c r="R4668" s="23"/>
    </row>
    <row r="4669" spans="1:18" ht="12.75">
      <c r="A4669" s="22"/>
      <c r="D4669" s="19"/>
      <c r="H4669" s="18"/>
      <c r="J4669" s="18"/>
      <c r="N4669" s="16"/>
      <c r="O4669" s="17"/>
      <c r="Q4669" s="22"/>
      <c r="R4669" s="23"/>
    </row>
    <row r="4670" spans="1:18" ht="12.75">
      <c r="A4670" s="22"/>
      <c r="D4670" s="19"/>
      <c r="H4670" s="18"/>
      <c r="J4670" s="18"/>
      <c r="N4670" s="16"/>
      <c r="O4670" s="17"/>
      <c r="Q4670" s="22"/>
      <c r="R4670" s="23"/>
    </row>
    <row r="4671" spans="1:18" ht="12.75">
      <c r="A4671" s="22"/>
      <c r="D4671" s="19"/>
      <c r="H4671" s="18"/>
      <c r="J4671" s="18"/>
      <c r="N4671" s="16"/>
      <c r="O4671" s="17"/>
      <c r="Q4671" s="22"/>
      <c r="R4671" s="23"/>
    </row>
    <row r="4672" spans="1:18" ht="12.75">
      <c r="A4672" s="22"/>
      <c r="D4672" s="19"/>
      <c r="H4672" s="18"/>
      <c r="J4672" s="18"/>
      <c r="N4672" s="16"/>
      <c r="O4672" s="17"/>
      <c r="Q4672" s="22"/>
      <c r="R4672" s="23"/>
    </row>
    <row r="4673" spans="1:18" ht="12.75">
      <c r="A4673" s="22"/>
      <c r="D4673" s="19"/>
      <c r="H4673" s="18"/>
      <c r="J4673" s="18"/>
      <c r="N4673" s="16"/>
      <c r="O4673" s="17"/>
      <c r="Q4673" s="22"/>
      <c r="R4673" s="23"/>
    </row>
    <row r="4674" spans="1:18" ht="12.75">
      <c r="A4674" s="22"/>
      <c r="D4674" s="19"/>
      <c r="H4674" s="18"/>
      <c r="J4674" s="18"/>
      <c r="N4674" s="16"/>
      <c r="O4674" s="17"/>
      <c r="Q4674" s="22"/>
      <c r="R4674" s="23"/>
    </row>
    <row r="4675" spans="1:18" ht="12.75">
      <c r="A4675" s="22"/>
      <c r="D4675" s="19"/>
      <c r="H4675" s="18"/>
      <c r="J4675" s="18"/>
      <c r="N4675" s="16"/>
      <c r="O4675" s="17"/>
      <c r="Q4675" s="22"/>
      <c r="R4675" s="23"/>
    </row>
    <row r="4676" spans="1:18" ht="12.75">
      <c r="A4676" s="22"/>
      <c r="D4676" s="19"/>
      <c r="H4676" s="18"/>
      <c r="J4676" s="18"/>
      <c r="N4676" s="16"/>
      <c r="O4676" s="17"/>
      <c r="Q4676" s="22"/>
      <c r="R4676" s="23"/>
    </row>
    <row r="4677" spans="1:18" ht="12.75">
      <c r="A4677" s="22"/>
      <c r="D4677" s="19"/>
      <c r="H4677" s="18"/>
      <c r="J4677" s="18"/>
      <c r="N4677" s="16"/>
      <c r="O4677" s="17"/>
      <c r="Q4677" s="22"/>
      <c r="R4677" s="23"/>
    </row>
    <row r="4678" spans="1:18" ht="12.75">
      <c r="A4678" s="22"/>
      <c r="D4678" s="19"/>
      <c r="H4678" s="18"/>
      <c r="J4678" s="18"/>
      <c r="N4678" s="16"/>
      <c r="O4678" s="17"/>
      <c r="Q4678" s="22"/>
      <c r="R4678" s="23"/>
    </row>
    <row r="4679" spans="1:18" ht="12.75">
      <c r="A4679" s="22"/>
      <c r="D4679" s="19"/>
      <c r="H4679" s="18"/>
      <c r="J4679" s="18"/>
      <c r="N4679" s="16"/>
      <c r="O4679" s="17"/>
      <c r="Q4679" s="22"/>
      <c r="R4679" s="23"/>
    </row>
    <row r="4680" spans="1:18" ht="12.75">
      <c r="A4680" s="22"/>
      <c r="D4680" s="19"/>
      <c r="H4680" s="18"/>
      <c r="J4680" s="18"/>
      <c r="N4680" s="16"/>
      <c r="O4680" s="17"/>
      <c r="Q4680" s="22"/>
      <c r="R4680" s="23"/>
    </row>
    <row r="4681" spans="1:18" ht="12.75">
      <c r="A4681" s="22"/>
      <c r="D4681" s="19"/>
      <c r="H4681" s="18"/>
      <c r="J4681" s="18"/>
      <c r="N4681" s="16"/>
      <c r="O4681" s="17"/>
      <c r="Q4681" s="22"/>
      <c r="R4681" s="23"/>
    </row>
    <row r="4682" spans="1:18" ht="12.75">
      <c r="A4682" s="22"/>
      <c r="D4682" s="19"/>
      <c r="H4682" s="18"/>
      <c r="J4682" s="18"/>
      <c r="N4682" s="16"/>
      <c r="O4682" s="17"/>
      <c r="Q4682" s="22"/>
      <c r="R4682" s="23"/>
    </row>
    <row r="4683" spans="1:18" ht="12.75">
      <c r="A4683" s="22"/>
      <c r="D4683" s="19"/>
      <c r="H4683" s="18"/>
      <c r="J4683" s="18"/>
      <c r="N4683" s="16"/>
      <c r="O4683" s="17"/>
      <c r="Q4683" s="22"/>
      <c r="R4683" s="23"/>
    </row>
    <row r="4684" spans="1:18" ht="12.75">
      <c r="A4684" s="22"/>
      <c r="D4684" s="19"/>
      <c r="H4684" s="18"/>
      <c r="J4684" s="18"/>
      <c r="N4684" s="16"/>
      <c r="O4684" s="17"/>
      <c r="Q4684" s="22"/>
      <c r="R4684" s="23"/>
    </row>
    <row r="4685" spans="1:18" ht="12.75">
      <c r="A4685" s="22"/>
      <c r="D4685" s="19"/>
      <c r="H4685" s="18"/>
      <c r="J4685" s="18"/>
      <c r="N4685" s="16"/>
      <c r="O4685" s="17"/>
      <c r="Q4685" s="22"/>
      <c r="R4685" s="23"/>
    </row>
    <row r="4686" spans="1:18" ht="12.75">
      <c r="A4686" s="22"/>
      <c r="D4686" s="19"/>
      <c r="H4686" s="18"/>
      <c r="J4686" s="18"/>
      <c r="N4686" s="16"/>
      <c r="O4686" s="17"/>
      <c r="Q4686" s="22"/>
      <c r="R4686" s="23"/>
    </row>
    <row r="4687" spans="1:18" ht="12.75">
      <c r="A4687" s="22"/>
      <c r="D4687" s="19"/>
      <c r="H4687" s="18"/>
      <c r="J4687" s="18"/>
      <c r="N4687" s="16"/>
      <c r="O4687" s="17"/>
      <c r="Q4687" s="22"/>
      <c r="R4687" s="23"/>
    </row>
    <row r="4688" spans="1:18" ht="12.75">
      <c r="A4688" s="22"/>
      <c r="D4688" s="19"/>
      <c r="H4688" s="18"/>
      <c r="J4688" s="18"/>
      <c r="N4688" s="16"/>
      <c r="O4688" s="17"/>
      <c r="Q4688" s="22"/>
      <c r="R4688" s="23"/>
    </row>
    <row r="4689" spans="1:18" ht="12.75">
      <c r="A4689" s="22"/>
      <c r="D4689" s="19"/>
      <c r="H4689" s="18"/>
      <c r="J4689" s="18"/>
      <c r="N4689" s="16"/>
      <c r="O4689" s="17"/>
      <c r="Q4689" s="22"/>
      <c r="R4689" s="23"/>
    </row>
    <row r="4690" spans="1:18" ht="12.75">
      <c r="A4690" s="22"/>
      <c r="D4690" s="19"/>
      <c r="H4690" s="18"/>
      <c r="J4690" s="18"/>
      <c r="N4690" s="16"/>
      <c r="O4690" s="17"/>
      <c r="Q4690" s="22"/>
      <c r="R4690" s="23"/>
    </row>
    <row r="4691" spans="1:18" ht="12.75">
      <c r="A4691" s="22"/>
      <c r="D4691" s="19"/>
      <c r="H4691" s="18"/>
      <c r="J4691" s="18"/>
      <c r="N4691" s="16"/>
      <c r="O4691" s="17"/>
      <c r="Q4691" s="22"/>
      <c r="R4691" s="23"/>
    </row>
    <row r="4692" spans="1:18" ht="12.75">
      <c r="A4692" s="22"/>
      <c r="D4692" s="19"/>
      <c r="H4692" s="18"/>
      <c r="J4692" s="18"/>
      <c r="N4692" s="16"/>
      <c r="O4692" s="17"/>
      <c r="Q4692" s="22"/>
      <c r="R4692" s="23"/>
    </row>
    <row r="4693" spans="1:18" ht="12.75">
      <c r="A4693" s="22"/>
      <c r="D4693" s="19"/>
      <c r="H4693" s="18"/>
      <c r="J4693" s="18"/>
      <c r="N4693" s="16"/>
      <c r="O4693" s="17"/>
      <c r="Q4693" s="22"/>
      <c r="R4693" s="23"/>
    </row>
    <row r="4694" spans="1:18" ht="12.75">
      <c r="A4694" s="22"/>
      <c r="D4694" s="19"/>
      <c r="H4694" s="18"/>
      <c r="J4694" s="18"/>
      <c r="N4694" s="16"/>
      <c r="O4694" s="17"/>
      <c r="Q4694" s="22"/>
      <c r="R4694" s="23"/>
    </row>
    <row r="4695" spans="1:18" ht="12.75">
      <c r="A4695" s="22"/>
      <c r="D4695" s="19"/>
      <c r="H4695" s="18"/>
      <c r="J4695" s="18"/>
      <c r="N4695" s="16"/>
      <c r="O4695" s="17"/>
      <c r="Q4695" s="22"/>
      <c r="R4695" s="23"/>
    </row>
    <row r="4696" spans="1:18" ht="12.75">
      <c r="A4696" s="22"/>
      <c r="D4696" s="19"/>
      <c r="H4696" s="18"/>
      <c r="J4696" s="18"/>
      <c r="N4696" s="16"/>
      <c r="O4696" s="17"/>
      <c r="Q4696" s="22"/>
      <c r="R4696" s="23"/>
    </row>
    <row r="4697" spans="1:18" ht="12.75">
      <c r="A4697" s="22"/>
      <c r="D4697" s="19"/>
      <c r="H4697" s="18"/>
      <c r="J4697" s="18"/>
      <c r="N4697" s="16"/>
      <c r="O4697" s="17"/>
      <c r="Q4697" s="22"/>
      <c r="R4697" s="23"/>
    </row>
    <row r="4698" spans="1:18" ht="12.75">
      <c r="A4698" s="22"/>
      <c r="D4698" s="19"/>
      <c r="H4698" s="18"/>
      <c r="J4698" s="18"/>
      <c r="N4698" s="16"/>
      <c r="O4698" s="17"/>
      <c r="Q4698" s="22"/>
      <c r="R4698" s="23"/>
    </row>
    <row r="4699" spans="1:18" ht="12.75">
      <c r="A4699" s="22"/>
      <c r="D4699" s="19"/>
      <c r="H4699" s="18"/>
      <c r="J4699" s="18"/>
      <c r="N4699" s="16"/>
      <c r="O4699" s="17"/>
      <c r="Q4699" s="22"/>
      <c r="R4699" s="23"/>
    </row>
    <row r="4700" spans="1:18" ht="12.75">
      <c r="A4700" s="22"/>
      <c r="D4700" s="19"/>
      <c r="H4700" s="18"/>
      <c r="J4700" s="18"/>
      <c r="N4700" s="16"/>
      <c r="O4700" s="17"/>
      <c r="Q4700" s="22"/>
      <c r="R4700" s="23"/>
    </row>
    <row r="4701" spans="1:18" ht="12.75">
      <c r="A4701" s="22"/>
      <c r="D4701" s="19"/>
      <c r="H4701" s="18"/>
      <c r="J4701" s="18"/>
      <c r="N4701" s="16"/>
      <c r="O4701" s="17"/>
      <c r="Q4701" s="22"/>
      <c r="R4701" s="23"/>
    </row>
    <row r="4702" spans="1:18" ht="12.75">
      <c r="A4702" s="22"/>
      <c r="D4702" s="19"/>
      <c r="H4702" s="18"/>
      <c r="J4702" s="18"/>
      <c r="N4702" s="16"/>
      <c r="O4702" s="17"/>
      <c r="Q4702" s="22"/>
      <c r="R4702" s="23"/>
    </row>
    <row r="4703" spans="1:18" ht="12.75">
      <c r="A4703" s="22"/>
      <c r="D4703" s="19"/>
      <c r="H4703" s="18"/>
      <c r="J4703" s="18"/>
      <c r="N4703" s="16"/>
      <c r="O4703" s="17"/>
      <c r="Q4703" s="22"/>
      <c r="R4703" s="23"/>
    </row>
    <row r="4704" spans="1:18" ht="12.75">
      <c r="A4704" s="22"/>
      <c r="D4704" s="19"/>
      <c r="H4704" s="18"/>
      <c r="J4704" s="18"/>
      <c r="N4704" s="16"/>
      <c r="O4704" s="17"/>
      <c r="Q4704" s="22"/>
      <c r="R4704" s="23"/>
    </row>
    <row r="4705" spans="1:18" ht="12.75">
      <c r="A4705" s="22"/>
      <c r="D4705" s="19"/>
      <c r="H4705" s="18"/>
      <c r="J4705" s="18"/>
      <c r="N4705" s="16"/>
      <c r="O4705" s="17"/>
      <c r="Q4705" s="22"/>
      <c r="R4705" s="23"/>
    </row>
    <row r="4706" spans="1:18" ht="12.75">
      <c r="A4706" s="22"/>
      <c r="D4706" s="19"/>
      <c r="H4706" s="18"/>
      <c r="J4706" s="18"/>
      <c r="N4706" s="16"/>
      <c r="O4706" s="17"/>
      <c r="Q4706" s="22"/>
      <c r="R4706" s="23"/>
    </row>
    <row r="4707" spans="1:18" ht="12.75">
      <c r="A4707" s="22"/>
      <c r="D4707" s="19"/>
      <c r="H4707" s="18"/>
      <c r="J4707" s="18"/>
      <c r="N4707" s="16"/>
      <c r="O4707" s="17"/>
      <c r="Q4707" s="22"/>
      <c r="R4707" s="23"/>
    </row>
    <row r="4708" spans="1:18" ht="12.75">
      <c r="A4708" s="22"/>
      <c r="D4708" s="19"/>
      <c r="H4708" s="18"/>
      <c r="J4708" s="18"/>
      <c r="N4708" s="16"/>
      <c r="O4708" s="17"/>
      <c r="Q4708" s="22"/>
      <c r="R4708" s="23"/>
    </row>
    <row r="4709" spans="1:18" ht="12.75">
      <c r="A4709" s="22"/>
      <c r="D4709" s="19"/>
      <c r="H4709" s="18"/>
      <c r="J4709" s="18"/>
      <c r="N4709" s="16"/>
      <c r="O4709" s="17"/>
      <c r="Q4709" s="22"/>
      <c r="R4709" s="23"/>
    </row>
    <row r="4710" spans="1:18" ht="12.75">
      <c r="A4710" s="22"/>
      <c r="D4710" s="19"/>
      <c r="H4710" s="18"/>
      <c r="J4710" s="18"/>
      <c r="N4710" s="16"/>
      <c r="O4710" s="17"/>
      <c r="Q4710" s="22"/>
      <c r="R4710" s="23"/>
    </row>
    <row r="4711" spans="1:18" ht="12.75">
      <c r="A4711" s="22"/>
      <c r="D4711" s="19"/>
      <c r="H4711" s="18"/>
      <c r="J4711" s="18"/>
      <c r="N4711" s="16"/>
      <c r="O4711" s="17"/>
      <c r="Q4711" s="22"/>
      <c r="R4711" s="23"/>
    </row>
    <row r="4712" spans="1:18" ht="12.75">
      <c r="A4712" s="22"/>
      <c r="D4712" s="19"/>
      <c r="H4712" s="18"/>
      <c r="J4712" s="18"/>
      <c r="N4712" s="16"/>
      <c r="O4712" s="17"/>
      <c r="Q4712" s="22"/>
      <c r="R4712" s="23"/>
    </row>
    <row r="4713" spans="1:18" ht="12.75">
      <c r="A4713" s="22"/>
      <c r="D4713" s="19"/>
      <c r="H4713" s="18"/>
      <c r="J4713" s="18"/>
      <c r="N4713" s="16"/>
      <c r="O4713" s="17"/>
      <c r="Q4713" s="22"/>
      <c r="R4713" s="23"/>
    </row>
    <row r="4714" spans="1:18" ht="12.75">
      <c r="A4714" s="22"/>
      <c r="D4714" s="19"/>
      <c r="H4714" s="18"/>
      <c r="J4714" s="18"/>
      <c r="N4714" s="16"/>
      <c r="O4714" s="17"/>
      <c r="Q4714" s="22"/>
      <c r="R4714" s="23"/>
    </row>
    <row r="4715" spans="1:18" ht="12.75">
      <c r="A4715" s="22"/>
      <c r="D4715" s="19"/>
      <c r="H4715" s="18"/>
      <c r="J4715" s="18"/>
      <c r="N4715" s="16"/>
      <c r="O4715" s="17"/>
      <c r="Q4715" s="22"/>
      <c r="R4715" s="23"/>
    </row>
    <row r="4716" spans="1:18" ht="12.75">
      <c r="A4716" s="22"/>
      <c r="D4716" s="19"/>
      <c r="H4716" s="18"/>
      <c r="J4716" s="18"/>
      <c r="N4716" s="16"/>
      <c r="O4716" s="17"/>
      <c r="Q4716" s="22"/>
      <c r="R4716" s="23"/>
    </row>
    <row r="4717" spans="1:18" ht="12.75">
      <c r="A4717" s="22"/>
      <c r="D4717" s="19"/>
      <c r="H4717" s="18"/>
      <c r="J4717" s="18"/>
      <c r="N4717" s="16"/>
      <c r="O4717" s="17"/>
      <c r="Q4717" s="22"/>
      <c r="R4717" s="23"/>
    </row>
    <row r="4718" spans="1:18" ht="12.75">
      <c r="A4718" s="22"/>
      <c r="D4718" s="19"/>
      <c r="H4718" s="18"/>
      <c r="J4718" s="18"/>
      <c r="N4718" s="16"/>
      <c r="O4718" s="17"/>
      <c r="Q4718" s="22"/>
      <c r="R4718" s="23"/>
    </row>
    <row r="4719" spans="1:18" ht="12.75">
      <c r="A4719" s="22"/>
      <c r="D4719" s="19"/>
      <c r="H4719" s="18"/>
      <c r="J4719" s="18"/>
      <c r="N4719" s="16"/>
      <c r="O4719" s="17"/>
      <c r="Q4719" s="22"/>
      <c r="R4719" s="23"/>
    </row>
    <row r="4720" spans="1:18" ht="12.75">
      <c r="A4720" s="22"/>
      <c r="D4720" s="19"/>
      <c r="H4720" s="18"/>
      <c r="J4720" s="18"/>
      <c r="N4720" s="16"/>
      <c r="O4720" s="17"/>
      <c r="Q4720" s="22"/>
      <c r="R4720" s="23"/>
    </row>
    <row r="4721" spans="1:18" ht="12.75">
      <c r="A4721" s="22"/>
      <c r="D4721" s="19"/>
      <c r="H4721" s="18"/>
      <c r="J4721" s="18"/>
      <c r="N4721" s="16"/>
      <c r="O4721" s="17"/>
      <c r="Q4721" s="22"/>
      <c r="R4721" s="23"/>
    </row>
    <row r="4722" spans="1:18" ht="12.75">
      <c r="A4722" s="22"/>
      <c r="D4722" s="19"/>
      <c r="H4722" s="18"/>
      <c r="J4722" s="18"/>
      <c r="N4722" s="16"/>
      <c r="O4722" s="17"/>
      <c r="Q4722" s="22"/>
      <c r="R4722" s="23"/>
    </row>
    <row r="4723" spans="1:18" ht="12.75">
      <c r="A4723" s="22"/>
      <c r="D4723" s="19"/>
      <c r="H4723" s="18"/>
      <c r="J4723" s="18"/>
      <c r="N4723" s="16"/>
      <c r="O4723" s="17"/>
      <c r="Q4723" s="22"/>
      <c r="R4723" s="23"/>
    </row>
    <row r="4724" spans="1:18" ht="12.75">
      <c r="A4724" s="22"/>
      <c r="D4724" s="19"/>
      <c r="H4724" s="18"/>
      <c r="J4724" s="18"/>
      <c r="N4724" s="16"/>
      <c r="O4724" s="17"/>
      <c r="Q4724" s="22"/>
      <c r="R4724" s="23"/>
    </row>
    <row r="4725" spans="1:18" ht="12.75">
      <c r="A4725" s="22"/>
      <c r="D4725" s="19"/>
      <c r="H4725" s="18"/>
      <c r="J4725" s="18"/>
      <c r="N4725" s="16"/>
      <c r="O4725" s="17"/>
      <c r="Q4725" s="22"/>
      <c r="R4725" s="23"/>
    </row>
    <row r="4726" spans="1:18" ht="12.75">
      <c r="A4726" s="22"/>
      <c r="D4726" s="19"/>
      <c r="H4726" s="18"/>
      <c r="J4726" s="18"/>
      <c r="N4726" s="16"/>
      <c r="O4726" s="17"/>
      <c r="Q4726" s="22"/>
      <c r="R4726" s="23"/>
    </row>
    <row r="4727" spans="1:18" ht="12.75">
      <c r="A4727" s="22"/>
      <c r="D4727" s="19"/>
      <c r="H4727" s="18"/>
      <c r="J4727" s="18"/>
      <c r="N4727" s="16"/>
      <c r="O4727" s="17"/>
      <c r="Q4727" s="22"/>
      <c r="R4727" s="23"/>
    </row>
    <row r="4728" spans="1:18" ht="12.75">
      <c r="A4728" s="22"/>
      <c r="D4728" s="19"/>
      <c r="H4728" s="18"/>
      <c r="J4728" s="18"/>
      <c r="N4728" s="16"/>
      <c r="O4728" s="17"/>
      <c r="Q4728" s="22"/>
      <c r="R4728" s="23"/>
    </row>
    <row r="4729" spans="1:18" ht="12.75">
      <c r="A4729" s="22"/>
      <c r="D4729" s="19"/>
      <c r="H4729" s="18"/>
      <c r="J4729" s="18"/>
      <c r="N4729" s="16"/>
      <c r="O4729" s="17"/>
      <c r="Q4729" s="22"/>
      <c r="R4729" s="23"/>
    </row>
    <row r="4730" spans="1:18" ht="12.75">
      <c r="A4730" s="22"/>
      <c r="D4730" s="19"/>
      <c r="H4730" s="18"/>
      <c r="J4730" s="18"/>
      <c r="N4730" s="16"/>
      <c r="O4730" s="17"/>
      <c r="Q4730" s="22"/>
      <c r="R4730" s="23"/>
    </row>
    <row r="4731" spans="1:18" ht="12.75">
      <c r="A4731" s="22"/>
      <c r="D4731" s="19"/>
      <c r="H4731" s="18"/>
      <c r="J4731" s="18"/>
      <c r="N4731" s="16"/>
      <c r="O4731" s="17"/>
      <c r="Q4731" s="22"/>
      <c r="R4731" s="23"/>
    </row>
    <row r="4732" spans="1:18" ht="12.75">
      <c r="A4732" s="22"/>
      <c r="D4732" s="19"/>
      <c r="H4732" s="18"/>
      <c r="J4732" s="18"/>
      <c r="N4732" s="16"/>
      <c r="O4732" s="17"/>
      <c r="Q4732" s="22"/>
      <c r="R4732" s="23"/>
    </row>
    <row r="4733" spans="1:18" ht="12.75">
      <c r="A4733" s="22"/>
      <c r="D4733" s="19"/>
      <c r="H4733" s="18"/>
      <c r="J4733" s="18"/>
      <c r="N4733" s="16"/>
      <c r="O4733" s="17"/>
      <c r="Q4733" s="22"/>
      <c r="R4733" s="23"/>
    </row>
    <row r="4734" spans="1:18" ht="12.75">
      <c r="A4734" s="22"/>
      <c r="D4734" s="19"/>
      <c r="H4734" s="18"/>
      <c r="J4734" s="18"/>
      <c r="N4734" s="16"/>
      <c r="O4734" s="17"/>
      <c r="Q4734" s="22"/>
      <c r="R4734" s="23"/>
    </row>
    <row r="4735" spans="1:18" ht="12.75">
      <c r="A4735" s="22"/>
      <c r="D4735" s="19"/>
      <c r="H4735" s="18"/>
      <c r="J4735" s="18"/>
      <c r="N4735" s="16"/>
      <c r="O4735" s="17"/>
      <c r="Q4735" s="22"/>
      <c r="R4735" s="23"/>
    </row>
    <row r="4736" spans="1:18" ht="12.75">
      <c r="A4736" s="22"/>
      <c r="D4736" s="19"/>
      <c r="H4736" s="18"/>
      <c r="J4736" s="18"/>
      <c r="N4736" s="16"/>
      <c r="O4736" s="17"/>
      <c r="Q4736" s="22"/>
      <c r="R4736" s="23"/>
    </row>
    <row r="4737" spans="1:18" ht="12.75">
      <c r="A4737" s="22"/>
      <c r="D4737" s="19"/>
      <c r="H4737" s="18"/>
      <c r="J4737" s="18"/>
      <c r="N4737" s="16"/>
      <c r="O4737" s="17"/>
      <c r="Q4737" s="22"/>
      <c r="R4737" s="23"/>
    </row>
    <row r="4738" spans="1:18" ht="12.75">
      <c r="A4738" s="22"/>
      <c r="D4738" s="19"/>
      <c r="H4738" s="18"/>
      <c r="J4738" s="18"/>
      <c r="N4738" s="16"/>
      <c r="O4738" s="17"/>
      <c r="Q4738" s="22"/>
      <c r="R4738" s="23"/>
    </row>
    <row r="4739" spans="1:18" ht="12.75">
      <c r="A4739" s="22"/>
      <c r="D4739" s="19"/>
      <c r="H4739" s="18"/>
      <c r="J4739" s="18"/>
      <c r="N4739" s="16"/>
      <c r="O4739" s="17"/>
      <c r="Q4739" s="22"/>
      <c r="R4739" s="23"/>
    </row>
    <row r="4740" spans="1:18" ht="12.75">
      <c r="A4740" s="22"/>
      <c r="D4740" s="19"/>
      <c r="H4740" s="18"/>
      <c r="J4740" s="18"/>
      <c r="N4740" s="16"/>
      <c r="O4740" s="17"/>
      <c r="Q4740" s="22"/>
      <c r="R4740" s="23"/>
    </row>
    <row r="4741" spans="1:18" ht="12.75">
      <c r="A4741" s="22"/>
      <c r="D4741" s="19"/>
      <c r="H4741" s="18"/>
      <c r="J4741" s="18"/>
      <c r="N4741" s="16"/>
      <c r="O4741" s="17"/>
      <c r="Q4741" s="22"/>
      <c r="R4741" s="23"/>
    </row>
    <row r="4742" spans="1:18" ht="12.75">
      <c r="A4742" s="22"/>
      <c r="D4742" s="19"/>
      <c r="H4742" s="18"/>
      <c r="J4742" s="18"/>
      <c r="N4742" s="16"/>
      <c r="O4742" s="17"/>
      <c r="Q4742" s="22"/>
      <c r="R4742" s="23"/>
    </row>
    <row r="4743" spans="1:18" ht="12.75">
      <c r="A4743" s="22"/>
      <c r="D4743" s="19"/>
      <c r="H4743" s="18"/>
      <c r="J4743" s="18"/>
      <c r="N4743" s="16"/>
      <c r="O4743" s="17"/>
      <c r="Q4743" s="22"/>
      <c r="R4743" s="23"/>
    </row>
    <row r="4744" spans="1:18" ht="12.75">
      <c r="A4744" s="22"/>
      <c r="D4744" s="19"/>
      <c r="H4744" s="18"/>
      <c r="J4744" s="18"/>
      <c r="N4744" s="16"/>
      <c r="O4744" s="17"/>
      <c r="Q4744" s="22"/>
      <c r="R4744" s="23"/>
    </row>
    <row r="4745" spans="1:18" ht="12.75">
      <c r="A4745" s="22"/>
      <c r="D4745" s="19"/>
      <c r="H4745" s="18"/>
      <c r="J4745" s="18"/>
      <c r="N4745" s="16"/>
      <c r="O4745" s="17"/>
      <c r="Q4745" s="22"/>
      <c r="R4745" s="23"/>
    </row>
    <row r="4746" spans="1:18" ht="12.75">
      <c r="A4746" s="22"/>
      <c r="D4746" s="19"/>
      <c r="H4746" s="18"/>
      <c r="J4746" s="18"/>
      <c r="N4746" s="16"/>
      <c r="O4746" s="17"/>
      <c r="Q4746" s="22"/>
      <c r="R4746" s="23"/>
    </row>
    <row r="4747" spans="1:18" ht="12.75">
      <c r="A4747" s="22"/>
      <c r="D4747" s="19"/>
      <c r="H4747" s="18"/>
      <c r="J4747" s="18"/>
      <c r="N4747" s="16"/>
      <c r="O4747" s="17"/>
      <c r="Q4747" s="22"/>
      <c r="R4747" s="23"/>
    </row>
    <row r="4748" spans="1:18" ht="12.75">
      <c r="A4748" s="22"/>
      <c r="D4748" s="19"/>
      <c r="H4748" s="18"/>
      <c r="J4748" s="18"/>
      <c r="N4748" s="16"/>
      <c r="O4748" s="17"/>
      <c r="Q4748" s="22"/>
      <c r="R4748" s="23"/>
    </row>
    <row r="4749" spans="1:18" ht="12.75">
      <c r="A4749" s="22"/>
      <c r="D4749" s="19"/>
      <c r="H4749" s="18"/>
      <c r="J4749" s="18"/>
      <c r="N4749" s="16"/>
      <c r="O4749" s="17"/>
      <c r="Q4749" s="22"/>
      <c r="R4749" s="23"/>
    </row>
    <row r="4750" spans="1:18" ht="12.75">
      <c r="A4750" s="22"/>
      <c r="D4750" s="19"/>
      <c r="H4750" s="18"/>
      <c r="J4750" s="18"/>
      <c r="N4750" s="16"/>
      <c r="O4750" s="17"/>
      <c r="Q4750" s="22"/>
      <c r="R4750" s="23"/>
    </row>
    <row r="4751" spans="1:18" ht="12.75">
      <c r="A4751" s="22"/>
      <c r="D4751" s="19"/>
      <c r="H4751" s="18"/>
      <c r="J4751" s="18"/>
      <c r="N4751" s="16"/>
      <c r="O4751" s="17"/>
      <c r="Q4751" s="22"/>
      <c r="R4751" s="23"/>
    </row>
    <row r="4752" spans="1:18" ht="12.75">
      <c r="A4752" s="22"/>
      <c r="D4752" s="19"/>
      <c r="H4752" s="18"/>
      <c r="J4752" s="18"/>
      <c r="N4752" s="16"/>
      <c r="O4752" s="17"/>
      <c r="Q4752" s="22"/>
      <c r="R4752" s="23"/>
    </row>
    <row r="4753" spans="1:18" ht="12.75">
      <c r="A4753" s="22"/>
      <c r="D4753" s="19"/>
      <c r="H4753" s="18"/>
      <c r="J4753" s="18"/>
      <c r="N4753" s="16"/>
      <c r="O4753" s="17"/>
      <c r="Q4753" s="22"/>
      <c r="R4753" s="23"/>
    </row>
    <row r="4754" spans="1:18" ht="12.75">
      <c r="A4754" s="22"/>
      <c r="D4754" s="19"/>
      <c r="H4754" s="18"/>
      <c r="J4754" s="18"/>
      <c r="N4754" s="16"/>
      <c r="O4754" s="17"/>
      <c r="Q4754" s="22"/>
      <c r="R4754" s="23"/>
    </row>
    <row r="4755" spans="1:18" ht="12.75">
      <c r="A4755" s="22"/>
      <c r="D4755" s="19"/>
      <c r="H4755" s="18"/>
      <c r="J4755" s="18"/>
      <c r="N4755" s="16"/>
      <c r="O4755" s="17"/>
      <c r="Q4755" s="22"/>
      <c r="R4755" s="23"/>
    </row>
    <row r="4756" spans="1:18" ht="12.75">
      <c r="A4756" s="22"/>
      <c r="D4756" s="19"/>
      <c r="H4756" s="18"/>
      <c r="J4756" s="18"/>
      <c r="N4756" s="16"/>
      <c r="O4756" s="17"/>
      <c r="Q4756" s="22"/>
      <c r="R4756" s="23"/>
    </row>
    <row r="4757" spans="1:18" ht="12.75">
      <c r="A4757" s="22"/>
      <c r="D4757" s="19"/>
      <c r="H4757" s="18"/>
      <c r="J4757" s="18"/>
      <c r="N4757" s="16"/>
      <c r="O4757" s="17"/>
      <c r="Q4757" s="22"/>
      <c r="R4757" s="23"/>
    </row>
    <row r="4758" spans="1:18" ht="12.75">
      <c r="A4758" s="22"/>
      <c r="D4758" s="19"/>
      <c r="H4758" s="18"/>
      <c r="J4758" s="18"/>
      <c r="N4758" s="16"/>
      <c r="O4758" s="17"/>
      <c r="Q4758" s="22"/>
      <c r="R4758" s="23"/>
    </row>
    <row r="4759" spans="1:18" ht="12.75">
      <c r="A4759" s="22"/>
      <c r="D4759" s="19"/>
      <c r="H4759" s="18"/>
      <c r="J4759" s="18"/>
      <c r="N4759" s="16"/>
      <c r="O4759" s="17"/>
      <c r="Q4759" s="22"/>
      <c r="R4759" s="23"/>
    </row>
    <row r="4760" spans="1:18" ht="12.75">
      <c r="A4760" s="22"/>
      <c r="D4760" s="19"/>
      <c r="H4760" s="18"/>
      <c r="J4760" s="18"/>
      <c r="N4760" s="16"/>
      <c r="O4760" s="17"/>
      <c r="Q4760" s="22"/>
      <c r="R4760" s="23"/>
    </row>
    <row r="4761" spans="1:18" ht="12.75">
      <c r="A4761" s="22"/>
      <c r="D4761" s="19"/>
      <c r="H4761" s="18"/>
      <c r="J4761" s="18"/>
      <c r="N4761" s="16"/>
      <c r="O4761" s="17"/>
      <c r="Q4761" s="22"/>
      <c r="R4761" s="23"/>
    </row>
    <row r="4762" spans="1:18" ht="12.75">
      <c r="A4762" s="22"/>
      <c r="D4762" s="19"/>
      <c r="H4762" s="18"/>
      <c r="J4762" s="18"/>
      <c r="N4762" s="16"/>
      <c r="O4762" s="17"/>
      <c r="Q4762" s="22"/>
      <c r="R4762" s="23"/>
    </row>
    <row r="4763" spans="1:18" ht="12.75">
      <c r="A4763" s="22"/>
      <c r="D4763" s="19"/>
      <c r="H4763" s="18"/>
      <c r="J4763" s="18"/>
      <c r="N4763" s="16"/>
      <c r="O4763" s="17"/>
      <c r="Q4763" s="22"/>
      <c r="R4763" s="23"/>
    </row>
    <row r="4764" spans="1:18" ht="12.75">
      <c r="A4764" s="22"/>
      <c r="D4764" s="19"/>
      <c r="H4764" s="18"/>
      <c r="J4764" s="18"/>
      <c r="N4764" s="16"/>
      <c r="O4764" s="17"/>
      <c r="Q4764" s="22"/>
      <c r="R4764" s="23"/>
    </row>
    <row r="4765" spans="1:18" ht="12.75">
      <c r="A4765" s="22"/>
      <c r="D4765" s="19"/>
      <c r="H4765" s="18"/>
      <c r="J4765" s="18"/>
      <c r="N4765" s="16"/>
      <c r="O4765" s="17"/>
      <c r="Q4765" s="22"/>
      <c r="R4765" s="23"/>
    </row>
    <row r="4766" spans="1:18" ht="12.75">
      <c r="A4766" s="22"/>
      <c r="D4766" s="19"/>
      <c r="H4766" s="18"/>
      <c r="J4766" s="18"/>
      <c r="N4766" s="16"/>
      <c r="O4766" s="17"/>
      <c r="Q4766" s="22"/>
      <c r="R4766" s="23"/>
    </row>
    <row r="4767" spans="1:18" ht="12.75">
      <c r="A4767" s="22"/>
      <c r="D4767" s="19"/>
      <c r="H4767" s="18"/>
      <c r="J4767" s="18"/>
      <c r="N4767" s="16"/>
      <c r="O4767" s="17"/>
      <c r="Q4767" s="22"/>
      <c r="R4767" s="23"/>
    </row>
    <row r="4768" spans="1:18" ht="12.75">
      <c r="A4768" s="22"/>
      <c r="D4768" s="19"/>
      <c r="H4768" s="18"/>
      <c r="J4768" s="18"/>
      <c r="N4768" s="16"/>
      <c r="O4768" s="17"/>
      <c r="Q4768" s="22"/>
      <c r="R4768" s="23"/>
    </row>
    <row r="4769" spans="1:18" ht="12.75">
      <c r="A4769" s="22"/>
      <c r="D4769" s="19"/>
      <c r="H4769" s="18"/>
      <c r="J4769" s="18"/>
      <c r="N4769" s="16"/>
      <c r="O4769" s="17"/>
      <c r="Q4769" s="22"/>
      <c r="R4769" s="23"/>
    </row>
    <row r="4770" spans="1:18" ht="12.75">
      <c r="A4770" s="22"/>
      <c r="D4770" s="19"/>
      <c r="H4770" s="18"/>
      <c r="J4770" s="18"/>
      <c r="N4770" s="16"/>
      <c r="O4770" s="17"/>
      <c r="Q4770" s="22"/>
      <c r="R4770" s="23"/>
    </row>
    <row r="4771" spans="1:18" ht="12.75">
      <c r="A4771" s="22"/>
      <c r="D4771" s="19"/>
      <c r="H4771" s="18"/>
      <c r="J4771" s="18"/>
      <c r="N4771" s="16"/>
      <c r="O4771" s="17"/>
      <c r="Q4771" s="22"/>
      <c r="R4771" s="23"/>
    </row>
    <row r="4772" spans="1:18" ht="12.75">
      <c r="A4772" s="22"/>
      <c r="D4772" s="19"/>
      <c r="H4772" s="18"/>
      <c r="J4772" s="18"/>
      <c r="N4772" s="16"/>
      <c r="O4772" s="17"/>
      <c r="Q4772" s="22"/>
      <c r="R4772" s="23"/>
    </row>
    <row r="4773" spans="1:18" ht="12.75">
      <c r="A4773" s="22"/>
      <c r="D4773" s="19"/>
      <c r="H4773" s="18"/>
      <c r="J4773" s="18"/>
      <c r="N4773" s="16"/>
      <c r="O4773" s="17"/>
      <c r="Q4773" s="22"/>
      <c r="R4773" s="23"/>
    </row>
    <row r="4774" spans="1:18" ht="12.75">
      <c r="A4774" s="22"/>
      <c r="D4774" s="19"/>
      <c r="H4774" s="18"/>
      <c r="J4774" s="18"/>
      <c r="N4774" s="16"/>
      <c r="O4774" s="17"/>
      <c r="Q4774" s="22"/>
      <c r="R4774" s="23"/>
    </row>
    <row r="4775" spans="1:18" ht="12.75">
      <c r="A4775" s="22"/>
      <c r="D4775" s="19"/>
      <c r="H4775" s="18"/>
      <c r="J4775" s="18"/>
      <c r="N4775" s="16"/>
      <c r="O4775" s="17"/>
      <c r="Q4775" s="22"/>
      <c r="R4775" s="23"/>
    </row>
    <row r="4776" spans="1:18" ht="12.75">
      <c r="A4776" s="22"/>
      <c r="D4776" s="19"/>
      <c r="H4776" s="18"/>
      <c r="J4776" s="18"/>
      <c r="N4776" s="16"/>
      <c r="O4776" s="17"/>
      <c r="Q4776" s="22"/>
      <c r="R4776" s="23"/>
    </row>
    <row r="4777" spans="1:18" ht="12.75">
      <c r="A4777" s="22"/>
      <c r="D4777" s="19"/>
      <c r="H4777" s="18"/>
      <c r="J4777" s="18"/>
      <c r="N4777" s="16"/>
      <c r="O4777" s="17"/>
      <c r="Q4777" s="22"/>
      <c r="R4777" s="23"/>
    </row>
    <row r="4778" spans="1:18" ht="12.75">
      <c r="A4778" s="22"/>
      <c r="D4778" s="19"/>
      <c r="H4778" s="18"/>
      <c r="J4778" s="18"/>
      <c r="N4778" s="16"/>
      <c r="O4778" s="17"/>
      <c r="Q4778" s="22"/>
      <c r="R4778" s="23"/>
    </row>
    <row r="4779" spans="1:18" ht="12.75">
      <c r="A4779" s="22"/>
      <c r="D4779" s="19"/>
      <c r="H4779" s="18"/>
      <c r="J4779" s="18"/>
      <c r="N4779" s="16"/>
      <c r="O4779" s="17"/>
      <c r="Q4779" s="22"/>
      <c r="R4779" s="23"/>
    </row>
    <row r="4780" spans="1:18" ht="12.75">
      <c r="A4780" s="22"/>
      <c r="D4780" s="19"/>
      <c r="H4780" s="18"/>
      <c r="J4780" s="18"/>
      <c r="N4780" s="16"/>
      <c r="O4780" s="17"/>
      <c r="Q4780" s="22"/>
      <c r="R4780" s="23"/>
    </row>
    <row r="4781" spans="1:18" ht="12.75">
      <c r="A4781" s="22"/>
      <c r="D4781" s="19"/>
      <c r="H4781" s="18"/>
      <c r="J4781" s="18"/>
      <c r="N4781" s="16"/>
      <c r="O4781" s="17"/>
      <c r="Q4781" s="22"/>
      <c r="R4781" s="23"/>
    </row>
    <row r="4782" spans="1:18" ht="12.75">
      <c r="A4782" s="22"/>
      <c r="D4782" s="19"/>
      <c r="H4782" s="18"/>
      <c r="J4782" s="18"/>
      <c r="N4782" s="16"/>
      <c r="O4782" s="17"/>
      <c r="Q4782" s="22"/>
      <c r="R4782" s="23"/>
    </row>
    <row r="4783" spans="1:18" ht="12.75">
      <c r="A4783" s="22"/>
      <c r="D4783" s="19"/>
      <c r="H4783" s="18"/>
      <c r="J4783" s="18"/>
      <c r="N4783" s="16"/>
      <c r="O4783" s="17"/>
      <c r="Q4783" s="22"/>
      <c r="R4783" s="23"/>
    </row>
    <row r="4784" spans="1:18" ht="12.75">
      <c r="A4784" s="22"/>
      <c r="D4784" s="19"/>
      <c r="H4784" s="18"/>
      <c r="J4784" s="18"/>
      <c r="N4784" s="16"/>
      <c r="O4784" s="17"/>
      <c r="Q4784" s="22"/>
      <c r="R4784" s="23"/>
    </row>
    <row r="4785" spans="1:18" ht="12.75">
      <c r="A4785" s="22"/>
      <c r="D4785" s="19"/>
      <c r="H4785" s="18"/>
      <c r="J4785" s="18"/>
      <c r="N4785" s="16"/>
      <c r="O4785" s="17"/>
      <c r="Q4785" s="22"/>
      <c r="R4785" s="23"/>
    </row>
    <row r="4786" spans="1:18" ht="12.75">
      <c r="A4786" s="22"/>
      <c r="D4786" s="19"/>
      <c r="H4786" s="18"/>
      <c r="J4786" s="18"/>
      <c r="N4786" s="16"/>
      <c r="O4786" s="17"/>
      <c r="Q4786" s="22"/>
      <c r="R4786" s="23"/>
    </row>
    <row r="4787" spans="1:18" ht="12.75">
      <c r="A4787" s="22"/>
      <c r="D4787" s="19"/>
      <c r="H4787" s="18"/>
      <c r="J4787" s="18"/>
      <c r="N4787" s="16"/>
      <c r="O4787" s="17"/>
      <c r="Q4787" s="22"/>
      <c r="R4787" s="23"/>
    </row>
    <row r="4788" spans="1:18" ht="12.75">
      <c r="A4788" s="22"/>
      <c r="D4788" s="19"/>
      <c r="H4788" s="18"/>
      <c r="J4788" s="18"/>
      <c r="N4788" s="16"/>
      <c r="O4788" s="17"/>
      <c r="Q4788" s="22"/>
      <c r="R4788" s="23"/>
    </row>
    <row r="4789" spans="1:18" ht="12.75">
      <c r="A4789" s="22"/>
      <c r="D4789" s="19"/>
      <c r="H4789" s="18"/>
      <c r="J4789" s="18"/>
      <c r="N4789" s="16"/>
      <c r="O4789" s="17"/>
      <c r="Q4789" s="22"/>
      <c r="R4789" s="23"/>
    </row>
    <row r="4790" spans="1:18" ht="12.75">
      <c r="A4790" s="22"/>
      <c r="D4790" s="19"/>
      <c r="H4790" s="18"/>
      <c r="J4790" s="18"/>
      <c r="N4790" s="16"/>
      <c r="O4790" s="17"/>
      <c r="Q4790" s="22"/>
      <c r="R4790" s="23"/>
    </row>
    <row r="4791" spans="1:18" ht="12.75">
      <c r="A4791" s="22"/>
      <c r="D4791" s="19"/>
      <c r="H4791" s="18"/>
      <c r="J4791" s="18"/>
      <c r="N4791" s="16"/>
      <c r="O4791" s="17"/>
      <c r="Q4791" s="22"/>
      <c r="R4791" s="23"/>
    </row>
    <row r="4792" spans="1:18" ht="12.75">
      <c r="A4792" s="22"/>
      <c r="D4792" s="19"/>
      <c r="H4792" s="18"/>
      <c r="J4792" s="18"/>
      <c r="N4792" s="16"/>
      <c r="O4792" s="17"/>
      <c r="Q4792" s="22"/>
      <c r="R4792" s="23"/>
    </row>
    <row r="4793" spans="1:18" ht="12.75">
      <c r="A4793" s="22"/>
      <c r="D4793" s="19"/>
      <c r="H4793" s="18"/>
      <c r="J4793" s="18"/>
      <c r="N4793" s="16"/>
      <c r="O4793" s="17"/>
      <c r="Q4793" s="22"/>
      <c r="R4793" s="23"/>
    </row>
    <row r="4794" spans="1:18" ht="12.75">
      <c r="A4794" s="22"/>
      <c r="D4794" s="19"/>
      <c r="H4794" s="18"/>
      <c r="J4794" s="18"/>
      <c r="N4794" s="16"/>
      <c r="O4794" s="17"/>
      <c r="Q4794" s="22"/>
      <c r="R4794" s="23"/>
    </row>
    <row r="4795" spans="1:18" ht="12.75">
      <c r="A4795" s="22"/>
      <c r="D4795" s="19"/>
      <c r="H4795" s="18"/>
      <c r="J4795" s="18"/>
      <c r="N4795" s="16"/>
      <c r="O4795" s="17"/>
      <c r="Q4795" s="22"/>
      <c r="R4795" s="23"/>
    </row>
    <row r="4796" spans="1:18" ht="12.75">
      <c r="A4796" s="22"/>
      <c r="D4796" s="19"/>
      <c r="H4796" s="18"/>
      <c r="J4796" s="18"/>
      <c r="N4796" s="16"/>
      <c r="O4796" s="17"/>
      <c r="Q4796" s="22"/>
      <c r="R4796" s="23"/>
    </row>
    <row r="4797" spans="1:18" ht="12.75">
      <c r="A4797" s="22"/>
      <c r="D4797" s="19"/>
      <c r="H4797" s="18"/>
      <c r="J4797" s="18"/>
      <c r="N4797" s="16"/>
      <c r="O4797" s="17"/>
      <c r="Q4797" s="22"/>
      <c r="R4797" s="23"/>
    </row>
    <row r="4798" spans="1:18" ht="12.75">
      <c r="A4798" s="22"/>
      <c r="D4798" s="19"/>
      <c r="H4798" s="18"/>
      <c r="J4798" s="18"/>
      <c r="N4798" s="16"/>
      <c r="O4798" s="17"/>
      <c r="Q4798" s="22"/>
      <c r="R4798" s="23"/>
    </row>
    <row r="4799" spans="1:18" ht="12.75">
      <c r="A4799" s="22"/>
      <c r="D4799" s="19"/>
      <c r="H4799" s="18"/>
      <c r="J4799" s="18"/>
      <c r="N4799" s="16"/>
      <c r="O4799" s="17"/>
      <c r="Q4799" s="22"/>
      <c r="R4799" s="23"/>
    </row>
    <row r="4800" spans="1:18" ht="12.75">
      <c r="A4800" s="22"/>
      <c r="D4800" s="19"/>
      <c r="H4800" s="18"/>
      <c r="J4800" s="18"/>
      <c r="N4800" s="16"/>
      <c r="O4800" s="17"/>
      <c r="Q4800" s="22"/>
      <c r="R4800" s="23"/>
    </row>
    <row r="4801" spans="1:18" ht="12.75">
      <c r="A4801" s="22"/>
      <c r="D4801" s="19"/>
      <c r="H4801" s="18"/>
      <c r="J4801" s="18"/>
      <c r="N4801" s="16"/>
      <c r="O4801" s="17"/>
      <c r="Q4801" s="22"/>
      <c r="R4801" s="23"/>
    </row>
    <row r="4802" spans="1:18" ht="12.75">
      <c r="A4802" s="22"/>
      <c r="D4802" s="19"/>
      <c r="H4802" s="18"/>
      <c r="J4802" s="18"/>
      <c r="N4802" s="16"/>
      <c r="O4802" s="17"/>
      <c r="Q4802" s="22"/>
      <c r="R4802" s="23"/>
    </row>
    <row r="4803" spans="1:18" ht="12.75">
      <c r="A4803" s="22"/>
      <c r="D4803" s="19"/>
      <c r="H4803" s="18"/>
      <c r="J4803" s="18"/>
      <c r="N4803" s="16"/>
      <c r="O4803" s="17"/>
      <c r="Q4803" s="22"/>
      <c r="R4803" s="23"/>
    </row>
    <row r="4804" spans="1:18" ht="12.75">
      <c r="A4804" s="22"/>
      <c r="D4804" s="19"/>
      <c r="H4804" s="18"/>
      <c r="J4804" s="18"/>
      <c r="N4804" s="16"/>
      <c r="O4804" s="17"/>
      <c r="Q4804" s="22"/>
      <c r="R4804" s="23"/>
    </row>
    <row r="4805" spans="1:18" ht="12.75">
      <c r="A4805" s="22"/>
      <c r="D4805" s="19"/>
      <c r="H4805" s="18"/>
      <c r="J4805" s="18"/>
      <c r="N4805" s="16"/>
      <c r="O4805" s="17"/>
      <c r="Q4805" s="22"/>
      <c r="R4805" s="23"/>
    </row>
    <row r="4806" spans="1:18" ht="12.75">
      <c r="A4806" s="22"/>
      <c r="D4806" s="19"/>
      <c r="H4806" s="18"/>
      <c r="J4806" s="18"/>
      <c r="N4806" s="16"/>
      <c r="O4806" s="17"/>
      <c r="Q4806" s="22"/>
      <c r="R4806" s="23"/>
    </row>
    <row r="4807" spans="1:18" ht="12.75">
      <c r="A4807" s="22"/>
      <c r="D4807" s="19"/>
      <c r="H4807" s="18"/>
      <c r="J4807" s="18"/>
      <c r="N4807" s="16"/>
      <c r="O4807" s="17"/>
      <c r="Q4807" s="22"/>
      <c r="R4807" s="23"/>
    </row>
    <row r="4808" spans="1:18" ht="12.75">
      <c r="A4808" s="22"/>
      <c r="D4808" s="19"/>
      <c r="H4808" s="18"/>
      <c r="J4808" s="18"/>
      <c r="N4808" s="16"/>
      <c r="O4808" s="17"/>
      <c r="Q4808" s="22"/>
      <c r="R4808" s="23"/>
    </row>
    <row r="4809" spans="1:18" ht="12.75">
      <c r="A4809" s="22"/>
      <c r="D4809" s="19"/>
      <c r="H4809" s="18"/>
      <c r="J4809" s="18"/>
      <c r="N4809" s="16"/>
      <c r="O4809" s="17"/>
      <c r="Q4809" s="22"/>
      <c r="R4809" s="23"/>
    </row>
    <row r="4810" spans="1:18" ht="12.75">
      <c r="A4810" s="22"/>
      <c r="D4810" s="19"/>
      <c r="H4810" s="18"/>
      <c r="J4810" s="18"/>
      <c r="N4810" s="16"/>
      <c r="O4810" s="17"/>
      <c r="Q4810" s="22"/>
      <c r="R4810" s="23"/>
    </row>
    <row r="4811" spans="1:18" ht="12.75">
      <c r="A4811" s="22"/>
      <c r="D4811" s="19"/>
      <c r="H4811" s="18"/>
      <c r="J4811" s="18"/>
      <c r="N4811" s="16"/>
      <c r="O4811" s="17"/>
      <c r="Q4811" s="22"/>
      <c r="R4811" s="23"/>
    </row>
    <row r="4812" spans="1:18" ht="12.75">
      <c r="A4812" s="22"/>
      <c r="D4812" s="19"/>
      <c r="H4812" s="18"/>
      <c r="J4812" s="18"/>
      <c r="N4812" s="16"/>
      <c r="O4812" s="17"/>
      <c r="Q4812" s="22"/>
      <c r="R4812" s="23"/>
    </row>
    <row r="4813" spans="1:18" ht="12.75">
      <c r="A4813" s="22"/>
      <c r="D4813" s="19"/>
      <c r="H4813" s="18"/>
      <c r="J4813" s="18"/>
      <c r="N4813" s="16"/>
      <c r="O4813" s="17"/>
      <c r="Q4813" s="22"/>
      <c r="R4813" s="23"/>
    </row>
    <row r="4814" spans="1:18" ht="12.75">
      <c r="A4814" s="22"/>
      <c r="D4814" s="19"/>
      <c r="H4814" s="18"/>
      <c r="J4814" s="18"/>
      <c r="N4814" s="16"/>
      <c r="O4814" s="17"/>
      <c r="Q4814" s="22"/>
      <c r="R4814" s="23"/>
    </row>
    <row r="4815" spans="1:18" ht="12.75">
      <c r="A4815" s="22"/>
      <c r="D4815" s="19"/>
      <c r="H4815" s="18"/>
      <c r="J4815" s="18"/>
      <c r="N4815" s="16"/>
      <c r="O4815" s="17"/>
      <c r="Q4815" s="22"/>
      <c r="R4815" s="23"/>
    </row>
    <row r="4816" spans="1:18" ht="12.75">
      <c r="A4816" s="22"/>
      <c r="D4816" s="19"/>
      <c r="H4816" s="18"/>
      <c r="J4816" s="18"/>
      <c r="N4816" s="16"/>
      <c r="O4816" s="17"/>
      <c r="Q4816" s="22"/>
      <c r="R4816" s="23"/>
    </row>
    <row r="4817" spans="1:18" ht="12.75">
      <c r="A4817" s="22"/>
      <c r="D4817" s="19"/>
      <c r="H4817" s="18"/>
      <c r="J4817" s="18"/>
      <c r="N4817" s="16"/>
      <c r="O4817" s="17"/>
      <c r="Q4817" s="22"/>
      <c r="R4817" s="23"/>
    </row>
    <row r="4818" spans="1:18" ht="12.75">
      <c r="A4818" s="22"/>
      <c r="D4818" s="19"/>
      <c r="H4818" s="18"/>
      <c r="J4818" s="18"/>
      <c r="N4818" s="16"/>
      <c r="O4818" s="17"/>
      <c r="Q4818" s="22"/>
      <c r="R4818" s="23"/>
    </row>
    <row r="4819" spans="1:18" ht="12.75">
      <c r="A4819" s="22"/>
      <c r="D4819" s="19"/>
      <c r="H4819" s="18"/>
      <c r="J4819" s="18"/>
      <c r="N4819" s="16"/>
      <c r="O4819" s="17"/>
      <c r="Q4819" s="22"/>
      <c r="R4819" s="23"/>
    </row>
    <row r="4820" spans="1:18" ht="12.75">
      <c r="A4820" s="22"/>
      <c r="D4820" s="19"/>
      <c r="H4820" s="18"/>
      <c r="J4820" s="18"/>
      <c r="N4820" s="16"/>
      <c r="O4820" s="17"/>
      <c r="Q4820" s="22"/>
      <c r="R4820" s="23"/>
    </row>
    <row r="4821" spans="1:18" ht="12.75">
      <c r="A4821" s="22"/>
      <c r="D4821" s="19"/>
      <c r="H4821" s="18"/>
      <c r="J4821" s="18"/>
      <c r="N4821" s="16"/>
      <c r="O4821" s="17"/>
      <c r="Q4821" s="22"/>
      <c r="R4821" s="23"/>
    </row>
    <row r="4822" spans="1:18" ht="12.75">
      <c r="A4822" s="22"/>
      <c r="D4822" s="19"/>
      <c r="H4822" s="18"/>
      <c r="J4822" s="18"/>
      <c r="N4822" s="16"/>
      <c r="O4822" s="17"/>
      <c r="Q4822" s="22"/>
      <c r="R4822" s="23"/>
    </row>
    <row r="4823" spans="1:18" ht="12.75">
      <c r="A4823" s="22"/>
      <c r="D4823" s="19"/>
      <c r="H4823" s="18"/>
      <c r="J4823" s="18"/>
      <c r="N4823" s="16"/>
      <c r="O4823" s="17"/>
      <c r="Q4823" s="22"/>
      <c r="R4823" s="23"/>
    </row>
    <row r="4824" spans="1:18" ht="12.75">
      <c r="A4824" s="22"/>
      <c r="D4824" s="19"/>
      <c r="H4824" s="18"/>
      <c r="J4824" s="18"/>
      <c r="N4824" s="16"/>
      <c r="O4824" s="17"/>
      <c r="Q4824" s="22"/>
      <c r="R4824" s="23"/>
    </row>
    <row r="4825" spans="1:18" ht="12.75">
      <c r="A4825" s="22"/>
      <c r="D4825" s="19"/>
      <c r="H4825" s="18"/>
      <c r="J4825" s="18"/>
      <c r="N4825" s="16"/>
      <c r="O4825" s="17"/>
      <c r="Q4825" s="22"/>
      <c r="R4825" s="23"/>
    </row>
    <row r="4826" spans="1:18" ht="12.75">
      <c r="A4826" s="22"/>
      <c r="D4826" s="19"/>
      <c r="H4826" s="18"/>
      <c r="J4826" s="18"/>
      <c r="N4826" s="16"/>
      <c r="O4826" s="17"/>
      <c r="Q4826" s="22"/>
      <c r="R4826" s="23"/>
    </row>
    <row r="4827" spans="1:18" ht="12.75">
      <c r="A4827" s="22"/>
      <c r="D4827" s="19"/>
      <c r="H4827" s="18"/>
      <c r="J4827" s="18"/>
      <c r="N4827" s="16"/>
      <c r="O4827" s="17"/>
      <c r="Q4827" s="22"/>
      <c r="R4827" s="23"/>
    </row>
    <row r="4828" spans="1:18" ht="12.75">
      <c r="A4828" s="22"/>
      <c r="D4828" s="19"/>
      <c r="H4828" s="18"/>
      <c r="J4828" s="18"/>
      <c r="N4828" s="16"/>
      <c r="O4828" s="17"/>
      <c r="Q4828" s="22"/>
      <c r="R4828" s="23"/>
    </row>
    <row r="4829" spans="1:18" ht="12.75">
      <c r="A4829" s="22"/>
      <c r="D4829" s="19"/>
      <c r="H4829" s="18"/>
      <c r="J4829" s="18"/>
      <c r="N4829" s="16"/>
      <c r="O4829" s="17"/>
      <c r="Q4829" s="22"/>
      <c r="R4829" s="23"/>
    </row>
    <row r="4830" spans="1:18" ht="12.75">
      <c r="A4830" s="22"/>
      <c r="D4830" s="19"/>
      <c r="H4830" s="18"/>
      <c r="J4830" s="18"/>
      <c r="N4830" s="16"/>
      <c r="O4830" s="17"/>
      <c r="Q4830" s="22"/>
      <c r="R4830" s="23"/>
    </row>
    <row r="4831" spans="1:18" ht="12.75">
      <c r="A4831" s="22"/>
      <c r="D4831" s="19"/>
      <c r="H4831" s="18"/>
      <c r="J4831" s="18"/>
      <c r="N4831" s="16"/>
      <c r="O4831" s="17"/>
      <c r="Q4831" s="22"/>
      <c r="R4831" s="23"/>
    </row>
    <row r="4832" spans="1:18" ht="12.75">
      <c r="A4832" s="22"/>
      <c r="D4832" s="19"/>
      <c r="H4832" s="18"/>
      <c r="J4832" s="18"/>
      <c r="N4832" s="16"/>
      <c r="O4832" s="17"/>
      <c r="Q4832" s="22"/>
      <c r="R4832" s="23"/>
    </row>
    <row r="4833" spans="1:18" ht="12.75">
      <c r="A4833" s="22"/>
      <c r="D4833" s="19"/>
      <c r="H4833" s="18"/>
      <c r="J4833" s="18"/>
      <c r="N4833" s="16"/>
      <c r="O4833" s="17"/>
      <c r="Q4833" s="22"/>
      <c r="R4833" s="23"/>
    </row>
    <row r="4834" spans="1:18" ht="12.75">
      <c r="A4834" s="22"/>
      <c r="D4834" s="19"/>
      <c r="H4834" s="18"/>
      <c r="J4834" s="18"/>
      <c r="N4834" s="16"/>
      <c r="O4834" s="17"/>
      <c r="Q4834" s="22"/>
      <c r="R4834" s="23"/>
    </row>
    <row r="4835" spans="1:18" ht="12.75">
      <c r="A4835" s="22"/>
      <c r="D4835" s="19"/>
      <c r="H4835" s="18"/>
      <c r="J4835" s="18"/>
      <c r="N4835" s="16"/>
      <c r="O4835" s="17"/>
      <c r="Q4835" s="22"/>
      <c r="R4835" s="23"/>
    </row>
    <row r="4836" spans="1:18" ht="12.75">
      <c r="A4836" s="22"/>
      <c r="D4836" s="19"/>
      <c r="H4836" s="18"/>
      <c r="J4836" s="18"/>
      <c r="N4836" s="16"/>
      <c r="O4836" s="17"/>
      <c r="Q4836" s="22"/>
      <c r="R4836" s="23"/>
    </row>
    <row r="4837" spans="1:18" ht="12.75">
      <c r="A4837" s="22"/>
      <c r="D4837" s="19"/>
      <c r="H4837" s="18"/>
      <c r="J4837" s="18"/>
      <c r="N4837" s="16"/>
      <c r="O4837" s="17"/>
      <c r="Q4837" s="22"/>
      <c r="R4837" s="23"/>
    </row>
    <row r="4838" spans="1:18" ht="12.75">
      <c r="A4838" s="22"/>
      <c r="D4838" s="19"/>
      <c r="H4838" s="18"/>
      <c r="J4838" s="18"/>
      <c r="N4838" s="16"/>
      <c r="O4838" s="17"/>
      <c r="Q4838" s="22"/>
      <c r="R4838" s="23"/>
    </row>
    <row r="4839" spans="1:18" ht="12.75">
      <c r="A4839" s="22"/>
      <c r="D4839" s="19"/>
      <c r="H4839" s="18"/>
      <c r="J4839" s="18"/>
      <c r="N4839" s="16"/>
      <c r="O4839" s="17"/>
      <c r="Q4839" s="22"/>
      <c r="R4839" s="23"/>
    </row>
    <row r="4840" spans="1:18" ht="12.75">
      <c r="A4840" s="22"/>
      <c r="D4840" s="19"/>
      <c r="H4840" s="18"/>
      <c r="J4840" s="18"/>
      <c r="N4840" s="16"/>
      <c r="O4840" s="17"/>
      <c r="Q4840" s="22"/>
      <c r="R4840" s="23"/>
    </row>
    <row r="4841" spans="1:18" ht="12.75">
      <c r="A4841" s="22"/>
      <c r="D4841" s="19"/>
      <c r="H4841" s="18"/>
      <c r="J4841" s="18"/>
      <c r="N4841" s="16"/>
      <c r="O4841" s="17"/>
      <c r="Q4841" s="22"/>
      <c r="R4841" s="23"/>
    </row>
    <row r="4842" spans="1:18" ht="12.75">
      <c r="A4842" s="22"/>
      <c r="D4842" s="19"/>
      <c r="H4842" s="18"/>
      <c r="J4842" s="18"/>
      <c r="N4842" s="16"/>
      <c r="O4842" s="17"/>
      <c r="Q4842" s="22"/>
      <c r="R4842" s="23"/>
    </row>
    <row r="4843" spans="1:18" ht="12.75">
      <c r="A4843" s="22"/>
      <c r="D4843" s="19"/>
      <c r="H4843" s="18"/>
      <c r="J4843" s="18"/>
      <c r="N4843" s="16"/>
      <c r="O4843" s="17"/>
      <c r="Q4843" s="22"/>
      <c r="R4843" s="23"/>
    </row>
    <row r="4844" spans="1:18" ht="12.75">
      <c r="A4844" s="22"/>
      <c r="D4844" s="19"/>
      <c r="H4844" s="18"/>
      <c r="J4844" s="18"/>
      <c r="N4844" s="16"/>
      <c r="O4844" s="17"/>
      <c r="Q4844" s="22"/>
      <c r="R4844" s="23"/>
    </row>
    <row r="4845" spans="1:18" ht="12.75">
      <c r="A4845" s="22"/>
      <c r="D4845" s="19"/>
      <c r="H4845" s="18"/>
      <c r="J4845" s="18"/>
      <c r="N4845" s="16"/>
      <c r="O4845" s="17"/>
      <c r="Q4845" s="22"/>
      <c r="R4845" s="23"/>
    </row>
    <row r="4846" spans="1:18" ht="12.75">
      <c r="A4846" s="22"/>
      <c r="D4846" s="19"/>
      <c r="H4846" s="18"/>
      <c r="J4846" s="18"/>
      <c r="N4846" s="16"/>
      <c r="O4846" s="17"/>
      <c r="Q4846" s="22"/>
      <c r="R4846" s="23"/>
    </row>
    <row r="4847" spans="1:18" ht="12.75">
      <c r="A4847" s="22"/>
      <c r="D4847" s="19"/>
      <c r="H4847" s="18"/>
      <c r="J4847" s="18"/>
      <c r="N4847" s="16"/>
      <c r="O4847" s="17"/>
      <c r="Q4847" s="22"/>
      <c r="R4847" s="23"/>
    </row>
    <row r="4848" spans="1:18" ht="12.75">
      <c r="A4848" s="22"/>
      <c r="D4848" s="19"/>
      <c r="H4848" s="18"/>
      <c r="J4848" s="18"/>
      <c r="N4848" s="16"/>
      <c r="O4848" s="17"/>
      <c r="Q4848" s="22"/>
      <c r="R4848" s="23"/>
    </row>
    <row r="4849" spans="1:18" ht="12.75">
      <c r="A4849" s="22"/>
      <c r="D4849" s="19"/>
      <c r="H4849" s="18"/>
      <c r="J4849" s="18"/>
      <c r="N4849" s="16"/>
      <c r="O4849" s="17"/>
      <c r="Q4849" s="22"/>
      <c r="R4849" s="23"/>
    </row>
    <row r="4850" spans="1:18" ht="12.75">
      <c r="A4850" s="22"/>
      <c r="D4850" s="19"/>
      <c r="H4850" s="18"/>
      <c r="J4850" s="18"/>
      <c r="N4850" s="16"/>
      <c r="O4850" s="17"/>
      <c r="Q4850" s="22"/>
      <c r="R4850" s="23"/>
    </row>
    <row r="4851" spans="1:18" ht="12.75">
      <c r="A4851" s="22"/>
      <c r="D4851" s="19"/>
      <c r="H4851" s="18"/>
      <c r="J4851" s="18"/>
      <c r="N4851" s="16"/>
      <c r="O4851" s="17"/>
      <c r="Q4851" s="22"/>
      <c r="R4851" s="23"/>
    </row>
    <row r="4852" spans="1:18" ht="12.75">
      <c r="A4852" s="22"/>
      <c r="D4852" s="19"/>
      <c r="H4852" s="18"/>
      <c r="J4852" s="18"/>
      <c r="N4852" s="16"/>
      <c r="O4852" s="17"/>
      <c r="Q4852" s="22"/>
      <c r="R4852" s="23"/>
    </row>
    <row r="4853" spans="1:18" ht="12.75">
      <c r="A4853" s="22"/>
      <c r="D4853" s="19"/>
      <c r="H4853" s="18"/>
      <c r="J4853" s="18"/>
      <c r="N4853" s="16"/>
      <c r="O4853" s="17"/>
      <c r="Q4853" s="22"/>
      <c r="R4853" s="23"/>
    </row>
    <row r="4854" spans="1:18" ht="12.75">
      <c r="A4854" s="22"/>
      <c r="D4854" s="19"/>
      <c r="H4854" s="18"/>
      <c r="J4854" s="18"/>
      <c r="N4854" s="16"/>
      <c r="O4854" s="17"/>
      <c r="Q4854" s="22"/>
      <c r="R4854" s="23"/>
    </row>
    <row r="4855" spans="1:18" ht="12.75">
      <c r="A4855" s="22"/>
      <c r="D4855" s="19"/>
      <c r="H4855" s="18"/>
      <c r="J4855" s="18"/>
      <c r="N4855" s="16"/>
      <c r="O4855" s="17"/>
      <c r="Q4855" s="22"/>
      <c r="R4855" s="23"/>
    </row>
    <row r="4856" spans="1:18" ht="12.75">
      <c r="A4856" s="22"/>
      <c r="D4856" s="19"/>
      <c r="H4856" s="18"/>
      <c r="J4856" s="18"/>
      <c r="N4856" s="16"/>
      <c r="O4856" s="17"/>
      <c r="Q4856" s="22"/>
      <c r="R4856" s="23"/>
    </row>
    <row r="4857" spans="1:18" ht="12.75">
      <c r="A4857" s="22"/>
      <c r="D4857" s="19"/>
      <c r="H4857" s="18"/>
      <c r="J4857" s="18"/>
      <c r="N4857" s="16"/>
      <c r="O4857" s="17"/>
      <c r="Q4857" s="22"/>
      <c r="R4857" s="23"/>
    </row>
    <row r="4858" spans="1:18" ht="12.75">
      <c r="A4858" s="22"/>
      <c r="D4858" s="19"/>
      <c r="H4858" s="18"/>
      <c r="J4858" s="18"/>
      <c r="N4858" s="16"/>
      <c r="O4858" s="17"/>
      <c r="Q4858" s="22"/>
      <c r="R4858" s="23"/>
    </row>
    <row r="4859" spans="1:18" ht="12.75">
      <c r="A4859" s="22"/>
      <c r="D4859" s="19"/>
      <c r="H4859" s="18"/>
      <c r="J4859" s="18"/>
      <c r="N4859" s="16"/>
      <c r="O4859" s="17"/>
      <c r="Q4859" s="22"/>
      <c r="R4859" s="23"/>
    </row>
    <row r="4860" spans="1:18" ht="12.75">
      <c r="A4860" s="22"/>
      <c r="D4860" s="19"/>
      <c r="H4860" s="18"/>
      <c r="J4860" s="18"/>
      <c r="N4860" s="16"/>
      <c r="O4860" s="17"/>
      <c r="Q4860" s="22"/>
      <c r="R4860" s="23"/>
    </row>
    <row r="4861" spans="1:18" ht="12.75">
      <c r="A4861" s="22"/>
      <c r="D4861" s="19"/>
      <c r="H4861" s="18"/>
      <c r="J4861" s="18"/>
      <c r="N4861" s="16"/>
      <c r="O4861" s="17"/>
      <c r="Q4861" s="22"/>
      <c r="R4861" s="23"/>
    </row>
    <row r="4862" spans="1:18" ht="12.75">
      <c r="A4862" s="22"/>
      <c r="D4862" s="19"/>
      <c r="H4862" s="18"/>
      <c r="J4862" s="18"/>
      <c r="N4862" s="16"/>
      <c r="O4862" s="17"/>
      <c r="Q4862" s="22"/>
      <c r="R4862" s="23"/>
    </row>
    <row r="4863" spans="1:18" ht="12.75">
      <c r="A4863" s="22"/>
      <c r="D4863" s="19"/>
      <c r="H4863" s="18"/>
      <c r="J4863" s="18"/>
      <c r="N4863" s="16"/>
      <c r="O4863" s="17"/>
      <c r="Q4863" s="22"/>
      <c r="R4863" s="23"/>
    </row>
    <row r="4864" spans="1:18" ht="12.75">
      <c r="A4864" s="22"/>
      <c r="D4864" s="19"/>
      <c r="H4864" s="18"/>
      <c r="J4864" s="18"/>
      <c r="N4864" s="16"/>
      <c r="O4864" s="17"/>
      <c r="Q4864" s="22"/>
      <c r="R4864" s="23"/>
    </row>
    <row r="4865" spans="1:18" ht="12.75">
      <c r="A4865" s="22"/>
      <c r="D4865" s="19"/>
      <c r="H4865" s="18"/>
      <c r="J4865" s="18"/>
      <c r="N4865" s="16"/>
      <c r="O4865" s="17"/>
      <c r="Q4865" s="22"/>
      <c r="R4865" s="23"/>
    </row>
    <row r="4866" spans="1:18" ht="12.75">
      <c r="A4866" s="22"/>
      <c r="D4866" s="19"/>
      <c r="H4866" s="18"/>
      <c r="J4866" s="18"/>
      <c r="N4866" s="16"/>
      <c r="O4866" s="17"/>
      <c r="Q4866" s="22"/>
      <c r="R4866" s="23"/>
    </row>
    <row r="4867" spans="1:18" ht="12.75">
      <c r="A4867" s="22"/>
      <c r="D4867" s="19"/>
      <c r="H4867" s="18"/>
      <c r="J4867" s="18"/>
      <c r="N4867" s="16"/>
      <c r="O4867" s="17"/>
      <c r="Q4867" s="22"/>
      <c r="R4867" s="23"/>
    </row>
    <row r="4868" spans="1:18" ht="12.75">
      <c r="A4868" s="22"/>
      <c r="D4868" s="19"/>
      <c r="H4868" s="18"/>
      <c r="J4868" s="18"/>
      <c r="N4868" s="16"/>
      <c r="O4868" s="17"/>
      <c r="Q4868" s="22"/>
      <c r="R4868" s="23"/>
    </row>
    <row r="4869" spans="1:18" ht="12.75">
      <c r="A4869" s="22"/>
      <c r="D4869" s="19"/>
      <c r="H4869" s="18"/>
      <c r="J4869" s="18"/>
      <c r="N4869" s="16"/>
      <c r="O4869" s="17"/>
      <c r="Q4869" s="22"/>
      <c r="R4869" s="23"/>
    </row>
    <row r="4870" spans="1:18" ht="12.75">
      <c r="A4870" s="22"/>
      <c r="D4870" s="19"/>
      <c r="H4870" s="18"/>
      <c r="J4870" s="18"/>
      <c r="N4870" s="16"/>
      <c r="O4870" s="17"/>
      <c r="Q4870" s="22"/>
      <c r="R4870" s="23"/>
    </row>
    <row r="4871" spans="1:18" ht="12.75">
      <c r="A4871" s="22"/>
      <c r="D4871" s="19"/>
      <c r="H4871" s="18"/>
      <c r="J4871" s="18"/>
      <c r="N4871" s="16"/>
      <c r="O4871" s="17"/>
      <c r="Q4871" s="22"/>
      <c r="R4871" s="23"/>
    </row>
    <row r="4872" spans="1:18" ht="12.75">
      <c r="A4872" s="22"/>
      <c r="D4872" s="19"/>
      <c r="H4872" s="18"/>
      <c r="J4872" s="18"/>
      <c r="N4872" s="16"/>
      <c r="O4872" s="17"/>
      <c r="Q4872" s="22"/>
      <c r="R4872" s="23"/>
    </row>
    <row r="4873" spans="1:18" ht="12.75">
      <c r="A4873" s="22"/>
      <c r="D4873" s="19"/>
      <c r="H4873" s="18"/>
      <c r="J4873" s="18"/>
      <c r="N4873" s="16"/>
      <c r="O4873" s="17"/>
      <c r="Q4873" s="22"/>
      <c r="R4873" s="23"/>
    </row>
    <row r="4874" spans="1:18" ht="12.75">
      <c r="A4874" s="22"/>
      <c r="D4874" s="19"/>
      <c r="H4874" s="18"/>
      <c r="J4874" s="18"/>
      <c r="N4874" s="16"/>
      <c r="O4874" s="17"/>
      <c r="Q4874" s="22"/>
      <c r="R4874" s="23"/>
    </row>
    <row r="4875" spans="1:18" ht="12.75">
      <c r="A4875" s="22"/>
      <c r="D4875" s="19"/>
      <c r="H4875" s="18"/>
      <c r="J4875" s="18"/>
      <c r="N4875" s="16"/>
      <c r="O4875" s="17"/>
      <c r="Q4875" s="22"/>
      <c r="R4875" s="23"/>
    </row>
    <row r="4876" spans="1:18" ht="12.75">
      <c r="A4876" s="22"/>
      <c r="D4876" s="19"/>
      <c r="H4876" s="18"/>
      <c r="J4876" s="18"/>
      <c r="N4876" s="16"/>
      <c r="O4876" s="17"/>
      <c r="Q4876" s="22"/>
      <c r="R4876" s="23"/>
    </row>
    <row r="4877" spans="1:18" ht="12.75">
      <c r="A4877" s="22"/>
      <c r="D4877" s="19"/>
      <c r="H4877" s="18"/>
      <c r="J4877" s="18"/>
      <c r="N4877" s="16"/>
      <c r="O4877" s="17"/>
      <c r="Q4877" s="22"/>
      <c r="R4877" s="23"/>
    </row>
    <row r="4878" spans="1:18" ht="12.75">
      <c r="A4878" s="22"/>
      <c r="D4878" s="19"/>
      <c r="H4878" s="18"/>
      <c r="J4878" s="18"/>
      <c r="N4878" s="16"/>
      <c r="O4878" s="17"/>
      <c r="Q4878" s="22"/>
      <c r="R4878" s="23"/>
    </row>
    <row r="4879" spans="1:18" ht="12.75">
      <c r="A4879" s="22"/>
      <c r="D4879" s="19"/>
      <c r="H4879" s="18"/>
      <c r="J4879" s="18"/>
      <c r="N4879" s="16"/>
      <c r="O4879" s="17"/>
      <c r="Q4879" s="22"/>
      <c r="R4879" s="23"/>
    </row>
    <row r="4880" spans="1:18" ht="12.75">
      <c r="A4880" s="22"/>
      <c r="D4880" s="19"/>
      <c r="H4880" s="18"/>
      <c r="J4880" s="18"/>
      <c r="N4880" s="16"/>
      <c r="O4880" s="17"/>
      <c r="Q4880" s="22"/>
      <c r="R4880" s="23"/>
    </row>
    <row r="4881" spans="1:18" ht="12.75">
      <c r="A4881" s="22"/>
      <c r="D4881" s="19"/>
      <c r="H4881" s="18"/>
      <c r="J4881" s="18"/>
      <c r="N4881" s="16"/>
      <c r="O4881" s="17"/>
      <c r="Q4881" s="22"/>
      <c r="R4881" s="23"/>
    </row>
    <row r="4882" spans="1:18" ht="12.75">
      <c r="A4882" s="22"/>
      <c r="D4882" s="19"/>
      <c r="H4882" s="18"/>
      <c r="J4882" s="18"/>
      <c r="N4882" s="16"/>
      <c r="O4882" s="17"/>
      <c r="Q4882" s="22"/>
      <c r="R4882" s="23"/>
    </row>
    <row r="4883" spans="1:18" ht="12.75">
      <c r="A4883" s="22"/>
      <c r="D4883" s="19"/>
      <c r="H4883" s="18"/>
      <c r="J4883" s="18"/>
      <c r="N4883" s="16"/>
      <c r="O4883" s="17"/>
      <c r="Q4883" s="22"/>
      <c r="R4883" s="23"/>
    </row>
    <row r="4884" spans="1:18" ht="12.75">
      <c r="A4884" s="22"/>
      <c r="D4884" s="19"/>
      <c r="H4884" s="18"/>
      <c r="J4884" s="18"/>
      <c r="N4884" s="16"/>
      <c r="O4884" s="17"/>
      <c r="Q4884" s="22"/>
      <c r="R4884" s="23"/>
    </row>
    <row r="4885" spans="1:18" ht="12.75">
      <c r="A4885" s="22"/>
      <c r="D4885" s="19"/>
      <c r="H4885" s="18"/>
      <c r="J4885" s="18"/>
      <c r="N4885" s="16"/>
      <c r="O4885" s="17"/>
      <c r="Q4885" s="22"/>
      <c r="R4885" s="23"/>
    </row>
    <row r="4886" spans="1:18" ht="12.75">
      <c r="A4886" s="22"/>
      <c r="D4886" s="19"/>
      <c r="H4886" s="18"/>
      <c r="J4886" s="18"/>
      <c r="N4886" s="16"/>
      <c r="O4886" s="17"/>
      <c r="Q4886" s="22"/>
      <c r="R4886" s="23"/>
    </row>
    <row r="4887" spans="1:18" ht="12.75">
      <c r="A4887" s="22"/>
      <c r="D4887" s="19"/>
      <c r="H4887" s="18"/>
      <c r="J4887" s="18"/>
      <c r="N4887" s="16"/>
      <c r="O4887" s="17"/>
      <c r="Q4887" s="22"/>
      <c r="R4887" s="23"/>
    </row>
    <row r="4888" spans="1:18" ht="12.75">
      <c r="A4888" s="22"/>
      <c r="D4888" s="19"/>
      <c r="H4888" s="18"/>
      <c r="J4888" s="18"/>
      <c r="N4888" s="16"/>
      <c r="O4888" s="17"/>
      <c r="Q4888" s="22"/>
      <c r="R4888" s="23"/>
    </row>
    <row r="4889" spans="1:18" ht="12.75">
      <c r="A4889" s="22"/>
      <c r="D4889" s="19"/>
      <c r="H4889" s="18"/>
      <c r="J4889" s="18"/>
      <c r="N4889" s="16"/>
      <c r="O4889" s="17"/>
      <c r="Q4889" s="22"/>
      <c r="R4889" s="23"/>
    </row>
    <row r="4890" spans="1:18" ht="12.75">
      <c r="A4890" s="22"/>
      <c r="D4890" s="19"/>
      <c r="H4890" s="18"/>
      <c r="J4890" s="18"/>
      <c r="N4890" s="16"/>
      <c r="O4890" s="17"/>
      <c r="Q4890" s="22"/>
      <c r="R4890" s="23"/>
    </row>
    <row r="4891" spans="1:18" ht="12.75">
      <c r="A4891" s="22"/>
      <c r="D4891" s="19"/>
      <c r="H4891" s="18"/>
      <c r="J4891" s="18"/>
      <c r="N4891" s="16"/>
      <c r="O4891" s="17"/>
      <c r="Q4891" s="22"/>
      <c r="R4891" s="23"/>
    </row>
    <row r="4892" spans="1:18" ht="12.75">
      <c r="A4892" s="22"/>
      <c r="D4892" s="19"/>
      <c r="H4892" s="18"/>
      <c r="J4892" s="18"/>
      <c r="N4892" s="16"/>
      <c r="O4892" s="17"/>
      <c r="Q4892" s="22"/>
      <c r="R4892" s="23"/>
    </row>
    <row r="4893" spans="1:18" ht="12.75">
      <c r="A4893" s="22"/>
      <c r="D4893" s="19"/>
      <c r="H4893" s="18"/>
      <c r="J4893" s="18"/>
      <c r="N4893" s="16"/>
      <c r="O4893" s="17"/>
      <c r="Q4893" s="22"/>
      <c r="R4893" s="23"/>
    </row>
    <row r="4894" spans="1:18" ht="12.75">
      <c r="A4894" s="22"/>
      <c r="D4894" s="19"/>
      <c r="H4894" s="18"/>
      <c r="J4894" s="18"/>
      <c r="N4894" s="16"/>
      <c r="O4894" s="17"/>
      <c r="Q4894" s="22"/>
      <c r="R4894" s="23"/>
    </row>
    <row r="4895" spans="1:18" ht="12.75">
      <c r="A4895" s="22"/>
      <c r="D4895" s="19"/>
      <c r="H4895" s="18"/>
      <c r="J4895" s="18"/>
      <c r="N4895" s="16"/>
      <c r="O4895" s="17"/>
      <c r="Q4895" s="22"/>
      <c r="R4895" s="23"/>
    </row>
    <row r="4896" spans="1:18" ht="12.75">
      <c r="A4896" s="22"/>
      <c r="D4896" s="19"/>
      <c r="H4896" s="18"/>
      <c r="J4896" s="18"/>
      <c r="N4896" s="16"/>
      <c r="O4896" s="17"/>
      <c r="Q4896" s="22"/>
      <c r="R4896" s="23"/>
    </row>
    <row r="4897" spans="1:18" ht="12.75">
      <c r="A4897" s="22"/>
      <c r="D4897" s="19"/>
      <c r="H4897" s="18"/>
      <c r="J4897" s="18"/>
      <c r="N4897" s="16"/>
      <c r="O4897" s="17"/>
      <c r="Q4897" s="22"/>
      <c r="R4897" s="23"/>
    </row>
    <row r="4898" spans="1:18" ht="12.75">
      <c r="A4898" s="22"/>
      <c r="D4898" s="19"/>
      <c r="H4898" s="18"/>
      <c r="J4898" s="18"/>
      <c r="N4898" s="16"/>
      <c r="O4898" s="17"/>
      <c r="Q4898" s="22"/>
      <c r="R4898" s="23"/>
    </row>
    <row r="4899" spans="1:18" ht="12.75">
      <c r="A4899" s="22"/>
      <c r="D4899" s="19"/>
      <c r="H4899" s="18"/>
      <c r="J4899" s="18"/>
      <c r="N4899" s="16"/>
      <c r="O4899" s="17"/>
      <c r="Q4899" s="22"/>
      <c r="R4899" s="23"/>
    </row>
    <row r="4900" spans="1:18" ht="12.75">
      <c r="A4900" s="22"/>
      <c r="D4900" s="19"/>
      <c r="H4900" s="18"/>
      <c r="J4900" s="18"/>
      <c r="N4900" s="16"/>
      <c r="O4900" s="17"/>
      <c r="Q4900" s="22"/>
      <c r="R4900" s="23"/>
    </row>
    <row r="4901" spans="1:18" ht="12.75">
      <c r="A4901" s="22"/>
      <c r="D4901" s="19"/>
      <c r="H4901" s="18"/>
      <c r="J4901" s="18"/>
      <c r="N4901" s="16"/>
      <c r="O4901" s="17"/>
      <c r="Q4901" s="22"/>
      <c r="R4901" s="23"/>
    </row>
    <row r="4902" spans="1:18" ht="12.75">
      <c r="A4902" s="22"/>
      <c r="D4902" s="19"/>
      <c r="H4902" s="18"/>
      <c r="J4902" s="18"/>
      <c r="N4902" s="16"/>
      <c r="O4902" s="17"/>
      <c r="Q4902" s="22"/>
      <c r="R4902" s="23"/>
    </row>
    <row r="4903" spans="1:18" ht="12.75">
      <c r="A4903" s="22"/>
      <c r="D4903" s="19"/>
      <c r="H4903" s="18"/>
      <c r="J4903" s="18"/>
      <c r="N4903" s="16"/>
      <c r="O4903" s="17"/>
      <c r="Q4903" s="22"/>
      <c r="R4903" s="23"/>
    </row>
    <row r="4904" spans="1:18" ht="12.75">
      <c r="A4904" s="22"/>
      <c r="D4904" s="19"/>
      <c r="H4904" s="18"/>
      <c r="J4904" s="18"/>
      <c r="N4904" s="16"/>
      <c r="O4904" s="17"/>
      <c r="Q4904" s="22"/>
      <c r="R4904" s="23"/>
    </row>
    <row r="4905" spans="1:18" ht="12.75">
      <c r="A4905" s="22"/>
      <c r="D4905" s="19"/>
      <c r="H4905" s="18"/>
      <c r="J4905" s="18"/>
      <c r="N4905" s="16"/>
      <c r="O4905" s="17"/>
      <c r="Q4905" s="22"/>
      <c r="R4905" s="23"/>
    </row>
    <row r="4906" spans="1:18" ht="12.75">
      <c r="A4906" s="22"/>
      <c r="D4906" s="19"/>
      <c r="H4906" s="18"/>
      <c r="J4906" s="18"/>
      <c r="N4906" s="16"/>
      <c r="O4906" s="17"/>
      <c r="Q4906" s="22"/>
      <c r="R4906" s="23"/>
    </row>
    <row r="4907" spans="1:18" ht="12.75">
      <c r="A4907" s="22"/>
      <c r="D4907" s="19"/>
      <c r="H4907" s="18"/>
      <c r="J4907" s="18"/>
      <c r="N4907" s="16"/>
      <c r="O4907" s="17"/>
      <c r="Q4907" s="22"/>
      <c r="R4907" s="23"/>
    </row>
    <row r="4908" spans="1:18" ht="12.75">
      <c r="A4908" s="22"/>
      <c r="D4908" s="19"/>
      <c r="H4908" s="18"/>
      <c r="J4908" s="18"/>
      <c r="N4908" s="16"/>
      <c r="O4908" s="17"/>
      <c r="Q4908" s="22"/>
      <c r="R4908" s="23"/>
    </row>
    <row r="4909" spans="1:18" ht="12.75">
      <c r="A4909" s="22"/>
      <c r="D4909" s="19"/>
      <c r="H4909" s="18"/>
      <c r="J4909" s="18"/>
      <c r="N4909" s="16"/>
      <c r="O4909" s="17"/>
      <c r="Q4909" s="22"/>
      <c r="R4909" s="23"/>
    </row>
    <row r="4910" spans="1:18" ht="12.75">
      <c r="A4910" s="22"/>
      <c r="D4910" s="19"/>
      <c r="H4910" s="18"/>
      <c r="J4910" s="18"/>
      <c r="N4910" s="16"/>
      <c r="O4910" s="17"/>
      <c r="Q4910" s="22"/>
      <c r="R4910" s="23"/>
    </row>
    <row r="4911" spans="1:18" ht="12.75">
      <c r="A4911" s="22"/>
      <c r="D4911" s="19"/>
      <c r="H4911" s="18"/>
      <c r="J4911" s="18"/>
      <c r="N4911" s="16"/>
      <c r="O4911" s="17"/>
      <c r="Q4911" s="22"/>
      <c r="R4911" s="23"/>
    </row>
    <row r="4912" spans="1:18" ht="12.75">
      <c r="A4912" s="22"/>
      <c r="D4912" s="19"/>
      <c r="H4912" s="18"/>
      <c r="J4912" s="18"/>
      <c r="N4912" s="16"/>
      <c r="O4912" s="17"/>
      <c r="Q4912" s="22"/>
      <c r="R4912" s="23"/>
    </row>
    <row r="4913" spans="1:18" ht="12.75">
      <c r="A4913" s="22"/>
      <c r="D4913" s="19"/>
      <c r="H4913" s="18"/>
      <c r="J4913" s="18"/>
      <c r="N4913" s="16"/>
      <c r="O4913" s="17"/>
      <c r="Q4913" s="22"/>
      <c r="R4913" s="23"/>
    </row>
    <row r="4914" spans="1:18" ht="12.75">
      <c r="A4914" s="22"/>
      <c r="D4914" s="19"/>
      <c r="H4914" s="18"/>
      <c r="J4914" s="18"/>
      <c r="N4914" s="16"/>
      <c r="O4914" s="17"/>
      <c r="Q4914" s="22"/>
      <c r="R4914" s="23"/>
    </row>
    <row r="4915" spans="1:18" ht="12.75">
      <c r="A4915" s="22"/>
      <c r="D4915" s="19"/>
      <c r="H4915" s="18"/>
      <c r="J4915" s="18"/>
      <c r="N4915" s="16"/>
      <c r="O4915" s="17"/>
      <c r="Q4915" s="22"/>
      <c r="R4915" s="23"/>
    </row>
    <row r="4916" spans="1:18" ht="12.75">
      <c r="A4916" s="22"/>
      <c r="D4916" s="19"/>
      <c r="H4916" s="18"/>
      <c r="J4916" s="18"/>
      <c r="N4916" s="16"/>
      <c r="O4916" s="17"/>
      <c r="Q4916" s="22"/>
      <c r="R4916" s="23"/>
    </row>
    <row r="4917" spans="1:18" ht="12.75">
      <c r="A4917" s="22"/>
      <c r="D4917" s="19"/>
      <c r="H4917" s="18"/>
      <c r="J4917" s="18"/>
      <c r="N4917" s="16"/>
      <c r="O4917" s="17"/>
      <c r="Q4917" s="22"/>
      <c r="R4917" s="23"/>
    </row>
    <row r="4918" spans="1:18" ht="12.75">
      <c r="A4918" s="22"/>
      <c r="D4918" s="19"/>
      <c r="H4918" s="18"/>
      <c r="J4918" s="18"/>
      <c r="N4918" s="16"/>
      <c r="O4918" s="17"/>
      <c r="Q4918" s="22"/>
      <c r="R4918" s="23"/>
    </row>
    <row r="4919" spans="1:18" ht="12.75">
      <c r="A4919" s="22"/>
      <c r="D4919" s="19"/>
      <c r="H4919" s="18"/>
      <c r="J4919" s="18"/>
      <c r="N4919" s="16"/>
      <c r="O4919" s="17"/>
      <c r="Q4919" s="22"/>
      <c r="R4919" s="23"/>
    </row>
    <row r="4920" spans="1:18" ht="12.75">
      <c r="A4920" s="22"/>
      <c r="D4920" s="19"/>
      <c r="H4920" s="18"/>
      <c r="J4920" s="18"/>
      <c r="N4920" s="16"/>
      <c r="O4920" s="17"/>
      <c r="Q4920" s="22"/>
      <c r="R4920" s="23"/>
    </row>
    <row r="4921" spans="1:18" ht="12.75">
      <c r="A4921" s="22"/>
      <c r="D4921" s="19"/>
      <c r="H4921" s="18"/>
      <c r="J4921" s="18"/>
      <c r="N4921" s="16"/>
      <c r="O4921" s="17"/>
      <c r="Q4921" s="22"/>
      <c r="R4921" s="23"/>
    </row>
    <row r="4922" spans="1:18" ht="12.75">
      <c r="A4922" s="22"/>
      <c r="D4922" s="19"/>
      <c r="H4922" s="18"/>
      <c r="J4922" s="18"/>
      <c r="N4922" s="16"/>
      <c r="O4922" s="17"/>
      <c r="Q4922" s="22"/>
      <c r="R4922" s="23"/>
    </row>
    <row r="4923" spans="1:18" ht="12.75">
      <c r="A4923" s="22"/>
      <c r="D4923" s="19"/>
      <c r="H4923" s="18"/>
      <c r="J4923" s="18"/>
      <c r="N4923" s="16"/>
      <c r="O4923" s="17"/>
      <c r="Q4923" s="22"/>
      <c r="R4923" s="23"/>
    </row>
    <row r="4924" spans="1:18" ht="12.75">
      <c r="A4924" s="22"/>
      <c r="D4924" s="19"/>
      <c r="H4924" s="18"/>
      <c r="J4924" s="18"/>
      <c r="N4924" s="16"/>
      <c r="O4924" s="17"/>
      <c r="Q4924" s="22"/>
      <c r="R4924" s="23"/>
    </row>
    <row r="4925" spans="1:18" ht="12.75">
      <c r="A4925" s="22"/>
      <c r="D4925" s="19"/>
      <c r="H4925" s="18"/>
      <c r="J4925" s="18"/>
      <c r="N4925" s="16"/>
      <c r="O4925" s="17"/>
      <c r="Q4925" s="22"/>
      <c r="R4925" s="23"/>
    </row>
    <row r="4926" spans="1:18" ht="12.75">
      <c r="A4926" s="22"/>
      <c r="D4926" s="19"/>
      <c r="H4926" s="18"/>
      <c r="J4926" s="18"/>
      <c r="N4926" s="16"/>
      <c r="O4926" s="17"/>
      <c r="Q4926" s="22"/>
      <c r="R4926" s="23"/>
    </row>
    <row r="4927" spans="1:18" ht="12.75">
      <c r="A4927" s="22"/>
      <c r="D4927" s="19"/>
      <c r="H4927" s="18"/>
      <c r="J4927" s="18"/>
      <c r="N4927" s="16"/>
      <c r="O4927" s="17"/>
      <c r="Q4927" s="22"/>
      <c r="R4927" s="23"/>
    </row>
    <row r="4928" spans="1:18" ht="12.75">
      <c r="A4928" s="22"/>
      <c r="D4928" s="19"/>
      <c r="H4928" s="18"/>
      <c r="J4928" s="18"/>
      <c r="N4928" s="16"/>
      <c r="O4928" s="17"/>
      <c r="Q4928" s="22"/>
      <c r="R4928" s="23"/>
    </row>
    <row r="4929" spans="1:18" ht="12.75">
      <c r="A4929" s="22"/>
      <c r="D4929" s="19"/>
      <c r="H4929" s="18"/>
      <c r="J4929" s="18"/>
      <c r="N4929" s="16"/>
      <c r="O4929" s="17"/>
      <c r="Q4929" s="22"/>
      <c r="R4929" s="23"/>
    </row>
    <row r="4930" spans="1:18" ht="12.75">
      <c r="A4930" s="22"/>
      <c r="D4930" s="19"/>
      <c r="H4930" s="18"/>
      <c r="J4930" s="18"/>
      <c r="N4930" s="16"/>
      <c r="O4930" s="17"/>
      <c r="Q4930" s="22"/>
      <c r="R4930" s="23"/>
    </row>
    <row r="4931" spans="1:18" ht="12.75">
      <c r="A4931" s="22"/>
      <c r="D4931" s="19"/>
      <c r="H4931" s="18"/>
      <c r="J4931" s="18"/>
      <c r="N4931" s="16"/>
      <c r="O4931" s="17"/>
      <c r="Q4931" s="22"/>
      <c r="R4931" s="23"/>
    </row>
    <row r="4932" spans="1:18" ht="12.75">
      <c r="A4932" s="22"/>
      <c r="D4932" s="19"/>
      <c r="H4932" s="18"/>
      <c r="J4932" s="18"/>
      <c r="N4932" s="16"/>
      <c r="O4932" s="17"/>
      <c r="Q4932" s="22"/>
      <c r="R4932" s="23"/>
    </row>
    <row r="4933" spans="1:18" ht="12.75">
      <c r="A4933" s="22"/>
      <c r="D4933" s="19"/>
      <c r="H4933" s="18"/>
      <c r="J4933" s="18"/>
      <c r="N4933" s="16"/>
      <c r="O4933" s="17"/>
      <c r="Q4933" s="22"/>
      <c r="R4933" s="23"/>
    </row>
    <row r="4934" spans="1:18" ht="12.75">
      <c r="A4934" s="22"/>
      <c r="D4934" s="19"/>
      <c r="H4934" s="18"/>
      <c r="J4934" s="18"/>
      <c r="N4934" s="16"/>
      <c r="O4934" s="17"/>
      <c r="Q4934" s="22"/>
      <c r="R4934" s="23"/>
    </row>
    <row r="4935" spans="1:18" ht="12.75">
      <c r="A4935" s="22"/>
      <c r="D4935" s="19"/>
      <c r="H4935" s="18"/>
      <c r="J4935" s="18"/>
      <c r="N4935" s="16"/>
      <c r="O4935" s="17"/>
      <c r="Q4935" s="22"/>
      <c r="R4935" s="23"/>
    </row>
    <row r="4936" spans="1:18" ht="12.75">
      <c r="A4936" s="22"/>
      <c r="D4936" s="19"/>
      <c r="H4936" s="18"/>
      <c r="J4936" s="18"/>
      <c r="N4936" s="16"/>
      <c r="O4936" s="17"/>
      <c r="Q4936" s="22"/>
      <c r="R4936" s="23"/>
    </row>
    <row r="4937" spans="1:18" ht="12.75">
      <c r="A4937" s="22"/>
      <c r="D4937" s="19"/>
      <c r="H4937" s="18"/>
      <c r="J4937" s="18"/>
      <c r="N4937" s="16"/>
      <c r="O4937" s="17"/>
      <c r="Q4937" s="22"/>
      <c r="R4937" s="23"/>
    </row>
    <row r="4938" spans="1:18" ht="12.75">
      <c r="A4938" s="22"/>
      <c r="D4938" s="19"/>
      <c r="H4938" s="18"/>
      <c r="J4938" s="18"/>
      <c r="N4938" s="16"/>
      <c r="O4938" s="17"/>
      <c r="Q4938" s="22"/>
      <c r="R4938" s="23"/>
    </row>
    <row r="4939" spans="1:18" ht="12.75">
      <c r="A4939" s="22"/>
      <c r="D4939" s="19"/>
      <c r="H4939" s="18"/>
      <c r="J4939" s="18"/>
      <c r="N4939" s="16"/>
      <c r="O4939" s="17"/>
      <c r="Q4939" s="22"/>
      <c r="R4939" s="23"/>
    </row>
    <row r="4940" spans="1:18" ht="12.75">
      <c r="A4940" s="22"/>
      <c r="D4940" s="19"/>
      <c r="H4940" s="18"/>
      <c r="J4940" s="18"/>
      <c r="N4940" s="16"/>
      <c r="O4940" s="17"/>
      <c r="Q4940" s="22"/>
      <c r="R4940" s="23"/>
    </row>
    <row r="4941" spans="1:18" ht="12.75">
      <c r="A4941" s="22"/>
      <c r="D4941" s="19"/>
      <c r="H4941" s="18"/>
      <c r="J4941" s="18"/>
      <c r="N4941" s="16"/>
      <c r="O4941" s="17"/>
      <c r="Q4941" s="22"/>
      <c r="R4941" s="23"/>
    </row>
    <row r="4942" spans="1:18" ht="12.75">
      <c r="A4942" s="22"/>
      <c r="D4942" s="19"/>
      <c r="H4942" s="18"/>
      <c r="J4942" s="18"/>
      <c r="N4942" s="16"/>
      <c r="O4942" s="17"/>
      <c r="Q4942" s="22"/>
      <c r="R4942" s="23"/>
    </row>
    <row r="4943" spans="1:18" ht="12.75">
      <c r="A4943" s="22"/>
      <c r="D4943" s="19"/>
      <c r="H4943" s="18"/>
      <c r="J4943" s="18"/>
      <c r="N4943" s="16"/>
      <c r="O4943" s="17"/>
      <c r="Q4943" s="22"/>
      <c r="R4943" s="23"/>
    </row>
    <row r="4944" spans="1:18" ht="12.75">
      <c r="A4944" s="22"/>
      <c r="D4944" s="19"/>
      <c r="H4944" s="18"/>
      <c r="J4944" s="18"/>
      <c r="N4944" s="16"/>
      <c r="O4944" s="17"/>
      <c r="Q4944" s="22"/>
      <c r="R4944" s="23"/>
    </row>
    <row r="4945" spans="1:18" ht="12.75">
      <c r="A4945" s="22"/>
      <c r="D4945" s="19"/>
      <c r="H4945" s="18"/>
      <c r="J4945" s="18"/>
      <c r="N4945" s="16"/>
      <c r="O4945" s="17"/>
      <c r="Q4945" s="22"/>
      <c r="R4945" s="23"/>
    </row>
    <row r="4946" spans="1:18" ht="12.75">
      <c r="A4946" s="22"/>
      <c r="D4946" s="19"/>
      <c r="H4946" s="18"/>
      <c r="J4946" s="18"/>
      <c r="N4946" s="16"/>
      <c r="O4946" s="17"/>
      <c r="Q4946" s="22"/>
      <c r="R4946" s="23"/>
    </row>
    <row r="4947" spans="1:18" ht="12.75">
      <c r="A4947" s="22"/>
      <c r="D4947" s="19"/>
      <c r="H4947" s="18"/>
      <c r="J4947" s="18"/>
      <c r="N4947" s="16"/>
      <c r="O4947" s="17"/>
      <c r="Q4947" s="22"/>
      <c r="R4947" s="23"/>
    </row>
    <row r="4948" spans="1:18" ht="12.75">
      <c r="A4948" s="22"/>
      <c r="D4948" s="19"/>
      <c r="H4948" s="18"/>
      <c r="J4948" s="18"/>
      <c r="N4948" s="16"/>
      <c r="O4948" s="17"/>
      <c r="Q4948" s="22"/>
      <c r="R4948" s="23"/>
    </row>
    <row r="4949" spans="1:18" ht="12.75">
      <c r="A4949" s="22"/>
      <c r="D4949" s="19"/>
      <c r="H4949" s="18"/>
      <c r="J4949" s="18"/>
      <c r="N4949" s="16"/>
      <c r="O4949" s="17"/>
      <c r="Q4949" s="22"/>
      <c r="R4949" s="23"/>
    </row>
    <row r="4950" spans="1:18" ht="12.75">
      <c r="A4950" s="22"/>
      <c r="D4950" s="19"/>
      <c r="H4950" s="18"/>
      <c r="J4950" s="18"/>
      <c r="N4950" s="16"/>
      <c r="O4950" s="17"/>
      <c r="Q4950" s="22"/>
      <c r="R4950" s="23"/>
    </row>
    <row r="4951" spans="1:18" ht="12.75">
      <c r="A4951" s="22"/>
      <c r="D4951" s="19"/>
      <c r="H4951" s="18"/>
      <c r="J4951" s="18"/>
      <c r="N4951" s="16"/>
      <c r="O4951" s="17"/>
      <c r="Q4951" s="22"/>
      <c r="R4951" s="23"/>
    </row>
    <row r="4952" spans="1:18" ht="12.75">
      <c r="A4952" s="22"/>
      <c r="D4952" s="19"/>
      <c r="H4952" s="18"/>
      <c r="J4952" s="18"/>
      <c r="N4952" s="16"/>
      <c r="O4952" s="17"/>
      <c r="Q4952" s="22"/>
      <c r="R4952" s="23"/>
    </row>
    <row r="4953" spans="1:18" ht="12.75">
      <c r="A4953" s="22"/>
      <c r="D4953" s="19"/>
      <c r="H4953" s="18"/>
      <c r="J4953" s="18"/>
      <c r="N4953" s="16"/>
      <c r="O4953" s="17"/>
      <c r="Q4953" s="22"/>
      <c r="R4953" s="23"/>
    </row>
    <row r="4954" spans="1:18" ht="12.75">
      <c r="A4954" s="22"/>
      <c r="D4954" s="19"/>
      <c r="H4954" s="18"/>
      <c r="J4954" s="18"/>
      <c r="N4954" s="16"/>
      <c r="O4954" s="17"/>
      <c r="Q4954" s="22"/>
      <c r="R4954" s="23"/>
    </row>
    <row r="4955" spans="1:18" ht="12.75">
      <c r="A4955" s="22"/>
      <c r="D4955" s="19"/>
      <c r="H4955" s="18"/>
      <c r="J4955" s="18"/>
      <c r="N4955" s="16"/>
      <c r="O4955" s="17"/>
      <c r="Q4955" s="22"/>
      <c r="R4955" s="23"/>
    </row>
    <row r="4956" spans="1:18" ht="12.75">
      <c r="A4956" s="22"/>
      <c r="D4956" s="19"/>
      <c r="H4956" s="18"/>
      <c r="J4956" s="18"/>
      <c r="N4956" s="16"/>
      <c r="O4956" s="17"/>
      <c r="Q4956" s="22"/>
      <c r="R4956" s="23"/>
    </row>
    <row r="4957" spans="1:18" ht="12.75">
      <c r="A4957" s="22"/>
      <c r="D4957" s="19"/>
      <c r="H4957" s="18"/>
      <c r="J4957" s="18"/>
      <c r="N4957" s="16"/>
      <c r="O4957" s="17"/>
      <c r="Q4957" s="22"/>
      <c r="R4957" s="23"/>
    </row>
    <row r="4958" spans="1:18" ht="12.75">
      <c r="A4958" s="22"/>
      <c r="D4958" s="19"/>
      <c r="H4958" s="18"/>
      <c r="J4958" s="18"/>
      <c r="N4958" s="16"/>
      <c r="O4958" s="17"/>
      <c r="Q4958" s="22"/>
      <c r="R4958" s="23"/>
    </row>
    <row r="4959" spans="1:18" ht="12.75">
      <c r="A4959" s="22"/>
      <c r="D4959" s="19"/>
      <c r="H4959" s="18"/>
      <c r="J4959" s="18"/>
      <c r="N4959" s="16"/>
      <c r="O4959" s="17"/>
      <c r="Q4959" s="22"/>
      <c r="R4959" s="23"/>
    </row>
    <row r="4960" spans="1:18" ht="12.75">
      <c r="A4960" s="22"/>
      <c r="D4960" s="19"/>
      <c r="H4960" s="18"/>
      <c r="J4960" s="18"/>
      <c r="N4960" s="16"/>
      <c r="O4960" s="17"/>
      <c r="Q4960" s="22"/>
      <c r="R4960" s="23"/>
    </row>
    <row r="4961" spans="1:18" ht="12.75">
      <c r="A4961" s="22"/>
      <c r="D4961" s="19"/>
      <c r="H4961" s="18"/>
      <c r="J4961" s="18"/>
      <c r="N4961" s="16"/>
      <c r="O4961" s="17"/>
      <c r="Q4961" s="22"/>
      <c r="R4961" s="23"/>
    </row>
    <row r="4962" spans="1:18" ht="12.75">
      <c r="A4962" s="22"/>
      <c r="D4962" s="19"/>
      <c r="H4962" s="18"/>
      <c r="J4962" s="18"/>
      <c r="N4962" s="16"/>
      <c r="O4962" s="17"/>
      <c r="Q4962" s="22"/>
      <c r="R4962" s="23"/>
    </row>
    <row r="4963" spans="1:18" ht="12.75">
      <c r="A4963" s="22"/>
      <c r="D4963" s="19"/>
      <c r="H4963" s="18"/>
      <c r="J4963" s="18"/>
      <c r="N4963" s="16"/>
      <c r="O4963" s="17"/>
      <c r="Q4963" s="22"/>
      <c r="R4963" s="23"/>
    </row>
    <row r="4964" spans="1:18" ht="12.75">
      <c r="A4964" s="22"/>
      <c r="D4964" s="19"/>
      <c r="H4964" s="18"/>
      <c r="J4964" s="18"/>
      <c r="N4964" s="16"/>
      <c r="O4964" s="17"/>
      <c r="Q4964" s="22"/>
      <c r="R4964" s="23"/>
    </row>
    <row r="4965" spans="1:18" ht="12.75">
      <c r="A4965" s="22"/>
      <c r="D4965" s="19"/>
      <c r="H4965" s="18"/>
      <c r="J4965" s="18"/>
      <c r="N4965" s="16"/>
      <c r="O4965" s="17"/>
      <c r="Q4965" s="22"/>
      <c r="R4965" s="23"/>
    </row>
    <row r="4966" spans="1:18" ht="12.75">
      <c r="A4966" s="22"/>
      <c r="D4966" s="19"/>
      <c r="H4966" s="18"/>
      <c r="J4966" s="18"/>
      <c r="N4966" s="16"/>
      <c r="O4966" s="17"/>
      <c r="Q4966" s="22"/>
      <c r="R4966" s="23"/>
    </row>
    <row r="4967" spans="1:18" ht="12.75">
      <c r="A4967" s="22"/>
      <c r="D4967" s="19"/>
      <c r="H4967" s="18"/>
      <c r="J4967" s="18"/>
      <c r="N4967" s="16"/>
      <c r="O4967" s="17"/>
      <c r="Q4967" s="22"/>
      <c r="R4967" s="23"/>
    </row>
    <row r="4968" spans="1:18" ht="12.75">
      <c r="A4968" s="22"/>
      <c r="D4968" s="19"/>
      <c r="H4968" s="18"/>
      <c r="J4968" s="18"/>
      <c r="N4968" s="16"/>
      <c r="O4968" s="17"/>
      <c r="Q4968" s="22"/>
      <c r="R4968" s="23"/>
    </row>
    <row r="4969" spans="1:18" ht="12.75">
      <c r="A4969" s="22"/>
      <c r="D4969" s="19"/>
      <c r="H4969" s="18"/>
      <c r="J4969" s="18"/>
      <c r="N4969" s="16"/>
      <c r="O4969" s="17"/>
      <c r="Q4969" s="22"/>
      <c r="R4969" s="23"/>
    </row>
    <row r="4970" spans="1:18" ht="12.75">
      <c r="A4970" s="22"/>
      <c r="D4970" s="19"/>
      <c r="H4970" s="18"/>
      <c r="J4970" s="18"/>
      <c r="N4970" s="16"/>
      <c r="O4970" s="17"/>
      <c r="Q4970" s="22"/>
      <c r="R4970" s="23"/>
    </row>
    <row r="4971" spans="1:18" ht="12.75">
      <c r="A4971" s="22"/>
      <c r="D4971" s="19"/>
      <c r="H4971" s="18"/>
      <c r="J4971" s="18"/>
      <c r="N4971" s="16"/>
      <c r="O4971" s="17"/>
      <c r="Q4971" s="22"/>
      <c r="R4971" s="23"/>
    </row>
    <row r="4972" spans="1:18" ht="12.75">
      <c r="A4972" s="22"/>
      <c r="D4972" s="19"/>
      <c r="H4972" s="18"/>
      <c r="J4972" s="18"/>
      <c r="N4972" s="16"/>
      <c r="O4972" s="17"/>
      <c r="Q4972" s="22"/>
      <c r="R4972" s="23"/>
    </row>
    <row r="4973" spans="1:18" ht="12.75">
      <c r="A4973" s="22"/>
      <c r="D4973" s="19"/>
      <c r="H4973" s="18"/>
      <c r="J4973" s="18"/>
      <c r="N4973" s="16"/>
      <c r="O4973" s="17"/>
      <c r="Q4973" s="22"/>
      <c r="R4973" s="23"/>
    </row>
    <row r="4974" spans="1:18" ht="12.75">
      <c r="A4974" s="22"/>
      <c r="D4974" s="19"/>
      <c r="H4974" s="18"/>
      <c r="J4974" s="18"/>
      <c r="N4974" s="16"/>
      <c r="O4974" s="17"/>
      <c r="Q4974" s="22"/>
      <c r="R4974" s="23"/>
    </row>
    <row r="4975" spans="1:18" ht="12.75">
      <c r="A4975" s="22"/>
      <c r="D4975" s="19"/>
      <c r="H4975" s="18"/>
      <c r="J4975" s="18"/>
      <c r="N4975" s="16"/>
      <c r="O4975" s="17"/>
      <c r="Q4975" s="22"/>
      <c r="R4975" s="23"/>
    </row>
    <row r="4976" spans="1:18" ht="12.75">
      <c r="A4976" s="22"/>
      <c r="D4976" s="19"/>
      <c r="H4976" s="18"/>
      <c r="J4976" s="18"/>
      <c r="N4976" s="16"/>
      <c r="O4976" s="17"/>
      <c r="Q4976" s="22"/>
      <c r="R4976" s="23"/>
    </row>
    <row r="4977" spans="1:18" ht="12.75">
      <c r="A4977" s="22"/>
      <c r="D4977" s="19"/>
      <c r="H4977" s="18"/>
      <c r="J4977" s="18"/>
      <c r="N4977" s="16"/>
      <c r="O4977" s="17"/>
      <c r="Q4977" s="22"/>
      <c r="R4977" s="23"/>
    </row>
    <row r="4978" spans="1:18" ht="12.75">
      <c r="A4978" s="22"/>
      <c r="D4978" s="19"/>
      <c r="H4978" s="18"/>
      <c r="J4978" s="18"/>
      <c r="N4978" s="16"/>
      <c r="O4978" s="17"/>
      <c r="Q4978" s="22"/>
      <c r="R4978" s="23"/>
    </row>
    <row r="4979" spans="1:18" ht="12.75">
      <c r="A4979" s="22"/>
      <c r="D4979" s="19"/>
      <c r="H4979" s="18"/>
      <c r="J4979" s="18"/>
      <c r="N4979" s="16"/>
      <c r="O4979" s="17"/>
      <c r="Q4979" s="22"/>
      <c r="R4979" s="23"/>
    </row>
    <row r="4980" spans="1:18" ht="12.75">
      <c r="A4980" s="22"/>
      <c r="D4980" s="19"/>
      <c r="H4980" s="18"/>
      <c r="J4980" s="18"/>
      <c r="N4980" s="16"/>
      <c r="O4980" s="17"/>
      <c r="Q4980" s="22"/>
      <c r="R4980" s="23"/>
    </row>
    <row r="4981" spans="1:18" ht="12.75">
      <c r="A4981" s="22"/>
      <c r="D4981" s="19"/>
      <c r="H4981" s="18"/>
      <c r="J4981" s="18"/>
      <c r="N4981" s="16"/>
      <c r="O4981" s="17"/>
      <c r="Q4981" s="22"/>
      <c r="R4981" s="23"/>
    </row>
    <row r="4982" spans="1:18" ht="12.75">
      <c r="A4982" s="22"/>
      <c r="D4982" s="19"/>
      <c r="H4982" s="18"/>
      <c r="J4982" s="18"/>
      <c r="N4982" s="16"/>
      <c r="O4982" s="17"/>
      <c r="Q4982" s="22"/>
      <c r="R4982" s="23"/>
    </row>
    <row r="4983" spans="1:18" ht="12.75">
      <c r="A4983" s="22"/>
      <c r="D4983" s="19"/>
      <c r="H4983" s="18"/>
      <c r="J4983" s="18"/>
      <c r="N4983" s="16"/>
      <c r="O4983" s="17"/>
      <c r="Q4983" s="22"/>
      <c r="R4983" s="23"/>
    </row>
    <row r="4984" spans="1:18" ht="12.75">
      <c r="A4984" s="22"/>
      <c r="D4984" s="19"/>
      <c r="H4984" s="18"/>
      <c r="J4984" s="18"/>
      <c r="N4984" s="16"/>
      <c r="O4984" s="17"/>
      <c r="Q4984" s="22"/>
      <c r="R4984" s="23"/>
    </row>
    <row r="4985" spans="1:18" ht="12.75">
      <c r="A4985" s="22"/>
      <c r="D4985" s="19"/>
      <c r="H4985" s="18"/>
      <c r="J4985" s="18"/>
      <c r="N4985" s="16"/>
      <c r="O4985" s="17"/>
      <c r="Q4985" s="22"/>
      <c r="R4985" s="23"/>
    </row>
    <row r="4986" spans="1:18" ht="12.75">
      <c r="A4986" s="22"/>
      <c r="D4986" s="19"/>
      <c r="H4986" s="18"/>
      <c r="J4986" s="18"/>
      <c r="N4986" s="16"/>
      <c r="O4986" s="17"/>
      <c r="Q4986" s="22"/>
      <c r="R4986" s="23"/>
    </row>
    <row r="4987" spans="1:18" ht="12.75">
      <c r="A4987" s="22"/>
      <c r="D4987" s="19"/>
      <c r="H4987" s="18"/>
      <c r="J4987" s="18"/>
      <c r="N4987" s="16"/>
      <c r="O4987" s="17"/>
      <c r="Q4987" s="22"/>
      <c r="R4987" s="23"/>
    </row>
    <row r="4988" spans="1:18" ht="12.75">
      <c r="A4988" s="22"/>
      <c r="D4988" s="19"/>
      <c r="H4988" s="18"/>
      <c r="J4988" s="18"/>
      <c r="N4988" s="16"/>
      <c r="O4988" s="17"/>
      <c r="Q4988" s="22"/>
      <c r="R4988" s="23"/>
    </row>
    <row r="4989" spans="1:18" ht="12.75">
      <c r="A4989" s="22"/>
      <c r="D4989" s="19"/>
      <c r="H4989" s="18"/>
      <c r="J4989" s="18"/>
      <c r="N4989" s="16"/>
      <c r="O4989" s="17"/>
      <c r="Q4989" s="22"/>
      <c r="R4989" s="23"/>
    </row>
    <row r="4990" spans="1:18" ht="12.75">
      <c r="A4990" s="22"/>
      <c r="D4990" s="19"/>
      <c r="H4990" s="18"/>
      <c r="J4990" s="18"/>
      <c r="N4990" s="16"/>
      <c r="O4990" s="17"/>
      <c r="Q4990" s="22"/>
      <c r="R4990" s="23"/>
    </row>
    <row r="4991" spans="1:18" ht="12.75">
      <c r="A4991" s="22"/>
      <c r="D4991" s="19"/>
      <c r="H4991" s="18"/>
      <c r="J4991" s="18"/>
      <c r="N4991" s="16"/>
      <c r="O4991" s="17"/>
      <c r="Q4991" s="22"/>
      <c r="R4991" s="23"/>
    </row>
    <row r="4992" spans="1:18" ht="12.75">
      <c r="A4992" s="22"/>
      <c r="D4992" s="19"/>
      <c r="H4992" s="18"/>
      <c r="J4992" s="18"/>
      <c r="N4992" s="16"/>
      <c r="O4992" s="17"/>
      <c r="Q4992" s="22"/>
      <c r="R4992" s="23"/>
    </row>
    <row r="4993" spans="1:18" ht="12.75">
      <c r="A4993" s="22"/>
      <c r="D4993" s="19"/>
      <c r="H4993" s="18"/>
      <c r="J4993" s="18"/>
      <c r="N4993" s="16"/>
      <c r="O4993" s="17"/>
      <c r="Q4993" s="22"/>
      <c r="R4993" s="23"/>
    </row>
    <row r="4994" spans="1:18" ht="12.75">
      <c r="A4994" s="22"/>
      <c r="D4994" s="19"/>
      <c r="H4994" s="18"/>
      <c r="J4994" s="18"/>
      <c r="N4994" s="16"/>
      <c r="O4994" s="17"/>
      <c r="Q4994" s="22"/>
      <c r="R4994" s="23"/>
    </row>
    <row r="4995" spans="1:18" ht="12.75">
      <c r="A4995" s="22"/>
      <c r="D4995" s="19"/>
      <c r="H4995" s="18"/>
      <c r="J4995" s="18"/>
      <c r="N4995" s="16"/>
      <c r="O4995" s="17"/>
      <c r="Q4995" s="22"/>
      <c r="R4995" s="23"/>
    </row>
    <row r="4996" spans="1:18" ht="12.75">
      <c r="A4996" s="22"/>
      <c r="D4996" s="19"/>
      <c r="H4996" s="18"/>
      <c r="J4996" s="18"/>
      <c r="N4996" s="16"/>
      <c r="O4996" s="17"/>
      <c r="Q4996" s="22"/>
      <c r="R4996" s="23"/>
    </row>
    <row r="4997" spans="1:18" ht="12.75">
      <c r="A4997" s="22"/>
      <c r="D4997" s="19"/>
      <c r="H4997" s="18"/>
      <c r="J4997" s="18"/>
      <c r="N4997" s="16"/>
      <c r="O4997" s="17"/>
      <c r="Q4997" s="22"/>
      <c r="R4997" s="23"/>
    </row>
    <row r="4998" spans="1:18" ht="12.75">
      <c r="A4998" s="22"/>
      <c r="D4998" s="19"/>
      <c r="H4998" s="18"/>
      <c r="J4998" s="18"/>
      <c r="N4998" s="16"/>
      <c r="O4998" s="17"/>
      <c r="Q4998" s="22"/>
      <c r="R4998" s="23"/>
    </row>
    <row r="4999" spans="1:18" ht="12.75">
      <c r="A4999" s="22"/>
      <c r="D4999" s="19"/>
      <c r="H4999" s="18"/>
      <c r="J4999" s="18"/>
      <c r="N4999" s="16"/>
      <c r="O4999" s="17"/>
      <c r="Q4999" s="22"/>
      <c r="R4999" s="23"/>
    </row>
    <row r="5000" spans="1:18" ht="12.75">
      <c r="A5000" s="22"/>
      <c r="D5000" s="19"/>
      <c r="H5000" s="18"/>
      <c r="J5000" s="18"/>
      <c r="N5000" s="16"/>
      <c r="O5000" s="17"/>
      <c r="Q5000" s="22"/>
      <c r="R5000" s="23"/>
    </row>
    <row r="5001" spans="1:18" ht="12.75">
      <c r="A5001" s="22"/>
      <c r="D5001" s="19"/>
      <c r="H5001" s="18"/>
      <c r="J5001" s="18"/>
      <c r="N5001" s="16"/>
      <c r="O5001" s="17"/>
      <c r="Q5001" s="22"/>
      <c r="R5001" s="23"/>
    </row>
    <row r="5002" spans="1:18" ht="12.75">
      <c r="A5002" s="22"/>
      <c r="D5002" s="19"/>
      <c r="H5002" s="18"/>
      <c r="J5002" s="18"/>
      <c r="N5002" s="16"/>
      <c r="O5002" s="17"/>
      <c r="Q5002" s="22"/>
      <c r="R5002" s="23"/>
    </row>
    <row r="5003" spans="1:18" ht="12.75">
      <c r="A5003" s="22"/>
      <c r="D5003" s="19"/>
      <c r="H5003" s="18"/>
      <c r="J5003" s="18"/>
      <c r="N5003" s="16"/>
      <c r="O5003" s="17"/>
      <c r="Q5003" s="22"/>
      <c r="R5003" s="23"/>
    </row>
    <row r="5004" spans="1:18" ht="12.75">
      <c r="A5004" s="22"/>
      <c r="D5004" s="19"/>
      <c r="H5004" s="18"/>
      <c r="J5004" s="18"/>
      <c r="N5004" s="16"/>
      <c r="O5004" s="17"/>
      <c r="Q5004" s="22"/>
      <c r="R5004" s="23"/>
    </row>
    <row r="5005" spans="1:18" ht="12.75">
      <c r="A5005" s="22"/>
      <c r="D5005" s="19"/>
      <c r="H5005" s="18"/>
      <c r="J5005" s="18"/>
      <c r="N5005" s="16"/>
      <c r="O5005" s="17"/>
      <c r="Q5005" s="22"/>
      <c r="R5005" s="23"/>
    </row>
    <row r="5006" spans="1:18" ht="12.75">
      <c r="A5006" s="22"/>
      <c r="D5006" s="19"/>
      <c r="H5006" s="18"/>
      <c r="J5006" s="18"/>
      <c r="N5006" s="16"/>
      <c r="O5006" s="17"/>
      <c r="Q5006" s="22"/>
      <c r="R5006" s="23"/>
    </row>
    <row r="5007" spans="1:18" ht="12.75">
      <c r="A5007" s="22"/>
      <c r="D5007" s="19"/>
      <c r="H5007" s="18"/>
      <c r="J5007" s="18"/>
      <c r="N5007" s="16"/>
      <c r="O5007" s="17"/>
      <c r="Q5007" s="22"/>
      <c r="R5007" s="23"/>
    </row>
    <row r="5008" spans="1:18" ht="12.75">
      <c r="A5008" s="22"/>
      <c r="D5008" s="19"/>
      <c r="H5008" s="18"/>
      <c r="J5008" s="18"/>
      <c r="N5008" s="16"/>
      <c r="O5008" s="17"/>
      <c r="Q5008" s="22"/>
      <c r="R5008" s="23"/>
    </row>
    <row r="5009" spans="1:18" ht="12.75">
      <c r="A5009" s="22"/>
      <c r="D5009" s="19"/>
      <c r="H5009" s="18"/>
      <c r="J5009" s="18"/>
      <c r="N5009" s="16"/>
      <c r="O5009" s="17"/>
      <c r="Q5009" s="22"/>
      <c r="R5009" s="23"/>
    </row>
    <row r="5010" spans="1:18" ht="12.75">
      <c r="A5010" s="22"/>
      <c r="D5010" s="19"/>
      <c r="H5010" s="18"/>
      <c r="J5010" s="18"/>
      <c r="N5010" s="16"/>
      <c r="O5010" s="17"/>
      <c r="Q5010" s="22"/>
      <c r="R5010" s="23"/>
    </row>
    <row r="5011" spans="1:18" ht="12.75">
      <c r="A5011" s="22"/>
      <c r="D5011" s="19"/>
      <c r="H5011" s="18"/>
      <c r="J5011" s="18"/>
      <c r="N5011" s="16"/>
      <c r="O5011" s="17"/>
      <c r="Q5011" s="22"/>
      <c r="R5011" s="23"/>
    </row>
    <row r="5012" spans="1:18" ht="12.75">
      <c r="A5012" s="22"/>
      <c r="D5012" s="19"/>
      <c r="H5012" s="18"/>
      <c r="J5012" s="18"/>
      <c r="N5012" s="16"/>
      <c r="O5012" s="17"/>
      <c r="Q5012" s="22"/>
      <c r="R5012" s="23"/>
    </row>
    <row r="5013" spans="1:18" ht="12.75">
      <c r="A5013" s="22"/>
      <c r="D5013" s="19"/>
      <c r="H5013" s="18"/>
      <c r="J5013" s="18"/>
      <c r="N5013" s="16"/>
      <c r="O5013" s="17"/>
      <c r="Q5013" s="22"/>
      <c r="R5013" s="23"/>
    </row>
    <row r="5014" spans="1:18" ht="12.75">
      <c r="A5014" s="22"/>
      <c r="D5014" s="19"/>
      <c r="H5014" s="18"/>
      <c r="J5014" s="18"/>
      <c r="N5014" s="16"/>
      <c r="O5014" s="17"/>
      <c r="Q5014" s="22"/>
      <c r="R5014" s="23"/>
    </row>
    <row r="5015" spans="1:18" ht="12.75">
      <c r="A5015" s="22"/>
      <c r="D5015" s="19"/>
      <c r="H5015" s="18"/>
      <c r="J5015" s="18"/>
      <c r="N5015" s="16"/>
      <c r="O5015" s="17"/>
      <c r="Q5015" s="22"/>
      <c r="R5015" s="23"/>
    </row>
    <row r="5016" spans="1:18" ht="12.75">
      <c r="A5016" s="22"/>
      <c r="D5016" s="19"/>
      <c r="H5016" s="18"/>
      <c r="J5016" s="18"/>
      <c r="N5016" s="16"/>
      <c r="O5016" s="17"/>
      <c r="Q5016" s="22"/>
      <c r="R5016" s="23"/>
    </row>
    <row r="5017" spans="1:18" ht="12.75">
      <c r="A5017" s="22"/>
      <c r="D5017" s="19"/>
      <c r="H5017" s="18"/>
      <c r="J5017" s="18"/>
      <c r="N5017" s="16"/>
      <c r="O5017" s="17"/>
      <c r="Q5017" s="22"/>
      <c r="R5017" s="23"/>
    </row>
    <row r="5018" spans="1:18" ht="12.75">
      <c r="A5018" s="22"/>
      <c r="D5018" s="19"/>
      <c r="H5018" s="18"/>
      <c r="J5018" s="18"/>
      <c r="N5018" s="16"/>
      <c r="O5018" s="17"/>
      <c r="Q5018" s="22"/>
      <c r="R5018" s="23"/>
    </row>
    <row r="5019" spans="1:18" ht="12.75">
      <c r="A5019" s="22"/>
      <c r="D5019" s="19"/>
      <c r="H5019" s="18"/>
      <c r="J5019" s="18"/>
      <c r="N5019" s="16"/>
      <c r="O5019" s="17"/>
      <c r="Q5019" s="22"/>
      <c r="R5019" s="23"/>
    </row>
    <row r="5020" spans="1:18" ht="12.75">
      <c r="A5020" s="22"/>
      <c r="D5020" s="19"/>
      <c r="H5020" s="18"/>
      <c r="J5020" s="18"/>
      <c r="N5020" s="16"/>
      <c r="O5020" s="17"/>
      <c r="Q5020" s="22"/>
      <c r="R5020" s="23"/>
    </row>
    <row r="5021" spans="1:18" ht="12.75">
      <c r="A5021" s="22"/>
      <c r="D5021" s="19"/>
      <c r="H5021" s="18"/>
      <c r="J5021" s="18"/>
      <c r="N5021" s="16"/>
      <c r="O5021" s="17"/>
      <c r="Q5021" s="22"/>
      <c r="R5021" s="23"/>
    </row>
    <row r="5022" spans="1:18" ht="12.75">
      <c r="A5022" s="22"/>
      <c r="D5022" s="19"/>
      <c r="H5022" s="18"/>
      <c r="J5022" s="18"/>
      <c r="N5022" s="16"/>
      <c r="O5022" s="17"/>
      <c r="Q5022" s="22"/>
      <c r="R5022" s="23"/>
    </row>
    <row r="5023" spans="1:18" ht="12.75">
      <c r="A5023" s="22"/>
      <c r="D5023" s="19"/>
      <c r="H5023" s="18"/>
      <c r="J5023" s="18"/>
      <c r="N5023" s="16"/>
      <c r="O5023" s="17"/>
      <c r="Q5023" s="22"/>
      <c r="R5023" s="23"/>
    </row>
    <row r="5024" spans="1:18" ht="12.75">
      <c r="A5024" s="22"/>
      <c r="D5024" s="19"/>
      <c r="H5024" s="18"/>
      <c r="J5024" s="18"/>
      <c r="N5024" s="16"/>
      <c r="O5024" s="17"/>
      <c r="Q5024" s="22"/>
      <c r="R5024" s="23"/>
    </row>
    <row r="5025" spans="1:18" ht="12.75">
      <c r="A5025" s="22"/>
      <c r="D5025" s="19"/>
      <c r="H5025" s="18"/>
      <c r="J5025" s="18"/>
      <c r="N5025" s="16"/>
      <c r="O5025" s="17"/>
      <c r="Q5025" s="22"/>
      <c r="R5025" s="23"/>
    </row>
    <row r="5026" spans="1:18" ht="12.75">
      <c r="A5026" s="22"/>
      <c r="D5026" s="19"/>
      <c r="H5026" s="18"/>
      <c r="J5026" s="18"/>
      <c r="N5026" s="16"/>
      <c r="O5026" s="17"/>
      <c r="Q5026" s="22"/>
      <c r="R5026" s="23"/>
    </row>
    <row r="5027" spans="1:18" ht="12.75">
      <c r="A5027" s="22"/>
      <c r="D5027" s="19"/>
      <c r="H5027" s="18"/>
      <c r="J5027" s="18"/>
      <c r="N5027" s="16"/>
      <c r="O5027" s="17"/>
      <c r="Q5027" s="22"/>
      <c r="R5027" s="23"/>
    </row>
    <row r="5028" spans="1:18" ht="12.75">
      <c r="A5028" s="22"/>
      <c r="D5028" s="19"/>
      <c r="H5028" s="18"/>
      <c r="J5028" s="18"/>
      <c r="N5028" s="16"/>
      <c r="O5028" s="17"/>
      <c r="Q5028" s="22"/>
      <c r="R5028" s="23"/>
    </row>
    <row r="5029" spans="1:18" ht="12.75">
      <c r="A5029" s="22"/>
      <c r="D5029" s="19"/>
      <c r="H5029" s="18"/>
      <c r="J5029" s="18"/>
      <c r="N5029" s="16"/>
      <c r="O5029" s="17"/>
      <c r="Q5029" s="22"/>
      <c r="R5029" s="23"/>
    </row>
    <row r="5030" spans="1:18" ht="12.75">
      <c r="A5030" s="22"/>
      <c r="D5030" s="19"/>
      <c r="H5030" s="18"/>
      <c r="J5030" s="18"/>
      <c r="N5030" s="16"/>
      <c r="O5030" s="17"/>
      <c r="Q5030" s="22"/>
      <c r="R5030" s="23"/>
    </row>
    <row r="5031" spans="1:18" ht="12.75">
      <c r="A5031" s="22"/>
      <c r="D5031" s="19"/>
      <c r="H5031" s="18"/>
      <c r="J5031" s="18"/>
      <c r="N5031" s="16"/>
      <c r="O5031" s="17"/>
      <c r="Q5031" s="22"/>
      <c r="R5031" s="23"/>
    </row>
    <row r="5032" spans="1:18" ht="12.75">
      <c r="A5032" s="22"/>
      <c r="D5032" s="19"/>
      <c r="H5032" s="18"/>
      <c r="J5032" s="18"/>
      <c r="N5032" s="16"/>
      <c r="O5032" s="17"/>
      <c r="Q5032" s="22"/>
      <c r="R5032" s="23"/>
    </row>
    <row r="5033" spans="1:18" ht="12.75">
      <c r="A5033" s="22"/>
      <c r="D5033" s="19"/>
      <c r="H5033" s="18"/>
      <c r="J5033" s="18"/>
      <c r="N5033" s="16"/>
      <c r="O5033" s="17"/>
      <c r="Q5033" s="22"/>
      <c r="R5033" s="23"/>
    </row>
    <row r="5034" spans="1:18" ht="12.75">
      <c r="A5034" s="22"/>
      <c r="D5034" s="19"/>
      <c r="H5034" s="18"/>
      <c r="J5034" s="18"/>
      <c r="N5034" s="16"/>
      <c r="O5034" s="17"/>
      <c r="Q5034" s="22"/>
      <c r="R5034" s="23"/>
    </row>
    <row r="5035" spans="1:18" ht="12.75">
      <c r="A5035" s="22"/>
      <c r="D5035" s="19"/>
      <c r="H5035" s="18"/>
      <c r="J5035" s="18"/>
      <c r="N5035" s="16"/>
      <c r="O5035" s="17"/>
      <c r="Q5035" s="22"/>
      <c r="R5035" s="23"/>
    </row>
    <row r="5036" spans="1:18" ht="12.75">
      <c r="A5036" s="22"/>
      <c r="D5036" s="19"/>
      <c r="H5036" s="18"/>
      <c r="J5036" s="18"/>
      <c r="N5036" s="16"/>
      <c r="O5036" s="17"/>
      <c r="Q5036" s="22"/>
      <c r="R5036" s="23"/>
    </row>
    <row r="5037" spans="1:18" ht="12.75">
      <c r="A5037" s="22"/>
      <c r="D5037" s="19"/>
      <c r="H5037" s="18"/>
      <c r="J5037" s="18"/>
      <c r="N5037" s="16"/>
      <c r="O5037" s="17"/>
      <c r="Q5037" s="22"/>
      <c r="R5037" s="23"/>
    </row>
    <row r="5038" spans="1:18" ht="12.75">
      <c r="A5038" s="22"/>
      <c r="D5038" s="19"/>
      <c r="H5038" s="18"/>
      <c r="J5038" s="18"/>
      <c r="N5038" s="16"/>
      <c r="O5038" s="17"/>
      <c r="Q5038" s="22"/>
      <c r="R5038" s="23"/>
    </row>
    <row r="5039" spans="1:18" ht="12.75">
      <c r="A5039" s="22"/>
      <c r="D5039" s="19"/>
      <c r="H5039" s="18"/>
      <c r="J5039" s="18"/>
      <c r="N5039" s="16"/>
      <c r="O5039" s="17"/>
      <c r="Q5039" s="22"/>
      <c r="R5039" s="23"/>
    </row>
    <row r="5040" spans="1:18" ht="12.75">
      <c r="A5040" s="22"/>
      <c r="D5040" s="19"/>
      <c r="H5040" s="18"/>
      <c r="J5040" s="18"/>
      <c r="N5040" s="16"/>
      <c r="O5040" s="17"/>
      <c r="Q5040" s="22"/>
      <c r="R5040" s="23"/>
    </row>
    <row r="5041" spans="1:18" ht="12.75">
      <c r="A5041" s="22"/>
      <c r="D5041" s="19"/>
      <c r="H5041" s="18"/>
      <c r="J5041" s="18"/>
      <c r="N5041" s="16"/>
      <c r="O5041" s="17"/>
      <c r="Q5041" s="22"/>
      <c r="R5041" s="23"/>
    </row>
    <row r="5042" spans="1:18" ht="12.75">
      <c r="A5042" s="22"/>
      <c r="D5042" s="19"/>
      <c r="H5042" s="18"/>
      <c r="J5042" s="18"/>
      <c r="N5042" s="16"/>
      <c r="O5042" s="17"/>
      <c r="Q5042" s="22"/>
      <c r="R5042" s="23"/>
    </row>
    <row r="5043" spans="1:18" ht="12.75">
      <c r="A5043" s="22"/>
      <c r="D5043" s="19"/>
      <c r="H5043" s="18"/>
      <c r="J5043" s="18"/>
      <c r="N5043" s="16"/>
      <c r="O5043" s="17"/>
      <c r="Q5043" s="22"/>
      <c r="R5043" s="23"/>
    </row>
    <row r="5044" spans="1:18" ht="12.75">
      <c r="A5044" s="22"/>
      <c r="D5044" s="19"/>
      <c r="H5044" s="18"/>
      <c r="J5044" s="18"/>
      <c r="N5044" s="16"/>
      <c r="O5044" s="17"/>
      <c r="Q5044" s="22"/>
      <c r="R5044" s="23"/>
    </row>
    <row r="5045" spans="1:18" ht="12.75">
      <c r="A5045" s="22"/>
      <c r="D5045" s="19"/>
      <c r="H5045" s="18"/>
      <c r="J5045" s="18"/>
      <c r="N5045" s="16"/>
      <c r="O5045" s="17"/>
      <c r="Q5045" s="22"/>
      <c r="R5045" s="23"/>
    </row>
    <row r="5046" spans="1:18" ht="12.75">
      <c r="A5046" s="22"/>
      <c r="D5046" s="19"/>
      <c r="H5046" s="18"/>
      <c r="J5046" s="18"/>
      <c r="N5046" s="16"/>
      <c r="O5046" s="17"/>
      <c r="Q5046" s="22"/>
      <c r="R5046" s="23"/>
    </row>
    <row r="5047" spans="1:18" ht="12.75">
      <c r="A5047" s="22"/>
      <c r="D5047" s="19"/>
      <c r="H5047" s="18"/>
      <c r="J5047" s="18"/>
      <c r="N5047" s="16"/>
      <c r="O5047" s="17"/>
      <c r="Q5047" s="22"/>
      <c r="R5047" s="23"/>
    </row>
    <row r="5048" spans="1:18" ht="12.75">
      <c r="A5048" s="22"/>
      <c r="D5048" s="19"/>
      <c r="H5048" s="18"/>
      <c r="J5048" s="18"/>
      <c r="N5048" s="16"/>
      <c r="O5048" s="17"/>
      <c r="Q5048" s="22"/>
      <c r="R5048" s="23"/>
    </row>
    <row r="5049" spans="1:18" ht="12.75">
      <c r="A5049" s="22"/>
      <c r="D5049" s="19"/>
      <c r="H5049" s="18"/>
      <c r="J5049" s="18"/>
      <c r="N5049" s="16"/>
      <c r="O5049" s="17"/>
      <c r="Q5049" s="22"/>
      <c r="R5049" s="23"/>
    </row>
    <row r="5050" spans="1:18" ht="12.75">
      <c r="A5050" s="22"/>
      <c r="D5050" s="19"/>
      <c r="H5050" s="18"/>
      <c r="J5050" s="18"/>
      <c r="N5050" s="16"/>
      <c r="O5050" s="17"/>
      <c r="Q5050" s="22"/>
      <c r="R5050" s="23"/>
    </row>
    <row r="5051" spans="1:18" ht="12.75">
      <c r="A5051" s="22"/>
      <c r="D5051" s="19"/>
      <c r="H5051" s="18"/>
      <c r="J5051" s="18"/>
      <c r="N5051" s="16"/>
      <c r="O5051" s="17"/>
      <c r="Q5051" s="22"/>
      <c r="R5051" s="23"/>
    </row>
    <row r="5052" spans="1:18" ht="12.75">
      <c r="A5052" s="22"/>
      <c r="D5052" s="19"/>
      <c r="H5052" s="18"/>
      <c r="J5052" s="18"/>
      <c r="N5052" s="16"/>
      <c r="O5052" s="17"/>
      <c r="Q5052" s="22"/>
      <c r="R5052" s="23"/>
    </row>
    <row r="5053" spans="1:18" ht="12.75">
      <c r="A5053" s="22"/>
      <c r="D5053" s="19"/>
      <c r="H5053" s="18"/>
      <c r="J5053" s="18"/>
      <c r="N5053" s="16"/>
      <c r="O5053" s="17"/>
      <c r="Q5053" s="22"/>
      <c r="R5053" s="23"/>
    </row>
    <row r="5054" spans="1:18" ht="12.75">
      <c r="A5054" s="22"/>
      <c r="D5054" s="19"/>
      <c r="H5054" s="18"/>
      <c r="J5054" s="18"/>
      <c r="N5054" s="16"/>
      <c r="O5054" s="17"/>
      <c r="Q5054" s="22"/>
      <c r="R5054" s="23"/>
    </row>
    <row r="5055" spans="1:18" ht="12.75">
      <c r="A5055" s="22"/>
      <c r="D5055" s="19"/>
      <c r="H5055" s="18"/>
      <c r="J5055" s="18"/>
      <c r="N5055" s="16"/>
      <c r="O5055" s="17"/>
      <c r="Q5055" s="22"/>
      <c r="R5055" s="23"/>
    </row>
    <row r="5056" spans="1:18" ht="12.75">
      <c r="A5056" s="22"/>
      <c r="D5056" s="19"/>
      <c r="H5056" s="18"/>
      <c r="J5056" s="18"/>
      <c r="N5056" s="16"/>
      <c r="O5056" s="17"/>
      <c r="Q5056" s="22"/>
      <c r="R5056" s="23"/>
    </row>
    <row r="5057" spans="1:18" ht="12.75">
      <c r="A5057" s="22"/>
      <c r="D5057" s="19"/>
      <c r="H5057" s="18"/>
      <c r="J5057" s="18"/>
      <c r="N5057" s="16"/>
      <c r="O5057" s="17"/>
      <c r="Q5057" s="22"/>
      <c r="R5057" s="23"/>
    </row>
    <row r="5058" spans="1:18" ht="12.75">
      <c r="A5058" s="22"/>
      <c r="D5058" s="19"/>
      <c r="H5058" s="18"/>
      <c r="J5058" s="18"/>
      <c r="N5058" s="16"/>
      <c r="O5058" s="17"/>
      <c r="Q5058" s="22"/>
      <c r="R5058" s="23"/>
    </row>
    <row r="5059" spans="1:18" ht="12.75">
      <c r="A5059" s="22"/>
      <c r="D5059" s="19"/>
      <c r="H5059" s="18"/>
      <c r="J5059" s="18"/>
      <c r="N5059" s="16"/>
      <c r="O5059" s="17"/>
      <c r="Q5059" s="22"/>
      <c r="R5059" s="23"/>
    </row>
    <row r="5060" spans="1:18" ht="12.75">
      <c r="A5060" s="22"/>
      <c r="D5060" s="19"/>
      <c r="H5060" s="18"/>
      <c r="J5060" s="18"/>
      <c r="N5060" s="16"/>
      <c r="O5060" s="17"/>
      <c r="Q5060" s="22"/>
      <c r="R5060" s="23"/>
    </row>
    <row r="5061" spans="1:18" ht="12.75">
      <c r="A5061" s="22"/>
      <c r="D5061" s="19"/>
      <c r="H5061" s="18"/>
      <c r="J5061" s="18"/>
      <c r="N5061" s="16"/>
      <c r="O5061" s="17"/>
      <c r="Q5061" s="22"/>
      <c r="R5061" s="23"/>
    </row>
    <row r="5062" spans="1:18" ht="12.75">
      <c r="A5062" s="22"/>
      <c r="D5062" s="19"/>
      <c r="H5062" s="18"/>
      <c r="J5062" s="18"/>
      <c r="N5062" s="16"/>
      <c r="O5062" s="17"/>
      <c r="Q5062" s="22"/>
      <c r="R5062" s="23"/>
    </row>
    <row r="5063" spans="1:18" ht="12.75">
      <c r="A5063" s="22"/>
      <c r="D5063" s="19"/>
      <c r="H5063" s="18"/>
      <c r="J5063" s="18"/>
      <c r="N5063" s="16"/>
      <c r="O5063" s="17"/>
      <c r="Q5063" s="22"/>
      <c r="R5063" s="23"/>
    </row>
    <row r="5064" spans="1:18" ht="12.75">
      <c r="A5064" s="22"/>
      <c r="D5064" s="19"/>
      <c r="H5064" s="18"/>
      <c r="J5064" s="18"/>
      <c r="N5064" s="16"/>
      <c r="O5064" s="17"/>
      <c r="Q5064" s="22"/>
      <c r="R5064" s="23"/>
    </row>
    <row r="5065" spans="1:18" ht="12.75">
      <c r="A5065" s="22"/>
      <c r="D5065" s="19"/>
      <c r="H5065" s="18"/>
      <c r="J5065" s="18"/>
      <c r="N5065" s="16"/>
      <c r="O5065" s="17"/>
      <c r="Q5065" s="22"/>
      <c r="R5065" s="23"/>
    </row>
    <row r="5066" spans="1:18" ht="12.75">
      <c r="A5066" s="22"/>
      <c r="D5066" s="19"/>
      <c r="H5066" s="18"/>
      <c r="J5066" s="18"/>
      <c r="N5066" s="16"/>
      <c r="O5066" s="17"/>
      <c r="Q5066" s="22"/>
      <c r="R5066" s="23"/>
    </row>
    <row r="5067" spans="1:18" ht="12.75">
      <c r="A5067" s="22"/>
      <c r="D5067" s="19"/>
      <c r="H5067" s="18"/>
      <c r="J5067" s="18"/>
      <c r="N5067" s="16"/>
      <c r="O5067" s="17"/>
      <c r="Q5067" s="22"/>
      <c r="R5067" s="23"/>
    </row>
    <row r="5068" spans="1:18" ht="12.75">
      <c r="A5068" s="22"/>
      <c r="D5068" s="19"/>
      <c r="H5068" s="18"/>
      <c r="J5068" s="18"/>
      <c r="N5068" s="16"/>
      <c r="O5068" s="17"/>
      <c r="Q5068" s="22"/>
      <c r="R5068" s="23"/>
    </row>
    <row r="5069" spans="1:18" ht="12.75">
      <c r="A5069" s="22"/>
      <c r="D5069" s="19"/>
      <c r="H5069" s="18"/>
      <c r="J5069" s="18"/>
      <c r="N5069" s="16"/>
      <c r="O5069" s="17"/>
      <c r="Q5069" s="22"/>
      <c r="R5069" s="23"/>
    </row>
    <row r="5070" spans="1:18" ht="12.75">
      <c r="A5070" s="22"/>
      <c r="D5070" s="19"/>
      <c r="H5070" s="18"/>
      <c r="J5070" s="18"/>
      <c r="N5070" s="16"/>
      <c r="O5070" s="17"/>
      <c r="Q5070" s="22"/>
      <c r="R5070" s="23"/>
    </row>
    <row r="5071" spans="1:18" ht="12.75">
      <c r="A5071" s="22"/>
      <c r="D5071" s="19"/>
      <c r="H5071" s="18"/>
      <c r="J5071" s="18"/>
      <c r="N5071" s="16"/>
      <c r="O5071" s="17"/>
      <c r="Q5071" s="22"/>
      <c r="R5071" s="23"/>
    </row>
    <row r="5072" spans="1:18" ht="12.75">
      <c r="A5072" s="22"/>
      <c r="D5072" s="19"/>
      <c r="H5072" s="18"/>
      <c r="J5072" s="18"/>
      <c r="N5072" s="16"/>
      <c r="O5072" s="17"/>
      <c r="Q5072" s="22"/>
      <c r="R5072" s="23"/>
    </row>
    <row r="5073" spans="1:18" ht="12.75">
      <c r="A5073" s="22"/>
      <c r="D5073" s="19"/>
      <c r="H5073" s="18"/>
      <c r="J5073" s="18"/>
      <c r="N5073" s="16"/>
      <c r="O5073" s="17"/>
      <c r="Q5073" s="22"/>
      <c r="R5073" s="23"/>
    </row>
    <row r="5074" spans="1:18" ht="12.75">
      <c r="A5074" s="22"/>
      <c r="D5074" s="19"/>
      <c r="H5074" s="18"/>
      <c r="J5074" s="18"/>
      <c r="N5074" s="16"/>
      <c r="O5074" s="17"/>
      <c r="Q5074" s="22"/>
      <c r="R5074" s="23"/>
    </row>
    <row r="5075" spans="1:18" ht="12.75">
      <c r="A5075" s="22"/>
      <c r="D5075" s="19"/>
      <c r="H5075" s="18"/>
      <c r="J5075" s="18"/>
      <c r="N5075" s="16"/>
      <c r="O5075" s="17"/>
      <c r="Q5075" s="22"/>
      <c r="R5075" s="23"/>
    </row>
    <row r="5076" spans="1:18" ht="12.75">
      <c r="A5076" s="22"/>
      <c r="D5076" s="19"/>
      <c r="H5076" s="18"/>
      <c r="J5076" s="18"/>
      <c r="N5076" s="16"/>
      <c r="O5076" s="17"/>
      <c r="Q5076" s="22"/>
      <c r="R5076" s="23"/>
    </row>
    <row r="5077" spans="1:18" ht="12.75">
      <c r="A5077" s="22"/>
      <c r="D5077" s="19"/>
      <c r="H5077" s="18"/>
      <c r="J5077" s="18"/>
      <c r="N5077" s="16"/>
      <c r="O5077" s="17"/>
      <c r="Q5077" s="22"/>
      <c r="R5077" s="23"/>
    </row>
    <row r="5078" spans="1:18" ht="12.75">
      <c r="A5078" s="22"/>
      <c r="D5078" s="19"/>
      <c r="H5078" s="18"/>
      <c r="J5078" s="18"/>
      <c r="N5078" s="16"/>
      <c r="O5078" s="17"/>
      <c r="Q5078" s="22"/>
      <c r="R5078" s="23"/>
    </row>
    <row r="5079" spans="1:18" ht="12.75">
      <c r="A5079" s="22"/>
      <c r="D5079" s="19"/>
      <c r="H5079" s="18"/>
      <c r="J5079" s="18"/>
      <c r="N5079" s="16"/>
      <c r="O5079" s="17"/>
      <c r="Q5079" s="22"/>
      <c r="R5079" s="23"/>
    </row>
    <row r="5080" spans="1:18" ht="12.75">
      <c r="A5080" s="22"/>
      <c r="D5080" s="19"/>
      <c r="H5080" s="18"/>
      <c r="J5080" s="18"/>
      <c r="N5080" s="16"/>
      <c r="O5080" s="17"/>
      <c r="Q5080" s="22"/>
      <c r="R5080" s="23"/>
    </row>
    <row r="5081" spans="1:18" ht="12.75">
      <c r="A5081" s="22"/>
      <c r="D5081" s="19"/>
      <c r="H5081" s="18"/>
      <c r="J5081" s="18"/>
      <c r="N5081" s="16"/>
      <c r="O5081" s="17"/>
      <c r="Q5081" s="22"/>
      <c r="R5081" s="23"/>
    </row>
    <row r="5082" spans="1:18" ht="12.75">
      <c r="A5082" s="22"/>
      <c r="D5082" s="19"/>
      <c r="H5082" s="18"/>
      <c r="J5082" s="18"/>
      <c r="N5082" s="16"/>
      <c r="O5082" s="17"/>
      <c r="Q5082" s="22"/>
      <c r="R5082" s="23"/>
    </row>
    <row r="5083" spans="1:18" ht="12.75">
      <c r="A5083" s="22"/>
      <c r="D5083" s="19"/>
      <c r="H5083" s="18"/>
      <c r="J5083" s="18"/>
      <c r="N5083" s="16"/>
      <c r="O5083" s="17"/>
      <c r="Q5083" s="22"/>
      <c r="R5083" s="23"/>
    </row>
    <row r="5084" spans="1:18" ht="12.75">
      <c r="A5084" s="22"/>
      <c r="D5084" s="19"/>
      <c r="H5084" s="18"/>
      <c r="J5084" s="18"/>
      <c r="N5084" s="16"/>
      <c r="O5084" s="17"/>
      <c r="Q5084" s="22"/>
      <c r="R5084" s="23"/>
    </row>
    <row r="5085" spans="1:18" ht="12.75">
      <c r="A5085" s="22"/>
      <c r="D5085" s="19"/>
      <c r="H5085" s="18"/>
      <c r="J5085" s="18"/>
      <c r="N5085" s="16"/>
      <c r="O5085" s="17"/>
      <c r="Q5085" s="22"/>
      <c r="R5085" s="23"/>
    </row>
    <row r="5086" spans="1:18" ht="12.75">
      <c r="A5086" s="22"/>
      <c r="D5086" s="19"/>
      <c r="H5086" s="18"/>
      <c r="J5086" s="18"/>
      <c r="N5086" s="16"/>
      <c r="O5086" s="17"/>
      <c r="Q5086" s="22"/>
      <c r="R5086" s="23"/>
    </row>
    <row r="5087" spans="1:18" ht="12.75">
      <c r="A5087" s="22"/>
      <c r="D5087" s="19"/>
      <c r="H5087" s="18"/>
      <c r="J5087" s="18"/>
      <c r="N5087" s="16"/>
      <c r="O5087" s="17"/>
      <c r="Q5087" s="22"/>
      <c r="R5087" s="23"/>
    </row>
    <row r="5088" spans="1:18" ht="12.75">
      <c r="A5088" s="22"/>
      <c r="D5088" s="19"/>
      <c r="H5088" s="18"/>
      <c r="J5088" s="18"/>
      <c r="N5088" s="16"/>
      <c r="O5088" s="17"/>
      <c r="Q5088" s="22"/>
      <c r="R5088" s="23"/>
    </row>
    <row r="5089" spans="1:18" ht="12.75">
      <c r="A5089" s="22"/>
      <c r="D5089" s="19"/>
      <c r="H5089" s="18"/>
      <c r="J5089" s="18"/>
      <c r="N5089" s="16"/>
      <c r="O5089" s="17"/>
      <c r="Q5089" s="22"/>
      <c r="R5089" s="23"/>
    </row>
    <row r="5090" spans="1:18" ht="12.75">
      <c r="A5090" s="22"/>
      <c r="D5090" s="19"/>
      <c r="H5090" s="18"/>
      <c r="J5090" s="18"/>
      <c r="N5090" s="16"/>
      <c r="O5090" s="17"/>
      <c r="Q5090" s="22"/>
      <c r="R5090" s="23"/>
    </row>
    <row r="5091" spans="1:18" ht="12.75">
      <c r="A5091" s="22"/>
      <c r="D5091" s="19"/>
      <c r="H5091" s="18"/>
      <c r="J5091" s="18"/>
      <c r="N5091" s="16"/>
      <c r="O5091" s="17"/>
      <c r="Q5091" s="22"/>
      <c r="R5091" s="23"/>
    </row>
    <row r="5092" spans="1:18" ht="12.75">
      <c r="A5092" s="22"/>
      <c r="D5092" s="19"/>
      <c r="H5092" s="18"/>
      <c r="J5092" s="18"/>
      <c r="N5092" s="16"/>
      <c r="O5092" s="17"/>
      <c r="Q5092" s="22"/>
      <c r="R5092" s="23"/>
    </row>
    <row r="5093" spans="1:18" ht="12.75">
      <c r="A5093" s="22"/>
      <c r="D5093" s="19"/>
      <c r="H5093" s="18"/>
      <c r="J5093" s="18"/>
      <c r="N5093" s="16"/>
      <c r="O5093" s="17"/>
      <c r="Q5093" s="22"/>
      <c r="R5093" s="23"/>
    </row>
    <row r="5094" spans="1:18" ht="12.75">
      <c r="A5094" s="22"/>
      <c r="D5094" s="19"/>
      <c r="H5094" s="18"/>
      <c r="J5094" s="18"/>
      <c r="N5094" s="16"/>
      <c r="O5094" s="17"/>
      <c r="Q5094" s="22"/>
      <c r="R5094" s="23"/>
    </row>
    <row r="5095" spans="1:18" ht="12.75">
      <c r="A5095" s="22"/>
      <c r="D5095" s="19"/>
      <c r="H5095" s="18"/>
      <c r="J5095" s="18"/>
      <c r="N5095" s="16"/>
      <c r="O5095" s="17"/>
      <c r="Q5095" s="22"/>
      <c r="R5095" s="23"/>
    </row>
    <row r="5096" spans="1:18" ht="12.75">
      <c r="A5096" s="22"/>
      <c r="D5096" s="19"/>
      <c r="H5096" s="18"/>
      <c r="J5096" s="18"/>
      <c r="N5096" s="16"/>
      <c r="O5096" s="17"/>
      <c r="Q5096" s="22"/>
      <c r="R5096" s="23"/>
    </row>
    <row r="5097" spans="1:18" ht="12.75">
      <c r="A5097" s="22"/>
      <c r="D5097" s="19"/>
      <c r="H5097" s="18"/>
      <c r="J5097" s="18"/>
      <c r="N5097" s="16"/>
      <c r="O5097" s="17"/>
      <c r="Q5097" s="22"/>
      <c r="R5097" s="23"/>
    </row>
    <row r="5098" spans="1:18" ht="12.75">
      <c r="A5098" s="22"/>
      <c r="D5098" s="19"/>
      <c r="H5098" s="18"/>
      <c r="J5098" s="18"/>
      <c r="N5098" s="16"/>
      <c r="O5098" s="17"/>
      <c r="Q5098" s="22"/>
      <c r="R5098" s="23"/>
    </row>
    <row r="5099" spans="1:18" ht="12.75">
      <c r="A5099" s="22"/>
      <c r="D5099" s="19"/>
      <c r="H5099" s="18"/>
      <c r="J5099" s="18"/>
      <c r="N5099" s="16"/>
      <c r="O5099" s="17"/>
      <c r="Q5099" s="22"/>
      <c r="R5099" s="23"/>
    </row>
    <row r="5100" spans="1:18" ht="12.75">
      <c r="A5100" s="22"/>
      <c r="D5100" s="19"/>
      <c r="H5100" s="18"/>
      <c r="J5100" s="18"/>
      <c r="N5100" s="16"/>
      <c r="O5100" s="17"/>
      <c r="Q5100" s="22"/>
      <c r="R5100" s="23"/>
    </row>
    <row r="5101" spans="1:18" ht="12.75">
      <c r="A5101" s="22"/>
      <c r="D5101" s="19"/>
      <c r="H5101" s="18"/>
      <c r="J5101" s="18"/>
      <c r="N5101" s="16"/>
      <c r="O5101" s="17"/>
      <c r="Q5101" s="22"/>
      <c r="R5101" s="23"/>
    </row>
    <row r="5102" spans="1:18" ht="12.75">
      <c r="A5102" s="22"/>
      <c r="D5102" s="19"/>
      <c r="H5102" s="18"/>
      <c r="J5102" s="18"/>
      <c r="N5102" s="16"/>
      <c r="O5102" s="17"/>
      <c r="Q5102" s="22"/>
      <c r="R5102" s="23"/>
    </row>
    <row r="5103" spans="1:18" ht="12.75">
      <c r="A5103" s="22"/>
      <c r="D5103" s="19"/>
      <c r="H5103" s="18"/>
      <c r="J5103" s="18"/>
      <c r="N5103" s="16"/>
      <c r="O5103" s="17"/>
      <c r="Q5103" s="22"/>
      <c r="R5103" s="23"/>
    </row>
    <row r="5104" spans="1:18" ht="12.75">
      <c r="A5104" s="22"/>
      <c r="D5104" s="19"/>
      <c r="H5104" s="18"/>
      <c r="J5104" s="18"/>
      <c r="N5104" s="16"/>
      <c r="O5104" s="17"/>
      <c r="Q5104" s="22"/>
      <c r="R5104" s="23"/>
    </row>
    <row r="5105" spans="1:18" ht="12.75">
      <c r="A5105" s="22"/>
      <c r="D5105" s="19"/>
      <c r="H5105" s="18"/>
      <c r="J5105" s="18"/>
      <c r="N5105" s="16"/>
      <c r="O5105" s="17"/>
      <c r="Q5105" s="22"/>
      <c r="R5105" s="23"/>
    </row>
    <row r="5106" spans="1:18" ht="12.75">
      <c r="A5106" s="22"/>
      <c r="D5106" s="19"/>
      <c r="H5106" s="18"/>
      <c r="J5106" s="18"/>
      <c r="N5106" s="16"/>
      <c r="O5106" s="17"/>
      <c r="Q5106" s="22"/>
      <c r="R5106" s="23"/>
    </row>
    <row r="5107" spans="1:18" ht="12.75">
      <c r="A5107" s="22"/>
      <c r="D5107" s="19"/>
      <c r="H5107" s="18"/>
      <c r="J5107" s="18"/>
      <c r="N5107" s="16"/>
      <c r="O5107" s="17"/>
      <c r="Q5107" s="22"/>
      <c r="R5107" s="23"/>
    </row>
    <row r="5108" spans="1:18" ht="12.75">
      <c r="A5108" s="22"/>
      <c r="D5108" s="19"/>
      <c r="H5108" s="18"/>
      <c r="J5108" s="18"/>
      <c r="N5108" s="16"/>
      <c r="O5108" s="17"/>
      <c r="Q5108" s="22"/>
      <c r="R5108" s="23"/>
    </row>
    <row r="5109" spans="1:18" ht="12.75">
      <c r="A5109" s="22"/>
      <c r="D5109" s="19"/>
      <c r="H5109" s="18"/>
      <c r="J5109" s="18"/>
      <c r="N5109" s="16"/>
      <c r="O5109" s="17"/>
      <c r="Q5109" s="22"/>
      <c r="R5109" s="23"/>
    </row>
    <row r="5110" spans="1:18" ht="12.75">
      <c r="A5110" s="22"/>
      <c r="D5110" s="19"/>
      <c r="H5110" s="18"/>
      <c r="J5110" s="18"/>
      <c r="N5110" s="16"/>
      <c r="O5110" s="17"/>
      <c r="Q5110" s="22"/>
      <c r="R5110" s="23"/>
    </row>
    <row r="5111" spans="1:18" ht="12.75">
      <c r="A5111" s="22"/>
      <c r="D5111" s="19"/>
      <c r="H5111" s="18"/>
      <c r="J5111" s="18"/>
      <c r="N5111" s="16"/>
      <c r="O5111" s="17"/>
      <c r="Q5111" s="22"/>
      <c r="R5111" s="23"/>
    </row>
    <row r="5112" spans="1:18" ht="12.75">
      <c r="A5112" s="22"/>
      <c r="D5112" s="19"/>
      <c r="H5112" s="18"/>
      <c r="J5112" s="18"/>
      <c r="N5112" s="16"/>
      <c r="O5112" s="17"/>
      <c r="Q5112" s="22"/>
      <c r="R5112" s="23"/>
    </row>
    <row r="5113" spans="1:18" ht="12.75">
      <c r="A5113" s="22"/>
      <c r="D5113" s="19"/>
      <c r="H5113" s="18"/>
      <c r="J5113" s="18"/>
      <c r="N5113" s="16"/>
      <c r="O5113" s="17"/>
      <c r="Q5113" s="22"/>
      <c r="R5113" s="23"/>
    </row>
    <row r="5114" spans="1:18" ht="12.75">
      <c r="A5114" s="22"/>
      <c r="D5114" s="19"/>
      <c r="H5114" s="18"/>
      <c r="J5114" s="18"/>
      <c r="N5114" s="16"/>
      <c r="O5114" s="17"/>
      <c r="Q5114" s="22"/>
      <c r="R5114" s="23"/>
    </row>
    <row r="5115" spans="1:18" ht="12.75">
      <c r="A5115" s="22"/>
      <c r="D5115" s="19"/>
      <c r="H5115" s="18"/>
      <c r="J5115" s="18"/>
      <c r="N5115" s="16"/>
      <c r="O5115" s="17"/>
      <c r="Q5115" s="22"/>
      <c r="R5115" s="23"/>
    </row>
    <row r="5116" spans="1:18" ht="12.75">
      <c r="A5116" s="22"/>
      <c r="D5116" s="19"/>
      <c r="H5116" s="18"/>
      <c r="J5116" s="18"/>
      <c r="N5116" s="16"/>
      <c r="O5116" s="17"/>
      <c r="Q5116" s="22"/>
      <c r="R5116" s="23"/>
    </row>
    <row r="5117" spans="1:18" ht="12.75">
      <c r="A5117" s="22"/>
      <c r="D5117" s="19"/>
      <c r="H5117" s="18"/>
      <c r="J5117" s="18"/>
      <c r="N5117" s="16"/>
      <c r="O5117" s="17"/>
      <c r="Q5117" s="22"/>
      <c r="R5117" s="23"/>
    </row>
    <row r="5118" spans="1:18" ht="12.75">
      <c r="A5118" s="22"/>
      <c r="D5118" s="19"/>
      <c r="H5118" s="18"/>
      <c r="J5118" s="18"/>
      <c r="N5118" s="16"/>
      <c r="O5118" s="17"/>
      <c r="Q5118" s="22"/>
      <c r="R5118" s="23"/>
    </row>
    <row r="5119" spans="1:18" ht="12.75">
      <c r="A5119" s="22"/>
      <c r="D5119" s="19"/>
      <c r="H5119" s="18"/>
      <c r="J5119" s="18"/>
      <c r="N5119" s="16"/>
      <c r="O5119" s="17"/>
      <c r="Q5119" s="22"/>
      <c r="R5119" s="23"/>
    </row>
    <row r="5120" spans="1:18" ht="12.75">
      <c r="A5120" s="22"/>
      <c r="D5120" s="19"/>
      <c r="H5120" s="18"/>
      <c r="J5120" s="18"/>
      <c r="N5120" s="16"/>
      <c r="O5120" s="17"/>
      <c r="Q5120" s="22"/>
      <c r="R5120" s="23"/>
    </row>
    <row r="5121" spans="1:18" ht="12.75">
      <c r="A5121" s="22"/>
      <c r="D5121" s="19"/>
      <c r="H5121" s="18"/>
      <c r="J5121" s="18"/>
      <c r="N5121" s="16"/>
      <c r="O5121" s="17"/>
      <c r="Q5121" s="22"/>
      <c r="R5121" s="23"/>
    </row>
    <row r="5122" spans="1:18" ht="12.75">
      <c r="A5122" s="22"/>
      <c r="D5122" s="19"/>
      <c r="H5122" s="18"/>
      <c r="J5122" s="18"/>
      <c r="N5122" s="16"/>
      <c r="O5122" s="17"/>
      <c r="Q5122" s="22"/>
      <c r="R5122" s="23"/>
    </row>
    <row r="5123" spans="1:18" ht="12.75">
      <c r="A5123" s="22"/>
      <c r="D5123" s="19"/>
      <c r="H5123" s="18"/>
      <c r="J5123" s="18"/>
      <c r="N5123" s="16"/>
      <c r="O5123" s="17"/>
      <c r="Q5123" s="22"/>
      <c r="R5123" s="23"/>
    </row>
    <row r="5124" spans="1:18" ht="12.75">
      <c r="A5124" s="22"/>
      <c r="D5124" s="19"/>
      <c r="H5124" s="18"/>
      <c r="J5124" s="18"/>
      <c r="N5124" s="16"/>
      <c r="O5124" s="17"/>
      <c r="Q5124" s="22"/>
      <c r="R5124" s="23"/>
    </row>
    <row r="5125" spans="1:18" ht="12.75">
      <c r="A5125" s="22"/>
      <c r="D5125" s="19"/>
      <c r="H5125" s="18"/>
      <c r="J5125" s="18"/>
      <c r="N5125" s="16"/>
      <c r="O5125" s="17"/>
      <c r="Q5125" s="22"/>
      <c r="R5125" s="23"/>
    </row>
    <row r="5126" spans="1:18" ht="12.75">
      <c r="A5126" s="22"/>
      <c r="D5126" s="19"/>
      <c r="H5126" s="18"/>
      <c r="J5126" s="18"/>
      <c r="N5126" s="16"/>
      <c r="O5126" s="17"/>
      <c r="Q5126" s="22"/>
      <c r="R5126" s="23"/>
    </row>
    <row r="5127" spans="1:18" ht="12.75">
      <c r="A5127" s="22"/>
      <c r="D5127" s="19"/>
      <c r="H5127" s="18"/>
      <c r="J5127" s="18"/>
      <c r="N5127" s="16"/>
      <c r="O5127" s="17"/>
      <c r="Q5127" s="22"/>
      <c r="R5127" s="23"/>
    </row>
    <row r="5128" spans="1:18" ht="12.75">
      <c r="A5128" s="22"/>
      <c r="D5128" s="19"/>
      <c r="H5128" s="18"/>
      <c r="J5128" s="18"/>
      <c r="N5128" s="16"/>
      <c r="O5128" s="17"/>
      <c r="Q5128" s="22"/>
      <c r="R5128" s="23"/>
    </row>
    <row r="5129" spans="1:18" ht="12.75">
      <c r="A5129" s="22"/>
      <c r="D5129" s="19"/>
      <c r="H5129" s="18"/>
      <c r="J5129" s="18"/>
      <c r="N5129" s="16"/>
      <c r="O5129" s="17"/>
      <c r="Q5129" s="22"/>
      <c r="R5129" s="23"/>
    </row>
    <row r="5130" spans="1:18" ht="12.75">
      <c r="A5130" s="22"/>
      <c r="D5130" s="19"/>
      <c r="H5130" s="18"/>
      <c r="J5130" s="18"/>
      <c r="N5130" s="16"/>
      <c r="O5130" s="17"/>
      <c r="Q5130" s="22"/>
      <c r="R5130" s="23"/>
    </row>
    <row r="5131" spans="1:18" ht="12.75">
      <c r="A5131" s="22"/>
      <c r="D5131" s="19"/>
      <c r="H5131" s="18"/>
      <c r="J5131" s="18"/>
      <c r="N5131" s="16"/>
      <c r="O5131" s="17"/>
      <c r="Q5131" s="22"/>
      <c r="R5131" s="23"/>
    </row>
    <row r="5132" spans="1:18" ht="12.75">
      <c r="A5132" s="22"/>
      <c r="D5132" s="19"/>
      <c r="H5132" s="18"/>
      <c r="J5132" s="18"/>
      <c r="N5132" s="16"/>
      <c r="O5132" s="17"/>
      <c r="Q5132" s="22"/>
      <c r="R5132" s="23"/>
    </row>
    <row r="5133" spans="1:18" ht="12.75">
      <c r="A5133" s="22"/>
      <c r="D5133" s="19"/>
      <c r="H5133" s="18"/>
      <c r="J5133" s="18"/>
      <c r="N5133" s="16"/>
      <c r="O5133" s="17"/>
      <c r="Q5133" s="22"/>
      <c r="R5133" s="23"/>
    </row>
    <row r="5134" spans="1:18" ht="12.75">
      <c r="A5134" s="22"/>
      <c r="D5134" s="19"/>
      <c r="H5134" s="18"/>
      <c r="J5134" s="18"/>
      <c r="N5134" s="16"/>
      <c r="O5134" s="17"/>
      <c r="Q5134" s="22"/>
      <c r="R5134" s="23"/>
    </row>
    <row r="5135" spans="1:18" ht="12.75">
      <c r="A5135" s="22"/>
      <c r="D5135" s="19"/>
      <c r="H5135" s="18"/>
      <c r="J5135" s="18"/>
      <c r="N5135" s="16"/>
      <c r="O5135" s="17"/>
      <c r="Q5135" s="22"/>
      <c r="R5135" s="23"/>
    </row>
    <row r="5136" spans="1:18" ht="12.75">
      <c r="A5136" s="22"/>
      <c r="D5136" s="19"/>
      <c r="H5136" s="18"/>
      <c r="J5136" s="18"/>
      <c r="N5136" s="16"/>
      <c r="O5136" s="17"/>
      <c r="Q5136" s="22"/>
      <c r="R5136" s="23"/>
    </row>
    <row r="5137" spans="1:18" ht="12.75">
      <c r="A5137" s="22"/>
      <c r="D5137" s="19"/>
      <c r="H5137" s="18"/>
      <c r="J5137" s="18"/>
      <c r="N5137" s="16"/>
      <c r="O5137" s="17"/>
      <c r="Q5137" s="22"/>
      <c r="R5137" s="23"/>
    </row>
    <row r="5138" spans="1:18" ht="12.75">
      <c r="A5138" s="22"/>
      <c r="D5138" s="19"/>
      <c r="H5138" s="18"/>
      <c r="J5138" s="18"/>
      <c r="N5138" s="16"/>
      <c r="O5138" s="17"/>
      <c r="Q5138" s="22"/>
      <c r="R5138" s="23"/>
    </row>
    <row r="5139" spans="1:18" ht="12.75">
      <c r="A5139" s="22"/>
      <c r="D5139" s="19"/>
      <c r="H5139" s="18"/>
      <c r="J5139" s="18"/>
      <c r="N5139" s="16"/>
      <c r="O5139" s="17"/>
      <c r="Q5139" s="22"/>
      <c r="R5139" s="23"/>
    </row>
    <row r="5140" spans="1:18" ht="12.75">
      <c r="A5140" s="22"/>
      <c r="D5140" s="19"/>
      <c r="H5140" s="18"/>
      <c r="J5140" s="18"/>
      <c r="N5140" s="16"/>
      <c r="O5140" s="17"/>
      <c r="Q5140" s="22"/>
      <c r="R5140" s="23"/>
    </row>
    <row r="5141" spans="1:18" ht="12.75">
      <c r="A5141" s="22"/>
      <c r="D5141" s="19"/>
      <c r="H5141" s="18"/>
      <c r="J5141" s="18"/>
      <c r="N5141" s="16"/>
      <c r="O5141" s="17"/>
      <c r="Q5141" s="22"/>
      <c r="R5141" s="23"/>
    </row>
    <row r="5142" spans="1:18" ht="12.75">
      <c r="A5142" s="22"/>
      <c r="D5142" s="19"/>
      <c r="H5142" s="18"/>
      <c r="J5142" s="18"/>
      <c r="N5142" s="16"/>
      <c r="O5142" s="17"/>
      <c r="Q5142" s="22"/>
      <c r="R5142" s="23"/>
    </row>
    <row r="5143" spans="1:18" ht="12.75">
      <c r="A5143" s="22"/>
      <c r="D5143" s="19"/>
      <c r="H5143" s="18"/>
      <c r="J5143" s="18"/>
      <c r="N5143" s="16"/>
      <c r="O5143" s="17"/>
      <c r="Q5143" s="22"/>
      <c r="R5143" s="23"/>
    </row>
    <row r="5144" spans="1:18" ht="12.75">
      <c r="A5144" s="22"/>
      <c r="D5144" s="19"/>
      <c r="H5144" s="18"/>
      <c r="J5144" s="18"/>
      <c r="N5144" s="16"/>
      <c r="O5144" s="17"/>
      <c r="Q5144" s="22"/>
      <c r="R5144" s="23"/>
    </row>
    <row r="5145" spans="1:18" ht="12.75">
      <c r="A5145" s="22"/>
      <c r="D5145" s="19"/>
      <c r="H5145" s="18"/>
      <c r="J5145" s="18"/>
      <c r="N5145" s="16"/>
      <c r="O5145" s="17"/>
      <c r="Q5145" s="22"/>
      <c r="R5145" s="23"/>
    </row>
    <row r="5146" spans="1:18" ht="12.75">
      <c r="A5146" s="22"/>
      <c r="D5146" s="19"/>
      <c r="H5146" s="18"/>
      <c r="J5146" s="18"/>
      <c r="N5146" s="16"/>
      <c r="O5146" s="17"/>
      <c r="Q5146" s="22"/>
      <c r="R5146" s="23"/>
    </row>
    <row r="5147" spans="1:18" ht="12.75">
      <c r="A5147" s="22"/>
      <c r="D5147" s="19"/>
      <c r="H5147" s="18"/>
      <c r="J5147" s="18"/>
      <c r="N5147" s="16"/>
      <c r="O5147" s="17"/>
      <c r="Q5147" s="22"/>
      <c r="R5147" s="23"/>
    </row>
    <row r="5148" spans="1:18" ht="12.75">
      <c r="A5148" s="22"/>
      <c r="D5148" s="19"/>
      <c r="H5148" s="18"/>
      <c r="J5148" s="18"/>
      <c r="N5148" s="16"/>
      <c r="O5148" s="17"/>
      <c r="Q5148" s="22"/>
      <c r="R5148" s="23"/>
    </row>
    <row r="5149" spans="1:18" ht="12.75">
      <c r="A5149" s="22"/>
      <c r="D5149" s="19"/>
      <c r="H5149" s="18"/>
      <c r="J5149" s="18"/>
      <c r="N5149" s="16"/>
      <c r="O5149" s="17"/>
      <c r="Q5149" s="22"/>
      <c r="R5149" s="23"/>
    </row>
    <row r="5150" spans="1:18" ht="12.75">
      <c r="A5150" s="22"/>
      <c r="D5150" s="19"/>
      <c r="H5150" s="18"/>
      <c r="J5150" s="18"/>
      <c r="N5150" s="16"/>
      <c r="O5150" s="17"/>
      <c r="Q5150" s="22"/>
      <c r="R5150" s="23"/>
    </row>
    <row r="5151" spans="1:18" ht="12.75">
      <c r="A5151" s="22"/>
      <c r="D5151" s="19"/>
      <c r="H5151" s="18"/>
      <c r="J5151" s="18"/>
      <c r="N5151" s="16"/>
      <c r="O5151" s="17"/>
      <c r="Q5151" s="22"/>
      <c r="R5151" s="23"/>
    </row>
    <row r="5152" spans="1:18" ht="12.75">
      <c r="A5152" s="22"/>
      <c r="D5152" s="19"/>
      <c r="H5152" s="18"/>
      <c r="J5152" s="18"/>
      <c r="N5152" s="16"/>
      <c r="O5152" s="17"/>
      <c r="Q5152" s="22"/>
      <c r="R5152" s="23"/>
    </row>
    <row r="5153" spans="1:18" ht="12.75">
      <c r="A5153" s="22"/>
      <c r="D5153" s="19"/>
      <c r="H5153" s="18"/>
      <c r="J5153" s="18"/>
      <c r="N5153" s="16"/>
      <c r="O5153" s="17"/>
      <c r="Q5153" s="22"/>
      <c r="R5153" s="23"/>
    </row>
    <row r="5154" spans="1:18" ht="12.75">
      <c r="A5154" s="22"/>
      <c r="D5154" s="19"/>
      <c r="H5154" s="18"/>
      <c r="J5154" s="18"/>
      <c r="N5154" s="16"/>
      <c r="O5154" s="17"/>
      <c r="Q5154" s="22"/>
      <c r="R5154" s="23"/>
    </row>
    <row r="5155" spans="1:18" ht="12.75">
      <c r="A5155" s="22"/>
      <c r="D5155" s="19"/>
      <c r="H5155" s="18"/>
      <c r="J5155" s="18"/>
      <c r="N5155" s="16"/>
      <c r="O5155" s="17"/>
      <c r="Q5155" s="22"/>
      <c r="R5155" s="23"/>
    </row>
    <row r="5156" spans="1:18" ht="12.75">
      <c r="A5156" s="22"/>
      <c r="D5156" s="19"/>
      <c r="H5156" s="18"/>
      <c r="J5156" s="18"/>
      <c r="N5156" s="16"/>
      <c r="O5156" s="17"/>
      <c r="Q5156" s="22"/>
      <c r="R5156" s="23"/>
    </row>
    <row r="5157" spans="1:18" ht="12.75">
      <c r="A5157" s="22"/>
      <c r="D5157" s="19"/>
      <c r="H5157" s="18"/>
      <c r="J5157" s="18"/>
      <c r="N5157" s="16"/>
      <c r="O5157" s="17"/>
      <c r="Q5157" s="22"/>
      <c r="R5157" s="23"/>
    </row>
    <row r="5158" spans="1:18" ht="12.75">
      <c r="A5158" s="22"/>
      <c r="D5158" s="19"/>
      <c r="H5158" s="18"/>
      <c r="J5158" s="18"/>
      <c r="N5158" s="16"/>
      <c r="O5158" s="17"/>
      <c r="Q5158" s="22"/>
      <c r="R5158" s="23"/>
    </row>
    <row r="5159" spans="1:18" ht="12.75">
      <c r="A5159" s="22"/>
      <c r="D5159" s="19"/>
      <c r="H5159" s="18"/>
      <c r="J5159" s="18"/>
      <c r="N5159" s="16"/>
      <c r="O5159" s="17"/>
      <c r="Q5159" s="22"/>
      <c r="R5159" s="23"/>
    </row>
    <row r="5160" spans="1:18" ht="12.75">
      <c r="A5160" s="22"/>
      <c r="D5160" s="19"/>
      <c r="H5160" s="18"/>
      <c r="J5160" s="18"/>
      <c r="N5160" s="16"/>
      <c r="O5160" s="17"/>
      <c r="Q5160" s="22"/>
      <c r="R5160" s="23"/>
    </row>
    <row r="5161" spans="1:18" ht="12.75">
      <c r="A5161" s="22"/>
      <c r="D5161" s="19"/>
      <c r="H5161" s="18"/>
      <c r="J5161" s="18"/>
      <c r="N5161" s="16"/>
      <c r="O5161" s="17"/>
      <c r="Q5161" s="22"/>
      <c r="R5161" s="23"/>
    </row>
    <row r="5162" spans="1:18" ht="12.75">
      <c r="A5162" s="22"/>
      <c r="D5162" s="19"/>
      <c r="H5162" s="18"/>
      <c r="J5162" s="18"/>
      <c r="N5162" s="16"/>
      <c r="O5162" s="17"/>
      <c r="Q5162" s="22"/>
      <c r="R5162" s="23"/>
    </row>
    <row r="5163" spans="1:18" ht="12.75">
      <c r="A5163" s="22"/>
      <c r="D5163" s="19"/>
      <c r="H5163" s="18"/>
      <c r="J5163" s="18"/>
      <c r="N5163" s="16"/>
      <c r="O5163" s="17"/>
      <c r="Q5163" s="22"/>
      <c r="R5163" s="23"/>
    </row>
    <row r="5164" spans="1:18" ht="12.75">
      <c r="A5164" s="22"/>
      <c r="D5164" s="19"/>
      <c r="H5164" s="18"/>
      <c r="J5164" s="18"/>
      <c r="N5164" s="16"/>
      <c r="O5164" s="17"/>
      <c r="Q5164" s="22"/>
      <c r="R5164" s="23"/>
    </row>
    <row r="5165" spans="1:18" ht="12.75">
      <c r="A5165" s="22"/>
      <c r="D5165" s="19"/>
      <c r="H5165" s="18"/>
      <c r="J5165" s="18"/>
      <c r="N5165" s="16"/>
      <c r="O5165" s="17"/>
      <c r="Q5165" s="22"/>
      <c r="R5165" s="23"/>
    </row>
    <row r="5166" spans="1:18" ht="12.75">
      <c r="A5166" s="22"/>
      <c r="D5166" s="19"/>
      <c r="H5166" s="18"/>
      <c r="J5166" s="18"/>
      <c r="N5166" s="16"/>
      <c r="O5166" s="17"/>
      <c r="Q5166" s="22"/>
      <c r="R5166" s="23"/>
    </row>
    <row r="5167" spans="1:18" ht="12.75">
      <c r="A5167" s="22"/>
      <c r="D5167" s="19"/>
      <c r="H5167" s="18"/>
      <c r="J5167" s="18"/>
      <c r="N5167" s="16"/>
      <c r="O5167" s="17"/>
      <c r="Q5167" s="22"/>
      <c r="R5167" s="23"/>
    </row>
    <row r="5168" spans="1:18" ht="12.75">
      <c r="A5168" s="22"/>
      <c r="D5168" s="19"/>
      <c r="H5168" s="18"/>
      <c r="J5168" s="18"/>
      <c r="N5168" s="16"/>
      <c r="O5168" s="17"/>
      <c r="Q5168" s="22"/>
      <c r="R5168" s="23"/>
    </row>
    <row r="5169" spans="1:18" ht="12.75">
      <c r="A5169" s="22"/>
      <c r="D5169" s="19"/>
      <c r="H5169" s="18"/>
      <c r="J5169" s="18"/>
      <c r="N5169" s="16"/>
      <c r="O5169" s="17"/>
      <c r="Q5169" s="22"/>
      <c r="R5169" s="23"/>
    </row>
    <row r="5170" spans="1:18" ht="12.75">
      <c r="A5170" s="22"/>
      <c r="D5170" s="19"/>
      <c r="H5170" s="18"/>
      <c r="J5170" s="18"/>
      <c r="N5170" s="16"/>
      <c r="O5170" s="17"/>
      <c r="Q5170" s="22"/>
      <c r="R5170" s="23"/>
    </row>
    <row r="5171" spans="1:18" ht="12.75">
      <c r="A5171" s="22"/>
      <c r="D5171" s="19"/>
      <c r="H5171" s="18"/>
      <c r="J5171" s="18"/>
      <c r="N5171" s="16"/>
      <c r="O5171" s="17"/>
      <c r="Q5171" s="22"/>
      <c r="R5171" s="23"/>
    </row>
    <row r="5172" spans="1:18" ht="12.75">
      <c r="A5172" s="22"/>
      <c r="D5172" s="19"/>
      <c r="H5172" s="18"/>
      <c r="J5172" s="18"/>
      <c r="N5172" s="16"/>
      <c r="O5172" s="17"/>
      <c r="Q5172" s="22"/>
      <c r="R5172" s="23"/>
    </row>
    <row r="5173" spans="1:18" ht="12.75">
      <c r="A5173" s="22"/>
      <c r="D5173" s="19"/>
      <c r="H5173" s="18"/>
      <c r="J5173" s="18"/>
      <c r="N5173" s="16"/>
      <c r="O5173" s="17"/>
      <c r="Q5173" s="22"/>
      <c r="R5173" s="23"/>
    </row>
    <row r="5174" spans="1:18" ht="12.75">
      <c r="A5174" s="22"/>
      <c r="D5174" s="19"/>
      <c r="H5174" s="18"/>
      <c r="J5174" s="18"/>
      <c r="N5174" s="16"/>
      <c r="O5174" s="17"/>
      <c r="Q5174" s="22"/>
      <c r="R5174" s="23"/>
    </row>
    <row r="5175" spans="1:18" ht="12.75">
      <c r="A5175" s="22"/>
      <c r="D5175" s="19"/>
      <c r="H5175" s="18"/>
      <c r="J5175" s="18"/>
      <c r="N5175" s="16"/>
      <c r="O5175" s="17"/>
      <c r="Q5175" s="22"/>
      <c r="R5175" s="23"/>
    </row>
    <row r="5176" spans="1:18" ht="12.75">
      <c r="A5176" s="22"/>
      <c r="D5176" s="19"/>
      <c r="H5176" s="18"/>
      <c r="J5176" s="18"/>
      <c r="N5176" s="16"/>
      <c r="O5176" s="17"/>
      <c r="Q5176" s="22"/>
      <c r="R5176" s="23"/>
    </row>
    <row r="5177" spans="1:18" ht="12.75">
      <c r="A5177" s="22"/>
      <c r="D5177" s="19"/>
      <c r="H5177" s="18"/>
      <c r="J5177" s="18"/>
      <c r="N5177" s="16"/>
      <c r="O5177" s="17"/>
      <c r="Q5177" s="22"/>
      <c r="R5177" s="23"/>
    </row>
    <row r="5178" spans="1:18" ht="12.75">
      <c r="A5178" s="22"/>
      <c r="D5178" s="19"/>
      <c r="H5178" s="18"/>
      <c r="J5178" s="18"/>
      <c r="N5178" s="16"/>
      <c r="O5178" s="17"/>
      <c r="Q5178" s="22"/>
      <c r="R5178" s="23"/>
    </row>
    <row r="5179" spans="1:18" ht="12.75">
      <c r="A5179" s="22"/>
      <c r="D5179" s="19"/>
      <c r="H5179" s="18"/>
      <c r="J5179" s="18"/>
      <c r="N5179" s="16"/>
      <c r="O5179" s="17"/>
      <c r="Q5179" s="22"/>
      <c r="R5179" s="23"/>
    </row>
    <row r="5180" spans="1:18" ht="12.75">
      <c r="A5180" s="22"/>
      <c r="D5180" s="19"/>
      <c r="H5180" s="18"/>
      <c r="J5180" s="18"/>
      <c r="N5180" s="16"/>
      <c r="O5180" s="17"/>
      <c r="Q5180" s="22"/>
      <c r="R5180" s="23"/>
    </row>
    <row r="5181" spans="1:18" ht="12.75">
      <c r="A5181" s="22"/>
      <c r="D5181" s="19"/>
      <c r="H5181" s="18"/>
      <c r="J5181" s="18"/>
      <c r="N5181" s="16"/>
      <c r="O5181" s="17"/>
      <c r="Q5181" s="22"/>
      <c r="R5181" s="23"/>
    </row>
    <row r="5182" spans="1:18" ht="12.75">
      <c r="A5182" s="22"/>
      <c r="D5182" s="19"/>
      <c r="H5182" s="18"/>
      <c r="J5182" s="18"/>
      <c r="N5182" s="16"/>
      <c r="O5182" s="17"/>
      <c r="Q5182" s="22"/>
      <c r="R5182" s="23"/>
    </row>
    <row r="5183" spans="1:18" ht="12.75">
      <c r="A5183" s="22"/>
      <c r="D5183" s="19"/>
      <c r="H5183" s="18"/>
      <c r="J5183" s="18"/>
      <c r="N5183" s="16"/>
      <c r="O5183" s="17"/>
      <c r="Q5183" s="22"/>
      <c r="R5183" s="23"/>
    </row>
    <row r="5184" spans="1:18" ht="12.75">
      <c r="A5184" s="22"/>
      <c r="D5184" s="19"/>
      <c r="H5184" s="18"/>
      <c r="J5184" s="18"/>
      <c r="N5184" s="16"/>
      <c r="O5184" s="17"/>
      <c r="Q5184" s="22"/>
      <c r="R5184" s="23"/>
    </row>
    <row r="5185" spans="1:18" ht="12.75">
      <c r="A5185" s="22"/>
      <c r="D5185" s="19"/>
      <c r="H5185" s="18"/>
      <c r="J5185" s="18"/>
      <c r="N5185" s="16"/>
      <c r="O5185" s="17"/>
      <c r="Q5185" s="22"/>
      <c r="R5185" s="23"/>
    </row>
    <row r="5186" spans="1:18" ht="12.75">
      <c r="A5186" s="22"/>
      <c r="D5186" s="19"/>
      <c r="H5186" s="18"/>
      <c r="J5186" s="18"/>
      <c r="N5186" s="16"/>
      <c r="O5186" s="17"/>
      <c r="Q5186" s="22"/>
      <c r="R5186" s="23"/>
    </row>
    <row r="5187" spans="1:18" ht="12.75">
      <c r="A5187" s="22"/>
      <c r="D5187" s="19"/>
      <c r="H5187" s="18"/>
      <c r="J5187" s="18"/>
      <c r="N5187" s="16"/>
      <c r="O5187" s="17"/>
      <c r="Q5187" s="22"/>
      <c r="R5187" s="23"/>
    </row>
    <row r="5188" spans="1:18" ht="12.75">
      <c r="A5188" s="22"/>
      <c r="D5188" s="19"/>
      <c r="H5188" s="18"/>
      <c r="J5188" s="18"/>
      <c r="N5188" s="16"/>
      <c r="O5188" s="17"/>
      <c r="Q5188" s="22"/>
      <c r="R5188" s="23"/>
    </row>
    <row r="5189" spans="1:18" ht="12.75">
      <c r="A5189" s="22"/>
      <c r="D5189" s="19"/>
      <c r="H5189" s="18"/>
      <c r="J5189" s="18"/>
      <c r="N5189" s="16"/>
      <c r="O5189" s="17"/>
      <c r="Q5189" s="22"/>
      <c r="R5189" s="23"/>
    </row>
    <row r="5190" spans="1:18" ht="12.75">
      <c r="A5190" s="22"/>
      <c r="D5190" s="19"/>
      <c r="H5190" s="18"/>
      <c r="J5190" s="18"/>
      <c r="N5190" s="16"/>
      <c r="O5190" s="17"/>
      <c r="Q5190" s="22"/>
      <c r="R5190" s="23"/>
    </row>
    <row r="5191" spans="1:18" ht="12.75">
      <c r="A5191" s="22"/>
      <c r="D5191" s="19"/>
      <c r="H5191" s="18"/>
      <c r="J5191" s="18"/>
      <c r="N5191" s="16"/>
      <c r="O5191" s="17"/>
      <c r="Q5191" s="22"/>
      <c r="R5191" s="23"/>
    </row>
    <row r="5192" spans="1:18" ht="12.75">
      <c r="A5192" s="22"/>
      <c r="D5192" s="19"/>
      <c r="H5192" s="18"/>
      <c r="J5192" s="18"/>
      <c r="N5192" s="16"/>
      <c r="O5192" s="17"/>
      <c r="Q5192" s="22"/>
      <c r="R5192" s="23"/>
    </row>
    <row r="5193" spans="1:18" ht="12.75">
      <c r="A5193" s="22"/>
      <c r="D5193" s="19"/>
      <c r="H5193" s="18"/>
      <c r="J5193" s="18"/>
      <c r="N5193" s="16"/>
      <c r="O5193" s="17"/>
      <c r="Q5193" s="22"/>
      <c r="R5193" s="23"/>
    </row>
    <row r="5194" spans="1:18" ht="12.75">
      <c r="A5194" s="22"/>
      <c r="D5194" s="19"/>
      <c r="H5194" s="18"/>
      <c r="J5194" s="18"/>
      <c r="N5194" s="16"/>
      <c r="O5194" s="17"/>
      <c r="Q5194" s="22"/>
      <c r="R5194" s="23"/>
    </row>
    <row r="5195" spans="1:18" ht="12.75">
      <c r="A5195" s="22"/>
      <c r="D5195" s="19"/>
      <c r="H5195" s="18"/>
      <c r="J5195" s="18"/>
      <c r="N5195" s="16"/>
      <c r="O5195" s="17"/>
      <c r="Q5195" s="22"/>
      <c r="R5195" s="23"/>
    </row>
    <row r="5196" spans="1:18" ht="12.75">
      <c r="A5196" s="22"/>
      <c r="D5196" s="19"/>
      <c r="H5196" s="18"/>
      <c r="J5196" s="18"/>
      <c r="N5196" s="16"/>
      <c r="O5196" s="17"/>
      <c r="Q5196" s="22"/>
      <c r="R5196" s="23"/>
    </row>
    <row r="5197" spans="1:18" ht="12.75">
      <c r="A5197" s="22"/>
      <c r="D5197" s="19"/>
      <c r="H5197" s="18"/>
      <c r="J5197" s="18"/>
      <c r="N5197" s="16"/>
      <c r="O5197" s="17"/>
      <c r="Q5197" s="22"/>
      <c r="R5197" s="23"/>
    </row>
    <row r="5198" spans="1:18" ht="12.75">
      <c r="A5198" s="22"/>
      <c r="D5198" s="19"/>
      <c r="H5198" s="18"/>
      <c r="J5198" s="18"/>
      <c r="N5198" s="16"/>
      <c r="O5198" s="17"/>
      <c r="Q5198" s="22"/>
      <c r="R5198" s="23"/>
    </row>
    <row r="5199" spans="1:18" ht="12.75">
      <c r="A5199" s="22"/>
      <c r="D5199" s="19"/>
      <c r="H5199" s="18"/>
      <c r="J5199" s="18"/>
      <c r="N5199" s="16"/>
      <c r="O5199" s="17"/>
      <c r="Q5199" s="22"/>
      <c r="R5199" s="23"/>
    </row>
    <row r="5200" spans="1:18" ht="12.75">
      <c r="A5200" s="22"/>
      <c r="D5200" s="19"/>
      <c r="H5200" s="18"/>
      <c r="J5200" s="18"/>
      <c r="N5200" s="16"/>
      <c r="O5200" s="17"/>
      <c r="Q5200" s="22"/>
      <c r="R5200" s="23"/>
    </row>
    <row r="5201" spans="1:18" ht="12.75">
      <c r="A5201" s="22"/>
      <c r="D5201" s="19"/>
      <c r="H5201" s="18"/>
      <c r="J5201" s="18"/>
      <c r="N5201" s="16"/>
      <c r="O5201" s="17"/>
      <c r="Q5201" s="22"/>
      <c r="R5201" s="23"/>
    </row>
    <row r="5202" spans="1:18" ht="12.75">
      <c r="A5202" s="22"/>
      <c r="D5202" s="19"/>
      <c r="H5202" s="18"/>
      <c r="J5202" s="18"/>
      <c r="N5202" s="16"/>
      <c r="O5202" s="17"/>
      <c r="Q5202" s="22"/>
      <c r="R5202" s="23"/>
    </row>
    <row r="5203" spans="1:18" ht="12.75">
      <c r="A5203" s="22"/>
      <c r="D5203" s="19"/>
      <c r="H5203" s="18"/>
      <c r="J5203" s="18"/>
      <c r="N5203" s="16"/>
      <c r="O5203" s="17"/>
      <c r="Q5203" s="22"/>
      <c r="R5203" s="23"/>
    </row>
    <row r="5204" spans="1:18" ht="12.75">
      <c r="A5204" s="22"/>
      <c r="D5204" s="19"/>
      <c r="H5204" s="18"/>
      <c r="J5204" s="18"/>
      <c r="N5204" s="16"/>
      <c r="O5204" s="17"/>
      <c r="Q5204" s="22"/>
      <c r="R5204" s="23"/>
    </row>
    <row r="5205" spans="1:18" ht="12.75">
      <c r="A5205" s="22"/>
      <c r="D5205" s="19"/>
      <c r="H5205" s="18"/>
      <c r="J5205" s="18"/>
      <c r="N5205" s="16"/>
      <c r="O5205" s="17"/>
      <c r="Q5205" s="22"/>
      <c r="R5205" s="23"/>
    </row>
    <row r="5206" spans="1:18" ht="12.75">
      <c r="A5206" s="22"/>
      <c r="D5206" s="19"/>
      <c r="H5206" s="18"/>
      <c r="J5206" s="18"/>
      <c r="N5206" s="16"/>
      <c r="O5206" s="17"/>
      <c r="Q5206" s="22"/>
      <c r="R5206" s="23"/>
    </row>
    <row r="5207" spans="1:18" ht="12.75">
      <c r="A5207" s="22"/>
      <c r="D5207" s="19"/>
      <c r="H5207" s="18"/>
      <c r="J5207" s="18"/>
      <c r="N5207" s="16"/>
      <c r="O5207" s="17"/>
      <c r="Q5207" s="22"/>
      <c r="R5207" s="23"/>
    </row>
    <row r="5208" spans="1:18" ht="12.75">
      <c r="A5208" s="22"/>
      <c r="D5208" s="19"/>
      <c r="H5208" s="18"/>
      <c r="J5208" s="18"/>
      <c r="N5208" s="16"/>
      <c r="O5208" s="17"/>
      <c r="Q5208" s="22"/>
      <c r="R5208" s="23"/>
    </row>
    <row r="5209" spans="1:18" ht="12.75">
      <c r="A5209" s="22"/>
      <c r="D5209" s="19"/>
      <c r="H5209" s="18"/>
      <c r="J5209" s="18"/>
      <c r="N5209" s="16"/>
      <c r="O5209" s="17"/>
      <c r="Q5209" s="22"/>
      <c r="R5209" s="23"/>
    </row>
    <row r="5210" spans="1:18" ht="12.75">
      <c r="A5210" s="22"/>
      <c r="D5210" s="19"/>
      <c r="H5210" s="18"/>
      <c r="J5210" s="18"/>
      <c r="N5210" s="16"/>
      <c r="O5210" s="17"/>
      <c r="Q5210" s="22"/>
      <c r="R5210" s="23"/>
    </row>
    <row r="5211" spans="1:18" ht="12.75">
      <c r="A5211" s="22"/>
      <c r="D5211" s="19"/>
      <c r="H5211" s="18"/>
      <c r="J5211" s="18"/>
      <c r="N5211" s="16"/>
      <c r="O5211" s="17"/>
      <c r="Q5211" s="22"/>
      <c r="R5211" s="23"/>
    </row>
    <row r="5212" spans="1:18" ht="12.75">
      <c r="A5212" s="22"/>
      <c r="D5212" s="19"/>
      <c r="H5212" s="18"/>
      <c r="J5212" s="18"/>
      <c r="N5212" s="16"/>
      <c r="O5212" s="17"/>
      <c r="Q5212" s="22"/>
      <c r="R5212" s="23"/>
    </row>
    <row r="5213" spans="1:18" ht="12.75">
      <c r="A5213" s="22"/>
      <c r="D5213" s="19"/>
      <c r="H5213" s="18"/>
      <c r="J5213" s="18"/>
      <c r="N5213" s="16"/>
      <c r="O5213" s="17"/>
      <c r="Q5213" s="22"/>
      <c r="R5213" s="23"/>
    </row>
    <row r="5214" spans="1:18" ht="12.75">
      <c r="A5214" s="22"/>
      <c r="D5214" s="19"/>
      <c r="H5214" s="18"/>
      <c r="J5214" s="18"/>
      <c r="N5214" s="16"/>
      <c r="O5214" s="17"/>
      <c r="Q5214" s="22"/>
      <c r="R5214" s="23"/>
    </row>
    <row r="5215" spans="1:18" ht="12.75">
      <c r="A5215" s="22"/>
      <c r="D5215" s="19"/>
      <c r="H5215" s="18"/>
      <c r="J5215" s="18"/>
      <c r="N5215" s="16"/>
      <c r="O5215" s="17"/>
      <c r="Q5215" s="22"/>
      <c r="R5215" s="23"/>
    </row>
    <row r="5216" spans="1:18" ht="12.75">
      <c r="A5216" s="22"/>
      <c r="D5216" s="19"/>
      <c r="H5216" s="18"/>
      <c r="J5216" s="18"/>
      <c r="N5216" s="16"/>
      <c r="O5216" s="17"/>
      <c r="Q5216" s="22"/>
      <c r="R5216" s="23"/>
    </row>
    <row r="5217" spans="1:18" ht="12.75">
      <c r="A5217" s="22"/>
      <c r="D5217" s="19"/>
      <c r="H5217" s="18"/>
      <c r="J5217" s="18"/>
      <c r="N5217" s="16"/>
      <c r="O5217" s="17"/>
      <c r="Q5217" s="22"/>
      <c r="R5217" s="23"/>
    </row>
    <row r="5218" spans="1:18" ht="12.75">
      <c r="A5218" s="22"/>
      <c r="D5218" s="19"/>
      <c r="H5218" s="18"/>
      <c r="J5218" s="18"/>
      <c r="N5218" s="16"/>
      <c r="O5218" s="17"/>
      <c r="Q5218" s="22"/>
      <c r="R5218" s="23"/>
    </row>
    <row r="5219" spans="1:18" ht="12.75">
      <c r="A5219" s="22"/>
      <c r="D5219" s="19"/>
      <c r="H5219" s="18"/>
      <c r="J5219" s="18"/>
      <c r="N5219" s="16"/>
      <c r="O5219" s="17"/>
      <c r="Q5219" s="22"/>
      <c r="R5219" s="23"/>
    </row>
    <row r="5220" spans="1:18" ht="12.75">
      <c r="A5220" s="22"/>
      <c r="D5220" s="19"/>
      <c r="H5220" s="18"/>
      <c r="J5220" s="18"/>
      <c r="N5220" s="16"/>
      <c r="O5220" s="17"/>
      <c r="Q5220" s="22"/>
      <c r="R5220" s="23"/>
    </row>
    <row r="5221" spans="1:18" ht="12.75">
      <c r="A5221" s="22"/>
      <c r="D5221" s="19"/>
      <c r="H5221" s="18"/>
      <c r="J5221" s="18"/>
      <c r="N5221" s="16"/>
      <c r="O5221" s="17"/>
      <c r="Q5221" s="22"/>
      <c r="R5221" s="23"/>
    </row>
    <row r="5222" spans="1:18" ht="12.75">
      <c r="A5222" s="22"/>
      <c r="D5222" s="19"/>
      <c r="H5222" s="18"/>
      <c r="J5222" s="18"/>
      <c r="N5222" s="16"/>
      <c r="O5222" s="17"/>
      <c r="Q5222" s="22"/>
      <c r="R5222" s="23"/>
    </row>
    <row r="5223" spans="1:18" ht="12.75">
      <c r="A5223" s="22"/>
      <c r="D5223" s="19"/>
      <c r="H5223" s="18"/>
      <c r="J5223" s="18"/>
      <c r="N5223" s="16"/>
      <c r="O5223" s="17"/>
      <c r="Q5223" s="22"/>
      <c r="R5223" s="23"/>
    </row>
    <row r="5224" spans="1:18" ht="12.75">
      <c r="A5224" s="22"/>
      <c r="D5224" s="19"/>
      <c r="H5224" s="18"/>
      <c r="J5224" s="18"/>
      <c r="N5224" s="16"/>
      <c r="O5224" s="17"/>
      <c r="Q5224" s="22"/>
      <c r="R5224" s="23"/>
    </row>
    <row r="5225" spans="1:18" ht="12.75">
      <c r="A5225" s="22"/>
      <c r="D5225" s="19"/>
      <c r="H5225" s="18"/>
      <c r="J5225" s="18"/>
      <c r="N5225" s="16"/>
      <c r="O5225" s="17"/>
      <c r="Q5225" s="22"/>
      <c r="R5225" s="23"/>
    </row>
    <row r="5226" spans="1:18" ht="12.75">
      <c r="A5226" s="22"/>
      <c r="D5226" s="19"/>
      <c r="H5226" s="18"/>
      <c r="J5226" s="18"/>
      <c r="N5226" s="16"/>
      <c r="O5226" s="17"/>
      <c r="Q5226" s="22"/>
      <c r="R5226" s="23"/>
    </row>
    <row r="5227" spans="1:18" ht="12.75">
      <c r="A5227" s="22"/>
      <c r="D5227" s="19"/>
      <c r="H5227" s="18"/>
      <c r="J5227" s="18"/>
      <c r="N5227" s="16"/>
      <c r="O5227" s="17"/>
      <c r="Q5227" s="22"/>
      <c r="R5227" s="23"/>
    </row>
    <row r="5228" spans="1:18" ht="12.75">
      <c r="A5228" s="22"/>
      <c r="D5228" s="19"/>
      <c r="H5228" s="18"/>
      <c r="J5228" s="18"/>
      <c r="N5228" s="16"/>
      <c r="O5228" s="17"/>
      <c r="Q5228" s="22"/>
      <c r="R5228" s="23"/>
    </row>
    <row r="5229" spans="1:18" ht="12.75">
      <c r="A5229" s="22"/>
      <c r="D5229" s="19"/>
      <c r="H5229" s="18"/>
      <c r="J5229" s="18"/>
      <c r="N5229" s="16"/>
      <c r="O5229" s="17"/>
      <c r="Q5229" s="22"/>
      <c r="R5229" s="23"/>
    </row>
    <row r="5230" spans="1:18" ht="12.75">
      <c r="A5230" s="22"/>
      <c r="D5230" s="19"/>
      <c r="H5230" s="18"/>
      <c r="J5230" s="18"/>
      <c r="N5230" s="16"/>
      <c r="O5230" s="17"/>
      <c r="Q5230" s="22"/>
      <c r="R5230" s="23"/>
    </row>
    <row r="5231" spans="1:18" ht="12.75">
      <c r="A5231" s="22"/>
      <c r="D5231" s="19"/>
      <c r="H5231" s="18"/>
      <c r="J5231" s="18"/>
      <c r="N5231" s="16"/>
      <c r="O5231" s="17"/>
      <c r="Q5231" s="22"/>
      <c r="R5231" s="23"/>
    </row>
    <row r="5232" spans="1:18" ht="12.75">
      <c r="A5232" s="22"/>
      <c r="D5232" s="19"/>
      <c r="H5232" s="18"/>
      <c r="J5232" s="18"/>
      <c r="N5232" s="16"/>
      <c r="O5232" s="17"/>
      <c r="Q5232" s="22"/>
      <c r="R5232" s="23"/>
    </row>
    <row r="5233" spans="1:18" ht="12.75">
      <c r="A5233" s="22"/>
      <c r="D5233" s="19"/>
      <c r="H5233" s="18"/>
      <c r="J5233" s="18"/>
      <c r="N5233" s="16"/>
      <c r="O5233" s="17"/>
      <c r="Q5233" s="22"/>
      <c r="R5233" s="23"/>
    </row>
    <row r="5234" spans="1:18" ht="12.75">
      <c r="A5234" s="22"/>
      <c r="D5234" s="19"/>
      <c r="H5234" s="18"/>
      <c r="J5234" s="18"/>
      <c r="N5234" s="16"/>
      <c r="O5234" s="17"/>
      <c r="Q5234" s="22"/>
      <c r="R5234" s="23"/>
    </row>
    <row r="5235" spans="1:18" ht="12.75">
      <c r="A5235" s="22"/>
      <c r="D5235" s="19"/>
      <c r="H5235" s="18"/>
      <c r="J5235" s="18"/>
      <c r="N5235" s="16"/>
      <c r="O5235" s="17"/>
      <c r="Q5235" s="22"/>
      <c r="R5235" s="23"/>
    </row>
    <row r="5236" spans="1:18" ht="12.75">
      <c r="A5236" s="22"/>
      <c r="D5236" s="19"/>
      <c r="H5236" s="18"/>
      <c r="J5236" s="18"/>
      <c r="N5236" s="16"/>
      <c r="O5236" s="17"/>
      <c r="Q5236" s="22"/>
      <c r="R5236" s="23"/>
    </row>
    <row r="5237" spans="1:18" ht="12.75">
      <c r="A5237" s="22"/>
      <c r="D5237" s="19"/>
      <c r="H5237" s="18"/>
      <c r="J5237" s="18"/>
      <c r="N5237" s="16"/>
      <c r="O5237" s="17"/>
      <c r="Q5237" s="22"/>
      <c r="R5237" s="23"/>
    </row>
    <row r="5238" spans="1:18" ht="12.75">
      <c r="A5238" s="22"/>
      <c r="D5238" s="19"/>
      <c r="H5238" s="18"/>
      <c r="J5238" s="18"/>
      <c r="N5238" s="16"/>
      <c r="O5238" s="17"/>
      <c r="Q5238" s="22"/>
      <c r="R5238" s="23"/>
    </row>
    <row r="5239" spans="1:18" ht="12.75">
      <c r="A5239" s="22"/>
      <c r="D5239" s="19"/>
      <c r="H5239" s="18"/>
      <c r="J5239" s="18"/>
      <c r="N5239" s="16"/>
      <c r="O5239" s="17"/>
      <c r="Q5239" s="22"/>
      <c r="R5239" s="23"/>
    </row>
    <row r="5240" spans="1:18" ht="12.75">
      <c r="A5240" s="22"/>
      <c r="D5240" s="19"/>
      <c r="H5240" s="18"/>
      <c r="J5240" s="18"/>
      <c r="N5240" s="16"/>
      <c r="O5240" s="17"/>
      <c r="Q5240" s="22"/>
      <c r="R5240" s="23"/>
    </row>
    <row r="5241" spans="1:18" ht="12.75">
      <c r="A5241" s="22"/>
      <c r="D5241" s="19"/>
      <c r="H5241" s="18"/>
      <c r="J5241" s="18"/>
      <c r="N5241" s="16"/>
      <c r="O5241" s="17"/>
      <c r="Q5241" s="22"/>
      <c r="R5241" s="23"/>
    </row>
    <row r="5242" spans="1:18" ht="12.75">
      <c r="A5242" s="22"/>
      <c r="D5242" s="19"/>
      <c r="H5242" s="18"/>
      <c r="J5242" s="18"/>
      <c r="N5242" s="16"/>
      <c r="O5242" s="17"/>
      <c r="Q5242" s="22"/>
      <c r="R5242" s="23"/>
    </row>
    <row r="5243" spans="1:18" ht="12.75">
      <c r="A5243" s="22"/>
      <c r="D5243" s="19"/>
      <c r="H5243" s="18"/>
      <c r="J5243" s="18"/>
      <c r="N5243" s="16"/>
      <c r="O5243" s="17"/>
      <c r="Q5243" s="22"/>
      <c r="R5243" s="23"/>
    </row>
    <row r="5244" spans="1:18" ht="12.75">
      <c r="A5244" s="22"/>
      <c r="D5244" s="19"/>
      <c r="H5244" s="18"/>
      <c r="J5244" s="18"/>
      <c r="N5244" s="16"/>
      <c r="O5244" s="17"/>
      <c r="Q5244" s="22"/>
      <c r="R5244" s="23"/>
    </row>
    <row r="5245" spans="1:18" ht="12.75">
      <c r="A5245" s="22"/>
      <c r="D5245" s="19"/>
      <c r="H5245" s="18"/>
      <c r="J5245" s="18"/>
      <c r="N5245" s="16"/>
      <c r="O5245" s="17"/>
      <c r="Q5245" s="22"/>
      <c r="R5245" s="23"/>
    </row>
    <row r="5246" spans="1:18" ht="12.75">
      <c r="A5246" s="22"/>
      <c r="D5246" s="19"/>
      <c r="H5246" s="18"/>
      <c r="J5246" s="18"/>
      <c r="N5246" s="16"/>
      <c r="O5246" s="17"/>
      <c r="Q5246" s="22"/>
      <c r="R5246" s="23"/>
    </row>
    <row r="5247" spans="1:18" ht="12.75">
      <c r="A5247" s="22"/>
      <c r="D5247" s="19"/>
      <c r="H5247" s="18"/>
      <c r="J5247" s="18"/>
      <c r="N5247" s="16"/>
      <c r="O5247" s="17"/>
      <c r="Q5247" s="22"/>
      <c r="R5247" s="23"/>
    </row>
    <row r="5248" spans="1:18" ht="12.75">
      <c r="A5248" s="22"/>
      <c r="D5248" s="19"/>
      <c r="H5248" s="18"/>
      <c r="J5248" s="18"/>
      <c r="N5248" s="16"/>
      <c r="O5248" s="17"/>
      <c r="Q5248" s="22"/>
      <c r="R5248" s="23"/>
    </row>
    <row r="5249" spans="1:18" ht="12.75">
      <c r="A5249" s="22"/>
      <c r="D5249" s="19"/>
      <c r="H5249" s="18"/>
      <c r="J5249" s="18"/>
      <c r="N5249" s="16"/>
      <c r="O5249" s="17"/>
      <c r="Q5249" s="22"/>
      <c r="R5249" s="23"/>
    </row>
    <row r="5250" spans="1:18" ht="12.75">
      <c r="A5250" s="22"/>
      <c r="D5250" s="19"/>
      <c r="H5250" s="18"/>
      <c r="J5250" s="18"/>
      <c r="N5250" s="16"/>
      <c r="O5250" s="17"/>
      <c r="Q5250" s="22"/>
      <c r="R5250" s="23"/>
    </row>
    <row r="5251" spans="1:18" ht="12.75">
      <c r="A5251" s="22"/>
      <c r="D5251" s="19"/>
      <c r="H5251" s="18"/>
      <c r="J5251" s="18"/>
      <c r="N5251" s="16"/>
      <c r="O5251" s="17"/>
      <c r="Q5251" s="22"/>
      <c r="R5251" s="23"/>
    </row>
    <row r="5252" spans="1:18" ht="12.75">
      <c r="A5252" s="22"/>
      <c r="D5252" s="19"/>
      <c r="H5252" s="18"/>
      <c r="J5252" s="18"/>
      <c r="N5252" s="16"/>
      <c r="O5252" s="17"/>
      <c r="Q5252" s="22"/>
      <c r="R5252" s="23"/>
    </row>
    <row r="5253" spans="1:18" ht="12.75">
      <c r="A5253" s="22"/>
      <c r="D5253" s="19"/>
      <c r="H5253" s="18"/>
      <c r="J5253" s="18"/>
      <c r="N5253" s="16"/>
      <c r="O5253" s="17"/>
      <c r="Q5253" s="22"/>
      <c r="R5253" s="23"/>
    </row>
    <row r="5254" spans="1:18" ht="12.75">
      <c r="A5254" s="22"/>
      <c r="D5254" s="19"/>
      <c r="H5254" s="18"/>
      <c r="J5254" s="18"/>
      <c r="N5254" s="16"/>
      <c r="O5254" s="17"/>
      <c r="Q5254" s="22"/>
      <c r="R5254" s="23"/>
    </row>
    <row r="5255" spans="1:18" ht="12.75">
      <c r="A5255" s="22"/>
      <c r="D5255" s="19"/>
      <c r="H5255" s="18"/>
      <c r="J5255" s="18"/>
      <c r="N5255" s="16"/>
      <c r="O5255" s="17"/>
      <c r="Q5255" s="22"/>
      <c r="R5255" s="23"/>
    </row>
    <row r="5256" spans="1:18" ht="12.75">
      <c r="A5256" s="22"/>
      <c r="D5256" s="19"/>
      <c r="H5256" s="18"/>
      <c r="J5256" s="18"/>
      <c r="N5256" s="16"/>
      <c r="O5256" s="17"/>
      <c r="Q5256" s="22"/>
      <c r="R5256" s="23"/>
    </row>
    <row r="5257" spans="1:18" ht="12.75">
      <c r="A5257" s="22"/>
      <c r="D5257" s="19"/>
      <c r="H5257" s="18"/>
      <c r="J5257" s="18"/>
      <c r="N5257" s="16"/>
      <c r="O5257" s="17"/>
      <c r="Q5257" s="22"/>
      <c r="R5257" s="23"/>
    </row>
    <row r="5258" spans="1:18" ht="12.75">
      <c r="A5258" s="22"/>
      <c r="D5258" s="19"/>
      <c r="H5258" s="18"/>
      <c r="J5258" s="18"/>
      <c r="N5258" s="16"/>
      <c r="O5258" s="17"/>
      <c r="Q5258" s="22"/>
      <c r="R5258" s="23"/>
    </row>
    <row r="5259" spans="1:18" ht="12.75">
      <c r="A5259" s="22"/>
      <c r="D5259" s="19"/>
      <c r="H5259" s="18"/>
      <c r="J5259" s="18"/>
      <c r="N5259" s="16"/>
      <c r="O5259" s="17"/>
      <c r="Q5259" s="22"/>
      <c r="R5259" s="23"/>
    </row>
    <row r="5260" spans="1:18" ht="12.75">
      <c r="A5260" s="22"/>
      <c r="D5260" s="19"/>
      <c r="H5260" s="18"/>
      <c r="J5260" s="18"/>
      <c r="N5260" s="16"/>
      <c r="O5260" s="17"/>
      <c r="Q5260" s="22"/>
      <c r="R5260" s="23"/>
    </row>
    <row r="5261" spans="1:18" ht="12.75">
      <c r="A5261" s="22"/>
      <c r="D5261" s="19"/>
      <c r="H5261" s="18"/>
      <c r="J5261" s="18"/>
      <c r="N5261" s="16"/>
      <c r="O5261" s="17"/>
      <c r="Q5261" s="22"/>
      <c r="R5261" s="23"/>
    </row>
    <row r="5262" spans="1:18" ht="12.75">
      <c r="A5262" s="22"/>
      <c r="D5262" s="19"/>
      <c r="H5262" s="18"/>
      <c r="J5262" s="18"/>
      <c r="N5262" s="16"/>
      <c r="O5262" s="17"/>
      <c r="Q5262" s="22"/>
      <c r="R5262" s="23"/>
    </row>
    <row r="5263" spans="1:18" ht="12.75">
      <c r="A5263" s="22"/>
      <c r="D5263" s="19"/>
      <c r="H5263" s="18"/>
      <c r="J5263" s="18"/>
      <c r="N5263" s="16"/>
      <c r="O5263" s="17"/>
      <c r="Q5263" s="22"/>
      <c r="R5263" s="23"/>
    </row>
    <row r="5264" spans="1:18" ht="12.75">
      <c r="A5264" s="22"/>
      <c r="D5264" s="19"/>
      <c r="H5264" s="18"/>
      <c r="J5264" s="18"/>
      <c r="N5264" s="16"/>
      <c r="O5264" s="17"/>
      <c r="Q5264" s="22"/>
      <c r="R5264" s="23"/>
    </row>
    <row r="5265" spans="1:18" ht="12.75">
      <c r="A5265" s="22"/>
      <c r="D5265" s="19"/>
      <c r="H5265" s="18"/>
      <c r="J5265" s="18"/>
      <c r="N5265" s="16"/>
      <c r="O5265" s="17"/>
      <c r="Q5265" s="22"/>
      <c r="R5265" s="23"/>
    </row>
    <row r="5266" spans="1:18" ht="12.75">
      <c r="A5266" s="22"/>
      <c r="D5266" s="19"/>
      <c r="H5266" s="18"/>
      <c r="J5266" s="18"/>
      <c r="N5266" s="16"/>
      <c r="O5266" s="17"/>
      <c r="Q5266" s="22"/>
      <c r="R5266" s="23"/>
    </row>
    <row r="5267" spans="1:18" ht="12.75">
      <c r="A5267" s="22"/>
      <c r="D5267" s="19"/>
      <c r="H5267" s="18"/>
      <c r="J5267" s="18"/>
      <c r="N5267" s="16"/>
      <c r="O5267" s="17"/>
      <c r="Q5267" s="22"/>
      <c r="R5267" s="23"/>
    </row>
    <row r="5268" spans="1:18" ht="12.75">
      <c r="A5268" s="22"/>
      <c r="D5268" s="19"/>
      <c r="H5268" s="18"/>
      <c r="J5268" s="18"/>
      <c r="N5268" s="16"/>
      <c r="O5268" s="17"/>
      <c r="Q5268" s="22"/>
      <c r="R5268" s="23"/>
    </row>
    <row r="5269" spans="1:18" ht="12.75">
      <c r="A5269" s="22"/>
      <c r="D5269" s="19"/>
      <c r="H5269" s="18"/>
      <c r="J5269" s="18"/>
      <c r="N5269" s="16"/>
      <c r="O5269" s="17"/>
      <c r="Q5269" s="22"/>
      <c r="R5269" s="23"/>
    </row>
    <row r="5270" spans="1:18" ht="12.75">
      <c r="A5270" s="22"/>
      <c r="D5270" s="19"/>
      <c r="H5270" s="18"/>
      <c r="J5270" s="18"/>
      <c r="N5270" s="16"/>
      <c r="O5270" s="17"/>
      <c r="Q5270" s="22"/>
      <c r="R5270" s="23"/>
    </row>
    <row r="5271" spans="1:18" ht="12.75">
      <c r="A5271" s="22"/>
      <c r="D5271" s="19"/>
      <c r="H5271" s="18"/>
      <c r="J5271" s="18"/>
      <c r="N5271" s="16"/>
      <c r="O5271" s="17"/>
      <c r="Q5271" s="22"/>
      <c r="R5271" s="23"/>
    </row>
    <row r="5272" spans="1:18" ht="12.75">
      <c r="A5272" s="22"/>
      <c r="D5272" s="19"/>
      <c r="H5272" s="18"/>
      <c r="J5272" s="18"/>
      <c r="N5272" s="16"/>
      <c r="O5272" s="17"/>
      <c r="Q5272" s="22"/>
      <c r="R5272" s="23"/>
    </row>
    <row r="5273" spans="1:18" ht="12.75">
      <c r="A5273" s="22"/>
      <c r="D5273" s="19"/>
      <c r="H5273" s="18"/>
      <c r="J5273" s="18"/>
      <c r="N5273" s="16"/>
      <c r="O5273" s="17"/>
      <c r="Q5273" s="22"/>
      <c r="R5273" s="23"/>
    </row>
    <row r="5274" spans="1:18" ht="12.75">
      <c r="A5274" s="22"/>
      <c r="D5274" s="19"/>
      <c r="H5274" s="18"/>
      <c r="J5274" s="18"/>
      <c r="N5274" s="16"/>
      <c r="O5274" s="17"/>
      <c r="Q5274" s="22"/>
      <c r="R5274" s="23"/>
    </row>
    <row r="5275" spans="1:18" ht="12.75">
      <c r="A5275" s="22"/>
      <c r="D5275" s="19"/>
      <c r="H5275" s="18"/>
      <c r="J5275" s="18"/>
      <c r="N5275" s="16"/>
      <c r="O5275" s="17"/>
      <c r="Q5275" s="22"/>
      <c r="R5275" s="23"/>
    </row>
    <row r="5276" spans="1:18" ht="12.75">
      <c r="A5276" s="22"/>
      <c r="D5276" s="19"/>
      <c r="H5276" s="18"/>
      <c r="J5276" s="18"/>
      <c r="N5276" s="16"/>
      <c r="O5276" s="17"/>
      <c r="Q5276" s="22"/>
      <c r="R5276" s="23"/>
    </row>
    <row r="5277" spans="1:18" ht="12.75">
      <c r="A5277" s="22"/>
      <c r="D5277" s="19"/>
      <c r="H5277" s="18"/>
      <c r="J5277" s="18"/>
      <c r="N5277" s="16"/>
      <c r="O5277" s="17"/>
      <c r="Q5277" s="22"/>
      <c r="R5277" s="23"/>
    </row>
    <row r="5278" spans="1:18" ht="12.75">
      <c r="A5278" s="22"/>
      <c r="D5278" s="19"/>
      <c r="H5278" s="18"/>
      <c r="J5278" s="18"/>
      <c r="N5278" s="16"/>
      <c r="O5278" s="17"/>
      <c r="Q5278" s="22"/>
      <c r="R5278" s="23"/>
    </row>
    <row r="5279" spans="1:18" ht="12.75">
      <c r="A5279" s="22"/>
      <c r="D5279" s="19"/>
      <c r="H5279" s="18"/>
      <c r="J5279" s="18"/>
      <c r="N5279" s="16"/>
      <c r="O5279" s="17"/>
      <c r="Q5279" s="22"/>
      <c r="R5279" s="23"/>
    </row>
    <row r="5280" spans="1:18" ht="12.75">
      <c r="A5280" s="22"/>
      <c r="D5280" s="19"/>
      <c r="H5280" s="18"/>
      <c r="J5280" s="18"/>
      <c r="N5280" s="16"/>
      <c r="O5280" s="17"/>
      <c r="Q5280" s="22"/>
      <c r="R5280" s="23"/>
    </row>
    <row r="5281" spans="1:18" ht="12.75">
      <c r="A5281" s="22"/>
      <c r="D5281" s="19"/>
      <c r="H5281" s="18"/>
      <c r="J5281" s="18"/>
      <c r="N5281" s="16"/>
      <c r="O5281" s="17"/>
      <c r="Q5281" s="22"/>
      <c r="R5281" s="23"/>
    </row>
    <row r="5282" spans="1:18" ht="12.75">
      <c r="A5282" s="22"/>
      <c r="D5282" s="19"/>
      <c r="H5282" s="18"/>
      <c r="J5282" s="18"/>
      <c r="N5282" s="16"/>
      <c r="O5282" s="17"/>
      <c r="Q5282" s="22"/>
      <c r="R5282" s="23"/>
    </row>
    <row r="5283" spans="1:18" ht="12.75">
      <c r="A5283" s="22"/>
      <c r="D5283" s="19"/>
      <c r="H5283" s="18"/>
      <c r="J5283" s="18"/>
      <c r="N5283" s="16"/>
      <c r="O5283" s="17"/>
      <c r="Q5283" s="22"/>
      <c r="R5283" s="23"/>
    </row>
    <row r="5284" spans="1:18" ht="12.75">
      <c r="A5284" s="22"/>
      <c r="D5284" s="19"/>
      <c r="H5284" s="18"/>
      <c r="J5284" s="18"/>
      <c r="N5284" s="16"/>
      <c r="O5284" s="17"/>
      <c r="Q5284" s="22"/>
      <c r="R5284" s="23"/>
    </row>
    <row r="5285" spans="1:18" ht="12.75">
      <c r="A5285" s="22"/>
      <c r="D5285" s="19"/>
      <c r="H5285" s="18"/>
      <c r="J5285" s="18"/>
      <c r="N5285" s="16"/>
      <c r="O5285" s="17"/>
      <c r="Q5285" s="22"/>
      <c r="R5285" s="23"/>
    </row>
    <row r="5286" spans="1:18" ht="12.75">
      <c r="A5286" s="22"/>
      <c r="D5286" s="19"/>
      <c r="H5286" s="18"/>
      <c r="J5286" s="18"/>
      <c r="N5286" s="16"/>
      <c r="O5286" s="17"/>
      <c r="Q5286" s="22"/>
      <c r="R5286" s="23"/>
    </row>
    <row r="5287" spans="1:18" ht="12.75">
      <c r="A5287" s="22"/>
      <c r="D5287" s="19"/>
      <c r="H5287" s="18"/>
      <c r="J5287" s="18"/>
      <c r="N5287" s="16"/>
      <c r="O5287" s="17"/>
      <c r="Q5287" s="22"/>
      <c r="R5287" s="23"/>
    </row>
    <row r="5288" spans="1:18" ht="12.75">
      <c r="A5288" s="22"/>
      <c r="D5288" s="19"/>
      <c r="H5288" s="18"/>
      <c r="J5288" s="18"/>
      <c r="N5288" s="16"/>
      <c r="O5288" s="17"/>
      <c r="Q5288" s="22"/>
      <c r="R5288" s="23"/>
    </row>
    <row r="5289" spans="1:18" ht="12.75">
      <c r="A5289" s="22"/>
      <c r="D5289" s="19"/>
      <c r="H5289" s="18"/>
      <c r="J5289" s="18"/>
      <c r="N5289" s="16"/>
      <c r="O5289" s="17"/>
      <c r="Q5289" s="22"/>
      <c r="R5289" s="23"/>
    </row>
    <row r="5290" spans="1:18" ht="12.75">
      <c r="A5290" s="22"/>
      <c r="D5290" s="19"/>
      <c r="H5290" s="18"/>
      <c r="J5290" s="18"/>
      <c r="N5290" s="16"/>
      <c r="O5290" s="17"/>
      <c r="Q5290" s="22"/>
      <c r="R5290" s="23"/>
    </row>
    <row r="5291" spans="1:18" ht="12.75">
      <c r="A5291" s="22"/>
      <c r="D5291" s="19"/>
      <c r="H5291" s="18"/>
      <c r="J5291" s="18"/>
      <c r="N5291" s="16"/>
      <c r="O5291" s="17"/>
      <c r="Q5291" s="22"/>
      <c r="R5291" s="23"/>
    </row>
    <row r="5292" spans="1:18" ht="12.75">
      <c r="A5292" s="22"/>
      <c r="D5292" s="19"/>
      <c r="H5292" s="18"/>
      <c r="J5292" s="18"/>
      <c r="N5292" s="16"/>
      <c r="O5292" s="17"/>
      <c r="Q5292" s="22"/>
      <c r="R5292" s="23"/>
    </row>
    <row r="5293" spans="1:18" ht="12.75">
      <c r="A5293" s="22"/>
      <c r="D5293" s="19"/>
      <c r="H5293" s="18"/>
      <c r="J5293" s="18"/>
      <c r="N5293" s="16"/>
      <c r="O5293" s="17"/>
      <c r="Q5293" s="22"/>
      <c r="R5293" s="23"/>
    </row>
    <row r="5294" spans="1:18" ht="12.75">
      <c r="A5294" s="22"/>
      <c r="D5294" s="19"/>
      <c r="H5294" s="18"/>
      <c r="J5294" s="18"/>
      <c r="N5294" s="16"/>
      <c r="O5294" s="17"/>
      <c r="Q5294" s="22"/>
      <c r="R5294" s="23"/>
    </row>
    <row r="5295" spans="1:18" ht="12.75">
      <c r="A5295" s="22"/>
      <c r="D5295" s="19"/>
      <c r="H5295" s="18"/>
      <c r="J5295" s="18"/>
      <c r="N5295" s="16"/>
      <c r="O5295" s="17"/>
      <c r="Q5295" s="22"/>
      <c r="R5295" s="23"/>
    </row>
    <row r="5296" spans="1:18" ht="12.75">
      <c r="A5296" s="22"/>
      <c r="D5296" s="19"/>
      <c r="H5296" s="18"/>
      <c r="J5296" s="18"/>
      <c r="N5296" s="16"/>
      <c r="O5296" s="17"/>
      <c r="Q5296" s="22"/>
      <c r="R5296" s="23"/>
    </row>
    <row r="5297" spans="1:18" ht="12.75">
      <c r="A5297" s="22"/>
      <c r="D5297" s="19"/>
      <c r="H5297" s="18"/>
      <c r="J5297" s="18"/>
      <c r="N5297" s="16"/>
      <c r="O5297" s="17"/>
      <c r="Q5297" s="22"/>
      <c r="R5297" s="23"/>
    </row>
    <row r="5298" spans="1:18" ht="12.75">
      <c r="A5298" s="22"/>
      <c r="D5298" s="19"/>
      <c r="H5298" s="18"/>
      <c r="J5298" s="18"/>
      <c r="N5298" s="16"/>
      <c r="O5298" s="17"/>
      <c r="Q5298" s="22"/>
      <c r="R5298" s="23"/>
    </row>
    <row r="5299" spans="1:18" ht="12.75">
      <c r="A5299" s="22"/>
      <c r="D5299" s="19"/>
      <c r="H5299" s="18"/>
      <c r="J5299" s="18"/>
      <c r="N5299" s="16"/>
      <c r="O5299" s="17"/>
      <c r="Q5299" s="22"/>
      <c r="R5299" s="23"/>
    </row>
    <row r="5300" spans="1:18" ht="12.75">
      <c r="A5300" s="22"/>
      <c r="D5300" s="19"/>
      <c r="H5300" s="18"/>
      <c r="J5300" s="18"/>
      <c r="N5300" s="16"/>
      <c r="O5300" s="17"/>
      <c r="Q5300" s="22"/>
      <c r="R5300" s="23"/>
    </row>
    <row r="5301" spans="1:18" ht="12.75">
      <c r="A5301" s="22"/>
      <c r="D5301" s="19"/>
      <c r="H5301" s="18"/>
      <c r="J5301" s="18"/>
      <c r="N5301" s="16"/>
      <c r="O5301" s="17"/>
      <c r="Q5301" s="22"/>
      <c r="R5301" s="23"/>
    </row>
    <row r="5302" spans="1:18" ht="12.75">
      <c r="A5302" s="22"/>
      <c r="D5302" s="19"/>
      <c r="H5302" s="18"/>
      <c r="J5302" s="18"/>
      <c r="N5302" s="16"/>
      <c r="O5302" s="17"/>
      <c r="Q5302" s="22"/>
      <c r="R5302" s="23"/>
    </row>
    <row r="5303" spans="1:18" ht="12.75">
      <c r="A5303" s="22"/>
      <c r="D5303" s="19"/>
      <c r="H5303" s="18"/>
      <c r="J5303" s="18"/>
      <c r="N5303" s="16"/>
      <c r="O5303" s="17"/>
      <c r="Q5303" s="22"/>
      <c r="R5303" s="23"/>
    </row>
    <row r="5304" spans="1:18" ht="12.75">
      <c r="A5304" s="22"/>
      <c r="D5304" s="19"/>
      <c r="H5304" s="18"/>
      <c r="J5304" s="18"/>
      <c r="N5304" s="16"/>
      <c r="O5304" s="17"/>
      <c r="Q5304" s="22"/>
      <c r="R5304" s="23"/>
    </row>
    <row r="5305" spans="1:18" ht="12.75">
      <c r="A5305" s="22"/>
      <c r="D5305" s="19"/>
      <c r="H5305" s="18"/>
      <c r="J5305" s="18"/>
      <c r="N5305" s="16"/>
      <c r="O5305" s="17"/>
      <c r="Q5305" s="22"/>
      <c r="R5305" s="23"/>
    </row>
    <row r="5306" spans="1:18" ht="12.75">
      <c r="A5306" s="22"/>
      <c r="D5306" s="19"/>
      <c r="H5306" s="18"/>
      <c r="J5306" s="18"/>
      <c r="N5306" s="16"/>
      <c r="O5306" s="17"/>
      <c r="Q5306" s="22"/>
      <c r="R5306" s="23"/>
    </row>
    <row r="5307" spans="1:18" ht="12.75">
      <c r="A5307" s="22"/>
      <c r="D5307" s="19"/>
      <c r="H5307" s="18"/>
      <c r="J5307" s="18"/>
      <c r="N5307" s="16"/>
      <c r="O5307" s="17"/>
      <c r="Q5307" s="22"/>
      <c r="R5307" s="23"/>
    </row>
    <row r="5308" spans="1:18" ht="12.75">
      <c r="A5308" s="22"/>
      <c r="D5308" s="19"/>
      <c r="H5308" s="18"/>
      <c r="J5308" s="18"/>
      <c r="N5308" s="16"/>
      <c r="O5308" s="17"/>
      <c r="Q5308" s="22"/>
      <c r="R5308" s="23"/>
    </row>
    <row r="5309" spans="1:18" ht="12.75">
      <c r="A5309" s="22"/>
      <c r="D5309" s="19"/>
      <c r="H5309" s="18"/>
      <c r="J5309" s="18"/>
      <c r="N5309" s="16"/>
      <c r="O5309" s="17"/>
      <c r="Q5309" s="22"/>
      <c r="R5309" s="23"/>
    </row>
    <row r="5310" spans="1:18" ht="12.75">
      <c r="A5310" s="22"/>
      <c r="D5310" s="19"/>
      <c r="H5310" s="18"/>
      <c r="J5310" s="18"/>
      <c r="N5310" s="16"/>
      <c r="O5310" s="17"/>
      <c r="Q5310" s="22"/>
      <c r="R5310" s="23"/>
    </row>
    <row r="5311" spans="1:18" ht="12.75">
      <c r="A5311" s="22"/>
      <c r="D5311" s="19"/>
      <c r="H5311" s="18"/>
      <c r="J5311" s="18"/>
      <c r="N5311" s="16"/>
      <c r="O5311" s="17"/>
      <c r="Q5311" s="22"/>
      <c r="R5311" s="23"/>
    </row>
    <row r="5312" spans="1:18" ht="12.75">
      <c r="A5312" s="22"/>
      <c r="D5312" s="19"/>
      <c r="H5312" s="18"/>
      <c r="J5312" s="18"/>
      <c r="N5312" s="16"/>
      <c r="O5312" s="17"/>
      <c r="Q5312" s="22"/>
      <c r="R5312" s="23"/>
    </row>
    <row r="5313" spans="1:18" ht="12.75">
      <c r="A5313" s="22"/>
      <c r="D5313" s="19"/>
      <c r="H5313" s="18"/>
      <c r="J5313" s="18"/>
      <c r="N5313" s="16"/>
      <c r="O5313" s="17"/>
      <c r="Q5313" s="22"/>
      <c r="R5313" s="23"/>
    </row>
    <row r="5314" spans="1:18" ht="12.75">
      <c r="A5314" s="22"/>
      <c r="D5314" s="19"/>
      <c r="H5314" s="18"/>
      <c r="J5314" s="18"/>
      <c r="N5314" s="16"/>
      <c r="O5314" s="17"/>
      <c r="Q5314" s="22"/>
      <c r="R5314" s="23"/>
    </row>
    <row r="5315" spans="1:18" ht="12.75">
      <c r="A5315" s="22"/>
      <c r="D5315" s="19"/>
      <c r="H5315" s="18"/>
      <c r="J5315" s="18"/>
      <c r="N5315" s="16"/>
      <c r="O5315" s="17"/>
      <c r="Q5315" s="22"/>
      <c r="R5315" s="23"/>
    </row>
    <row r="5316" spans="1:18" ht="12.75">
      <c r="A5316" s="22"/>
      <c r="D5316" s="19"/>
      <c r="H5316" s="18"/>
      <c r="J5316" s="18"/>
      <c r="N5316" s="16"/>
      <c r="O5316" s="17"/>
      <c r="Q5316" s="22"/>
      <c r="R5316" s="23"/>
    </row>
    <row r="5317" spans="1:18" ht="12.75">
      <c r="A5317" s="22"/>
      <c r="D5317" s="19"/>
      <c r="H5317" s="18"/>
      <c r="J5317" s="18"/>
      <c r="N5317" s="16"/>
      <c r="O5317" s="17"/>
      <c r="Q5317" s="22"/>
      <c r="R5317" s="23"/>
    </row>
    <row r="5318" spans="1:18" ht="12.75">
      <c r="A5318" s="22"/>
      <c r="D5318" s="19"/>
      <c r="H5318" s="18"/>
      <c r="J5318" s="18"/>
      <c r="N5318" s="16"/>
      <c r="O5318" s="17"/>
      <c r="Q5318" s="22"/>
      <c r="R5318" s="23"/>
    </row>
    <row r="5319" spans="1:18" ht="12.75">
      <c r="A5319" s="22"/>
      <c r="D5319" s="19"/>
      <c r="H5319" s="18"/>
      <c r="J5319" s="18"/>
      <c r="N5319" s="16"/>
      <c r="O5319" s="17"/>
      <c r="Q5319" s="22"/>
      <c r="R5319" s="23"/>
    </row>
    <row r="5320" spans="1:18" ht="12.75">
      <c r="A5320" s="22"/>
      <c r="D5320" s="19"/>
      <c r="H5320" s="18"/>
      <c r="J5320" s="18"/>
      <c r="N5320" s="16"/>
      <c r="O5320" s="17"/>
      <c r="Q5320" s="22"/>
      <c r="R5320" s="23"/>
    </row>
    <row r="5321" spans="1:18" ht="12.75">
      <c r="A5321" s="22"/>
      <c r="D5321" s="19"/>
      <c r="H5321" s="18"/>
      <c r="J5321" s="18"/>
      <c r="N5321" s="16"/>
      <c r="O5321" s="17"/>
      <c r="Q5321" s="22"/>
      <c r="R5321" s="23"/>
    </row>
    <row r="5322" spans="1:18" ht="12.75">
      <c r="A5322" s="22"/>
      <c r="D5322" s="19"/>
      <c r="H5322" s="18"/>
      <c r="J5322" s="18"/>
      <c r="N5322" s="16"/>
      <c r="O5322" s="17"/>
      <c r="Q5322" s="22"/>
      <c r="R5322" s="23"/>
    </row>
    <row r="5323" spans="1:18" ht="12.75">
      <c r="A5323" s="22"/>
      <c r="D5323" s="19"/>
      <c r="H5323" s="18"/>
      <c r="J5323" s="18"/>
      <c r="N5323" s="16"/>
      <c r="O5323" s="17"/>
      <c r="Q5323" s="22"/>
      <c r="R5323" s="23"/>
    </row>
    <row r="5324" spans="1:18" ht="12.75">
      <c r="A5324" s="22"/>
      <c r="D5324" s="19"/>
      <c r="H5324" s="18"/>
      <c r="J5324" s="18"/>
      <c r="N5324" s="16"/>
      <c r="O5324" s="17"/>
      <c r="Q5324" s="22"/>
      <c r="R5324" s="23"/>
    </row>
    <row r="5325" spans="1:18" ht="12.75">
      <c r="A5325" s="22"/>
      <c r="D5325" s="19"/>
      <c r="H5325" s="18"/>
      <c r="J5325" s="18"/>
      <c r="N5325" s="16"/>
      <c r="O5325" s="17"/>
      <c r="Q5325" s="22"/>
      <c r="R5325" s="23"/>
    </row>
    <row r="5326" spans="1:18" ht="12.75">
      <c r="A5326" s="22"/>
      <c r="D5326" s="19"/>
      <c r="H5326" s="18"/>
      <c r="J5326" s="18"/>
      <c r="N5326" s="16"/>
      <c r="O5326" s="17"/>
      <c r="Q5326" s="22"/>
      <c r="R5326" s="23"/>
    </row>
    <row r="5327" spans="1:18" ht="12.75">
      <c r="A5327" s="22"/>
      <c r="D5327" s="19"/>
      <c r="H5327" s="18"/>
      <c r="J5327" s="18"/>
      <c r="N5327" s="16"/>
      <c r="O5327" s="17"/>
      <c r="Q5327" s="22"/>
      <c r="R5327" s="23"/>
    </row>
    <row r="5328" spans="1:18" ht="12.75">
      <c r="A5328" s="22"/>
      <c r="D5328" s="19"/>
      <c r="H5328" s="18"/>
      <c r="J5328" s="18"/>
      <c r="N5328" s="16"/>
      <c r="O5328" s="17"/>
      <c r="Q5328" s="22"/>
      <c r="R5328" s="23"/>
    </row>
    <row r="5329" spans="1:18" ht="12.75">
      <c r="A5329" s="22"/>
      <c r="D5329" s="19"/>
      <c r="H5329" s="18"/>
      <c r="J5329" s="18"/>
      <c r="N5329" s="16"/>
      <c r="O5329" s="17"/>
      <c r="Q5329" s="22"/>
      <c r="R5329" s="23"/>
    </row>
    <row r="5330" spans="1:18" ht="12.75">
      <c r="A5330" s="22"/>
      <c r="D5330" s="19"/>
      <c r="H5330" s="18"/>
      <c r="J5330" s="18"/>
      <c r="N5330" s="16"/>
      <c r="O5330" s="17"/>
      <c r="Q5330" s="22"/>
      <c r="R5330" s="23"/>
    </row>
    <row r="5331" spans="1:18" ht="12.75">
      <c r="A5331" s="22"/>
      <c r="D5331" s="19"/>
      <c r="H5331" s="18"/>
      <c r="J5331" s="18"/>
      <c r="N5331" s="16"/>
      <c r="O5331" s="17"/>
      <c r="Q5331" s="22"/>
      <c r="R5331" s="23"/>
    </row>
    <row r="5332" spans="1:18" ht="12.75">
      <c r="A5332" s="22"/>
      <c r="D5332" s="19"/>
      <c r="H5332" s="18"/>
      <c r="J5332" s="18"/>
      <c r="N5332" s="16"/>
      <c r="O5332" s="17"/>
      <c r="Q5332" s="22"/>
      <c r="R5332" s="23"/>
    </row>
    <row r="5333" spans="1:18" ht="12.75">
      <c r="A5333" s="22"/>
      <c r="D5333" s="19"/>
      <c r="H5333" s="18"/>
      <c r="J5333" s="18"/>
      <c r="N5333" s="16"/>
      <c r="O5333" s="17"/>
      <c r="Q5333" s="22"/>
      <c r="R5333" s="23"/>
    </row>
    <row r="5334" spans="1:18" ht="12.75">
      <c r="A5334" s="22"/>
      <c r="D5334" s="19"/>
      <c r="H5334" s="18"/>
      <c r="J5334" s="18"/>
      <c r="N5334" s="16"/>
      <c r="O5334" s="17"/>
      <c r="Q5334" s="22"/>
      <c r="R5334" s="23"/>
    </row>
    <row r="5335" spans="1:18" ht="12.75">
      <c r="A5335" s="22"/>
      <c r="D5335" s="19"/>
      <c r="H5335" s="18"/>
      <c r="J5335" s="18"/>
      <c r="N5335" s="16"/>
      <c r="O5335" s="17"/>
      <c r="Q5335" s="22"/>
      <c r="R5335" s="23"/>
    </row>
    <row r="5336" spans="1:18" ht="12.75">
      <c r="A5336" s="22"/>
      <c r="D5336" s="19"/>
      <c r="H5336" s="18"/>
      <c r="J5336" s="18"/>
      <c r="N5336" s="16"/>
      <c r="O5336" s="17"/>
      <c r="Q5336" s="22"/>
      <c r="R5336" s="23"/>
    </row>
    <row r="5337" spans="1:18" ht="12.75">
      <c r="A5337" s="22"/>
      <c r="D5337" s="19"/>
      <c r="H5337" s="18"/>
      <c r="J5337" s="18"/>
      <c r="N5337" s="16"/>
      <c r="O5337" s="17"/>
      <c r="Q5337" s="22"/>
      <c r="R5337" s="23"/>
    </row>
    <row r="5338" spans="1:18" ht="12.75">
      <c r="A5338" s="22"/>
      <c r="D5338" s="19"/>
      <c r="H5338" s="18"/>
      <c r="J5338" s="18"/>
      <c r="N5338" s="16"/>
      <c r="O5338" s="17"/>
      <c r="Q5338" s="22"/>
      <c r="R5338" s="23"/>
    </row>
    <row r="5339" spans="1:18" ht="12.75">
      <c r="A5339" s="22"/>
      <c r="D5339" s="19"/>
      <c r="H5339" s="18"/>
      <c r="J5339" s="18"/>
      <c r="N5339" s="16"/>
      <c r="O5339" s="17"/>
      <c r="Q5339" s="22"/>
      <c r="R5339" s="23"/>
    </row>
    <row r="5340" spans="1:18" ht="12.75">
      <c r="A5340" s="22"/>
      <c r="D5340" s="19"/>
      <c r="H5340" s="18"/>
      <c r="J5340" s="18"/>
      <c r="N5340" s="16"/>
      <c r="O5340" s="17"/>
      <c r="Q5340" s="22"/>
      <c r="R5340" s="23"/>
    </row>
    <row r="5341" spans="1:18" ht="12.75">
      <c r="A5341" s="22"/>
      <c r="D5341" s="19"/>
      <c r="H5341" s="18"/>
      <c r="J5341" s="18"/>
      <c r="N5341" s="16"/>
      <c r="O5341" s="17"/>
      <c r="Q5341" s="22"/>
      <c r="R5341" s="23"/>
    </row>
    <row r="5342" spans="1:18" ht="12.75">
      <c r="A5342" s="22"/>
      <c r="D5342" s="19"/>
      <c r="H5342" s="18"/>
      <c r="J5342" s="18"/>
      <c r="N5342" s="16"/>
      <c r="O5342" s="17"/>
      <c r="Q5342" s="22"/>
      <c r="R5342" s="23"/>
    </row>
    <row r="5343" spans="1:18" ht="12.75">
      <c r="A5343" s="22"/>
      <c r="D5343" s="19"/>
      <c r="H5343" s="18"/>
      <c r="J5343" s="18"/>
      <c r="N5343" s="16"/>
      <c r="O5343" s="17"/>
      <c r="Q5343" s="22"/>
      <c r="R5343" s="23"/>
    </row>
    <row r="5344" spans="1:18" ht="12.75">
      <c r="A5344" s="22"/>
      <c r="D5344" s="19"/>
      <c r="H5344" s="18"/>
      <c r="J5344" s="18"/>
      <c r="N5344" s="16"/>
      <c r="O5344" s="17"/>
      <c r="Q5344" s="22"/>
      <c r="R5344" s="23"/>
    </row>
    <row r="5345" spans="1:18" ht="12.75">
      <c r="A5345" s="22"/>
      <c r="D5345" s="19"/>
      <c r="H5345" s="18"/>
      <c r="J5345" s="18"/>
      <c r="N5345" s="16"/>
      <c r="O5345" s="17"/>
      <c r="Q5345" s="22"/>
      <c r="R5345" s="23"/>
    </row>
    <row r="5346" spans="1:18" ht="12.75">
      <c r="A5346" s="22"/>
      <c r="D5346" s="19"/>
      <c r="H5346" s="18"/>
      <c r="J5346" s="18"/>
      <c r="N5346" s="16"/>
      <c r="O5346" s="17"/>
      <c r="Q5346" s="22"/>
      <c r="R5346" s="23"/>
    </row>
    <row r="5347" spans="1:18" ht="12.75">
      <c r="A5347" s="22"/>
      <c r="D5347" s="19"/>
      <c r="H5347" s="18"/>
      <c r="J5347" s="18"/>
      <c r="N5347" s="16"/>
      <c r="O5347" s="17"/>
      <c r="Q5347" s="22"/>
      <c r="R5347" s="23"/>
    </row>
    <row r="5348" spans="1:18" ht="12.75">
      <c r="A5348" s="22"/>
      <c r="D5348" s="19"/>
      <c r="H5348" s="18"/>
      <c r="J5348" s="18"/>
      <c r="N5348" s="16"/>
      <c r="O5348" s="17"/>
      <c r="Q5348" s="22"/>
      <c r="R5348" s="23"/>
    </row>
    <row r="5349" spans="1:18" ht="12.75">
      <c r="A5349" s="22"/>
      <c r="D5349" s="19"/>
      <c r="H5349" s="18"/>
      <c r="J5349" s="18"/>
      <c r="N5349" s="16"/>
      <c r="O5349" s="17"/>
      <c r="Q5349" s="22"/>
      <c r="R5349" s="23"/>
    </row>
    <row r="5350" spans="1:18" ht="12.75">
      <c r="A5350" s="22"/>
      <c r="D5350" s="19"/>
      <c r="H5350" s="18"/>
      <c r="J5350" s="18"/>
      <c r="N5350" s="16"/>
      <c r="O5350" s="17"/>
      <c r="Q5350" s="22"/>
      <c r="R5350" s="23"/>
    </row>
    <row r="5351" spans="1:18" ht="12.75">
      <c r="A5351" s="22"/>
      <c r="D5351" s="19"/>
      <c r="H5351" s="18"/>
      <c r="J5351" s="18"/>
      <c r="N5351" s="16"/>
      <c r="O5351" s="17"/>
      <c r="Q5351" s="22"/>
      <c r="R5351" s="23"/>
    </row>
    <row r="5352" spans="1:18" ht="12.75">
      <c r="A5352" s="22"/>
      <c r="D5352" s="19"/>
      <c r="H5352" s="18"/>
      <c r="J5352" s="18"/>
      <c r="N5352" s="16"/>
      <c r="O5352" s="17"/>
      <c r="Q5352" s="22"/>
      <c r="R5352" s="23"/>
    </row>
    <row r="5353" spans="1:18" ht="12.75">
      <c r="A5353" s="22"/>
      <c r="D5353" s="19"/>
      <c r="H5353" s="18"/>
      <c r="J5353" s="18"/>
      <c r="N5353" s="16"/>
      <c r="O5353" s="17"/>
      <c r="Q5353" s="22"/>
      <c r="R5353" s="23"/>
    </row>
    <row r="5354" spans="1:18" ht="12.75">
      <c r="A5354" s="22"/>
      <c r="D5354" s="19"/>
      <c r="H5354" s="18"/>
      <c r="J5354" s="18"/>
      <c r="N5354" s="16"/>
      <c r="O5354" s="17"/>
      <c r="Q5354" s="22"/>
      <c r="R5354" s="23"/>
    </row>
    <row r="5355" spans="1:18" ht="12.75">
      <c r="A5355" s="22"/>
      <c r="D5355" s="19"/>
      <c r="H5355" s="18"/>
      <c r="J5355" s="18"/>
      <c r="N5355" s="16"/>
      <c r="O5355" s="17"/>
      <c r="Q5355" s="22"/>
      <c r="R5355" s="23"/>
    </row>
    <row r="5356" spans="1:18" ht="12.75">
      <c r="A5356" s="22"/>
      <c r="D5356" s="19"/>
      <c r="H5356" s="18"/>
      <c r="J5356" s="18"/>
      <c r="N5356" s="16"/>
      <c r="O5356" s="17"/>
      <c r="Q5356" s="22"/>
      <c r="R5356" s="23"/>
    </row>
    <row r="5357" spans="1:18" ht="12.75">
      <c r="A5357" s="22"/>
      <c r="D5357" s="19"/>
      <c r="H5357" s="18"/>
      <c r="J5357" s="18"/>
      <c r="N5357" s="16"/>
      <c r="O5357" s="17"/>
      <c r="Q5357" s="22"/>
      <c r="R5357" s="23"/>
    </row>
    <row r="5358" spans="1:18" ht="12.75">
      <c r="A5358" s="22"/>
      <c r="D5358" s="19"/>
      <c r="H5358" s="18"/>
      <c r="J5358" s="18"/>
      <c r="N5358" s="16"/>
      <c r="O5358" s="17"/>
      <c r="Q5358" s="22"/>
      <c r="R5358" s="23"/>
    </row>
    <row r="5359" spans="1:18" ht="12.75">
      <c r="A5359" s="22"/>
      <c r="D5359" s="19"/>
      <c r="H5359" s="18"/>
      <c r="J5359" s="18"/>
      <c r="N5359" s="16"/>
      <c r="O5359" s="17"/>
      <c r="Q5359" s="22"/>
      <c r="R5359" s="23"/>
    </row>
    <row r="5360" spans="1:18" ht="12.75">
      <c r="A5360" s="22"/>
      <c r="D5360" s="19"/>
      <c r="H5360" s="18"/>
      <c r="J5360" s="18"/>
      <c r="N5360" s="16"/>
      <c r="O5360" s="17"/>
      <c r="Q5360" s="22"/>
      <c r="R5360" s="23"/>
    </row>
    <row r="5361" spans="1:18" ht="12.75">
      <c r="A5361" s="22"/>
      <c r="D5361" s="19"/>
      <c r="H5361" s="18"/>
      <c r="J5361" s="18"/>
      <c r="N5361" s="16"/>
      <c r="O5361" s="17"/>
      <c r="Q5361" s="22"/>
      <c r="R5361" s="23"/>
    </row>
    <row r="5362" spans="1:18" ht="12.75">
      <c r="A5362" s="22"/>
      <c r="D5362" s="19"/>
      <c r="H5362" s="18"/>
      <c r="J5362" s="18"/>
      <c r="N5362" s="16"/>
      <c r="O5362" s="17"/>
      <c r="Q5362" s="22"/>
      <c r="R5362" s="23"/>
    </row>
    <row r="5363" spans="1:18" ht="12.75">
      <c r="A5363" s="22"/>
      <c r="D5363" s="19"/>
      <c r="H5363" s="18"/>
      <c r="J5363" s="18"/>
      <c r="N5363" s="16"/>
      <c r="O5363" s="17"/>
      <c r="Q5363" s="22"/>
      <c r="R5363" s="23"/>
    </row>
    <row r="5364" spans="1:18" ht="12.75">
      <c r="A5364" s="22"/>
      <c r="D5364" s="19"/>
      <c r="H5364" s="18"/>
      <c r="J5364" s="18"/>
      <c r="N5364" s="16"/>
      <c r="O5364" s="17"/>
      <c r="Q5364" s="22"/>
      <c r="R5364" s="23"/>
    </row>
    <row r="5365" spans="1:18" ht="12.75">
      <c r="A5365" s="22"/>
      <c r="D5365" s="19"/>
      <c r="H5365" s="18"/>
      <c r="J5365" s="18"/>
      <c r="N5365" s="16"/>
      <c r="O5365" s="17"/>
      <c r="Q5365" s="22"/>
      <c r="R5365" s="23"/>
    </row>
    <row r="5366" spans="1:18" ht="12.75">
      <c r="A5366" s="22"/>
      <c r="D5366" s="19"/>
      <c r="H5366" s="18"/>
      <c r="J5366" s="18"/>
      <c r="N5366" s="16"/>
      <c r="O5366" s="17"/>
      <c r="Q5366" s="22"/>
      <c r="R5366" s="23"/>
    </row>
    <row r="5367" spans="1:18" ht="12.75">
      <c r="A5367" s="22"/>
      <c r="D5367" s="19"/>
      <c r="H5367" s="18"/>
      <c r="J5367" s="18"/>
      <c r="N5367" s="16"/>
      <c r="O5367" s="17"/>
      <c r="Q5367" s="22"/>
      <c r="R5367" s="23"/>
    </row>
    <row r="5368" spans="1:18" ht="12.75">
      <c r="A5368" s="22"/>
      <c r="D5368" s="19"/>
      <c r="H5368" s="18"/>
      <c r="J5368" s="18"/>
      <c r="N5368" s="16"/>
      <c r="O5368" s="17"/>
      <c r="Q5368" s="22"/>
      <c r="R5368" s="23"/>
    </row>
    <row r="5369" spans="1:18" ht="12.75">
      <c r="A5369" s="22"/>
      <c r="D5369" s="19"/>
      <c r="H5369" s="18"/>
      <c r="J5369" s="18"/>
      <c r="N5369" s="16"/>
      <c r="O5369" s="17"/>
      <c r="Q5369" s="22"/>
      <c r="R5369" s="23"/>
    </row>
    <row r="5370" spans="1:18" ht="12.75">
      <c r="A5370" s="22"/>
      <c r="D5370" s="19"/>
      <c r="H5370" s="18"/>
      <c r="J5370" s="18"/>
      <c r="N5370" s="16"/>
      <c r="O5370" s="17"/>
      <c r="Q5370" s="22"/>
      <c r="R5370" s="23"/>
    </row>
    <row r="5371" spans="1:18" ht="12.75">
      <c r="A5371" s="22"/>
      <c r="D5371" s="19"/>
      <c r="H5371" s="18"/>
      <c r="J5371" s="18"/>
      <c r="N5371" s="16"/>
      <c r="O5371" s="17"/>
      <c r="Q5371" s="22"/>
      <c r="R5371" s="23"/>
    </row>
    <row r="5372" spans="1:18" ht="12.75">
      <c r="A5372" s="22"/>
      <c r="D5372" s="19"/>
      <c r="H5372" s="18"/>
      <c r="J5372" s="18"/>
      <c r="N5372" s="16"/>
      <c r="O5372" s="17"/>
      <c r="Q5372" s="22"/>
      <c r="R5372" s="23"/>
    </row>
    <row r="5373" spans="1:18" ht="12.75">
      <c r="A5373" s="22"/>
      <c r="D5373" s="19"/>
      <c r="H5373" s="18"/>
      <c r="J5373" s="18"/>
      <c r="N5373" s="16"/>
      <c r="O5373" s="17"/>
      <c r="Q5373" s="22"/>
      <c r="R5373" s="23"/>
    </row>
    <row r="5374" spans="1:18" ht="12.75">
      <c r="A5374" s="22"/>
      <c r="D5374" s="19"/>
      <c r="H5374" s="18"/>
      <c r="J5374" s="18"/>
      <c r="N5374" s="16"/>
      <c r="O5374" s="17"/>
      <c r="Q5374" s="22"/>
      <c r="R5374" s="23"/>
    </row>
    <row r="5375" spans="1:18" ht="12.75">
      <c r="A5375" s="22"/>
      <c r="D5375" s="19"/>
      <c r="H5375" s="18"/>
      <c r="J5375" s="18"/>
      <c r="N5375" s="16"/>
      <c r="O5375" s="17"/>
      <c r="Q5375" s="22"/>
      <c r="R5375" s="23"/>
    </row>
    <row r="5376" spans="1:18" ht="12.75">
      <c r="A5376" s="22"/>
      <c r="D5376" s="19"/>
      <c r="H5376" s="18"/>
      <c r="J5376" s="18"/>
      <c r="N5376" s="16"/>
      <c r="O5376" s="17"/>
      <c r="Q5376" s="22"/>
      <c r="R5376" s="23"/>
    </row>
    <row r="5377" spans="1:18" ht="12.75">
      <c r="A5377" s="22"/>
      <c r="D5377" s="19"/>
      <c r="H5377" s="18"/>
      <c r="J5377" s="18"/>
      <c r="N5377" s="16"/>
      <c r="O5377" s="17"/>
      <c r="Q5377" s="22"/>
      <c r="R5377" s="23"/>
    </row>
    <row r="5378" spans="1:18" ht="12.75">
      <c r="A5378" s="22"/>
      <c r="D5378" s="19"/>
      <c r="H5378" s="18"/>
      <c r="J5378" s="18"/>
      <c r="N5378" s="16"/>
      <c r="O5378" s="17"/>
      <c r="Q5378" s="22"/>
      <c r="R5378" s="23"/>
    </row>
    <row r="5379" spans="1:18" ht="12.75">
      <c r="A5379" s="22"/>
      <c r="D5379" s="19"/>
      <c r="H5379" s="18"/>
      <c r="J5379" s="18"/>
      <c r="N5379" s="16"/>
      <c r="O5379" s="17"/>
      <c r="Q5379" s="22"/>
      <c r="R5379" s="23"/>
    </row>
    <row r="5380" spans="1:18" ht="12.75">
      <c r="A5380" s="22"/>
      <c r="D5380" s="19"/>
      <c r="H5380" s="18"/>
      <c r="J5380" s="18"/>
      <c r="N5380" s="16"/>
      <c r="O5380" s="17"/>
      <c r="Q5380" s="22"/>
      <c r="R5380" s="23"/>
    </row>
    <row r="5381" spans="1:18" ht="12.75">
      <c r="A5381" s="22"/>
      <c r="D5381" s="19"/>
      <c r="H5381" s="18"/>
      <c r="J5381" s="18"/>
      <c r="N5381" s="16"/>
      <c r="O5381" s="17"/>
      <c r="Q5381" s="22"/>
      <c r="R5381" s="23"/>
    </row>
    <row r="5382" spans="1:18" ht="12.75">
      <c r="A5382" s="22"/>
      <c r="D5382" s="19"/>
      <c r="H5382" s="18"/>
      <c r="J5382" s="18"/>
      <c r="N5382" s="16"/>
      <c r="O5382" s="17"/>
      <c r="Q5382" s="22"/>
      <c r="R5382" s="23"/>
    </row>
    <row r="5383" spans="1:18" ht="12.75">
      <c r="A5383" s="22"/>
      <c r="D5383" s="19"/>
      <c r="H5383" s="18"/>
      <c r="J5383" s="18"/>
      <c r="N5383" s="16"/>
      <c r="O5383" s="17"/>
      <c r="Q5383" s="22"/>
      <c r="R5383" s="23"/>
    </row>
    <row r="5384" spans="1:18" ht="12.75">
      <c r="A5384" s="22"/>
      <c r="D5384" s="19"/>
      <c r="H5384" s="18"/>
      <c r="J5384" s="18"/>
      <c r="N5384" s="16"/>
      <c r="O5384" s="17"/>
      <c r="Q5384" s="22"/>
      <c r="R5384" s="23"/>
    </row>
    <row r="5385" spans="1:18" ht="12.75">
      <c r="A5385" s="22"/>
      <c r="D5385" s="19"/>
      <c r="H5385" s="18"/>
      <c r="J5385" s="18"/>
      <c r="N5385" s="16"/>
      <c r="O5385" s="17"/>
      <c r="Q5385" s="22"/>
      <c r="R5385" s="23"/>
    </row>
    <row r="5386" spans="1:18" ht="12.75">
      <c r="A5386" s="22"/>
      <c r="D5386" s="19"/>
      <c r="H5386" s="18"/>
      <c r="J5386" s="18"/>
      <c r="N5386" s="16"/>
      <c r="O5386" s="17"/>
      <c r="Q5386" s="22"/>
      <c r="R5386" s="23"/>
    </row>
    <row r="5387" spans="1:18" ht="12.75">
      <c r="A5387" s="22"/>
      <c r="D5387" s="19"/>
      <c r="H5387" s="18"/>
      <c r="J5387" s="18"/>
      <c r="N5387" s="16"/>
      <c r="O5387" s="17"/>
      <c r="Q5387" s="22"/>
      <c r="R5387" s="23"/>
    </row>
    <row r="5388" spans="1:18" ht="12.75">
      <c r="A5388" s="22"/>
      <c r="D5388" s="19"/>
      <c r="H5388" s="18"/>
      <c r="J5388" s="18"/>
      <c r="N5388" s="16"/>
      <c r="O5388" s="17"/>
      <c r="Q5388" s="22"/>
      <c r="R5388" s="23"/>
    </row>
    <row r="5389" spans="1:18" ht="12.75">
      <c r="A5389" s="22"/>
      <c r="D5389" s="19"/>
      <c r="H5389" s="18"/>
      <c r="J5389" s="18"/>
      <c r="N5389" s="16"/>
      <c r="O5389" s="17"/>
      <c r="Q5389" s="22"/>
      <c r="R5389" s="23"/>
    </row>
    <row r="5390" spans="1:18" ht="12.75">
      <c r="A5390" s="22"/>
      <c r="D5390" s="19"/>
      <c r="H5390" s="18"/>
      <c r="J5390" s="18"/>
      <c r="N5390" s="16"/>
      <c r="O5390" s="17"/>
      <c r="Q5390" s="22"/>
      <c r="R5390" s="23"/>
    </row>
    <row r="5391" spans="1:18" ht="12.75">
      <c r="A5391" s="22"/>
      <c r="D5391" s="19"/>
      <c r="H5391" s="18"/>
      <c r="J5391" s="18"/>
      <c r="N5391" s="16"/>
      <c r="O5391" s="17"/>
      <c r="Q5391" s="22"/>
      <c r="R5391" s="23"/>
    </row>
    <row r="5392" spans="1:18" ht="12.75">
      <c r="A5392" s="22"/>
      <c r="D5392" s="19"/>
      <c r="H5392" s="18"/>
      <c r="J5392" s="18"/>
      <c r="N5392" s="16"/>
      <c r="O5392" s="17"/>
      <c r="Q5392" s="22"/>
      <c r="R5392" s="23"/>
    </row>
    <row r="5393" spans="1:18" ht="12.75">
      <c r="A5393" s="22"/>
      <c r="D5393" s="19"/>
      <c r="H5393" s="18"/>
      <c r="J5393" s="18"/>
      <c r="N5393" s="16"/>
      <c r="O5393" s="17"/>
      <c r="Q5393" s="22"/>
      <c r="R5393" s="23"/>
    </row>
    <row r="5394" spans="1:18" ht="12.75">
      <c r="A5394" s="22"/>
      <c r="D5394" s="19"/>
      <c r="H5394" s="18"/>
      <c r="J5394" s="18"/>
      <c r="N5394" s="16"/>
      <c r="O5394" s="17"/>
      <c r="Q5394" s="22"/>
      <c r="R5394" s="23"/>
    </row>
    <row r="5395" spans="1:18" ht="12.75">
      <c r="A5395" s="22"/>
      <c r="D5395" s="19"/>
      <c r="H5395" s="18"/>
      <c r="J5395" s="18"/>
      <c r="N5395" s="16"/>
      <c r="O5395" s="17"/>
      <c r="Q5395" s="22"/>
      <c r="R5395" s="23"/>
    </row>
    <row r="5396" spans="1:18" ht="12.75">
      <c r="A5396" s="22"/>
      <c r="D5396" s="19"/>
      <c r="H5396" s="18"/>
      <c r="J5396" s="18"/>
      <c r="N5396" s="16"/>
      <c r="O5396" s="17"/>
      <c r="Q5396" s="22"/>
      <c r="R5396" s="23"/>
    </row>
    <row r="5397" spans="1:18" ht="12.75">
      <c r="A5397" s="22"/>
      <c r="D5397" s="19"/>
      <c r="H5397" s="18"/>
      <c r="J5397" s="18"/>
      <c r="N5397" s="16"/>
      <c r="O5397" s="17"/>
      <c r="Q5397" s="22"/>
      <c r="R5397" s="23"/>
    </row>
    <row r="5398" spans="1:18" ht="12.75">
      <c r="A5398" s="22"/>
      <c r="D5398" s="19"/>
      <c r="H5398" s="18"/>
      <c r="J5398" s="18"/>
      <c r="N5398" s="16"/>
      <c r="O5398" s="17"/>
      <c r="Q5398" s="22"/>
      <c r="R5398" s="23"/>
    </row>
    <row r="5399" spans="1:18" ht="12.75">
      <c r="A5399" s="22"/>
      <c r="D5399" s="19"/>
      <c r="H5399" s="18"/>
      <c r="J5399" s="18"/>
      <c r="N5399" s="16"/>
      <c r="O5399" s="17"/>
      <c r="Q5399" s="22"/>
      <c r="R5399" s="23"/>
    </row>
    <row r="5400" spans="1:18" ht="12.75">
      <c r="A5400" s="22"/>
      <c r="D5400" s="19"/>
      <c r="H5400" s="18"/>
      <c r="J5400" s="18"/>
      <c r="N5400" s="16"/>
      <c r="O5400" s="17"/>
      <c r="Q5400" s="22"/>
      <c r="R5400" s="23"/>
    </row>
    <row r="5401" spans="1:18" ht="12.75">
      <c r="A5401" s="22"/>
      <c r="D5401" s="19"/>
      <c r="H5401" s="18"/>
      <c r="J5401" s="18"/>
      <c r="N5401" s="16"/>
      <c r="O5401" s="17"/>
      <c r="Q5401" s="22"/>
      <c r="R5401" s="23"/>
    </row>
    <row r="5402" spans="1:18" ht="12.75">
      <c r="A5402" s="22"/>
      <c r="D5402" s="19"/>
      <c r="H5402" s="18"/>
      <c r="J5402" s="18"/>
      <c r="N5402" s="16"/>
      <c r="O5402" s="17"/>
      <c r="Q5402" s="22"/>
      <c r="R5402" s="23"/>
    </row>
    <row r="5403" spans="1:18" ht="12.75">
      <c r="A5403" s="22"/>
      <c r="D5403" s="19"/>
      <c r="H5403" s="18"/>
      <c r="J5403" s="18"/>
      <c r="N5403" s="16"/>
      <c r="O5403" s="17"/>
      <c r="Q5403" s="22"/>
      <c r="R5403" s="23"/>
    </row>
    <row r="5404" spans="1:18" ht="12.75">
      <c r="A5404" s="22"/>
      <c r="D5404" s="19"/>
      <c r="H5404" s="18"/>
      <c r="J5404" s="18"/>
      <c r="N5404" s="16"/>
      <c r="O5404" s="17"/>
      <c r="Q5404" s="22"/>
      <c r="R5404" s="23"/>
    </row>
    <row r="5405" spans="1:18" ht="12.75">
      <c r="A5405" s="22"/>
      <c r="D5405" s="19"/>
      <c r="H5405" s="18"/>
      <c r="J5405" s="18"/>
      <c r="N5405" s="16"/>
      <c r="O5405" s="17"/>
      <c r="Q5405" s="22"/>
      <c r="R5405" s="23"/>
    </row>
    <row r="5406" spans="1:18" ht="12.75">
      <c r="A5406" s="22"/>
      <c r="D5406" s="19"/>
      <c r="H5406" s="18"/>
      <c r="J5406" s="18"/>
      <c r="N5406" s="16"/>
      <c r="O5406" s="17"/>
      <c r="Q5406" s="22"/>
      <c r="R5406" s="23"/>
    </row>
    <row r="5407" spans="1:18" ht="12.75">
      <c r="A5407" s="22"/>
      <c r="D5407" s="19"/>
      <c r="H5407" s="18"/>
      <c r="J5407" s="18"/>
      <c r="N5407" s="16"/>
      <c r="O5407" s="17"/>
      <c r="Q5407" s="22"/>
      <c r="R5407" s="23"/>
    </row>
    <row r="5408" spans="1:18" ht="12.75">
      <c r="A5408" s="22"/>
      <c r="D5408" s="19"/>
      <c r="H5408" s="18"/>
      <c r="J5408" s="18"/>
      <c r="N5408" s="16"/>
      <c r="O5408" s="17"/>
      <c r="Q5408" s="22"/>
      <c r="R5408" s="23"/>
    </row>
    <row r="5409" spans="1:18" ht="12.75">
      <c r="A5409" s="22"/>
      <c r="D5409" s="19"/>
      <c r="H5409" s="18"/>
      <c r="J5409" s="18"/>
      <c r="N5409" s="16"/>
      <c r="O5409" s="17"/>
      <c r="Q5409" s="22"/>
      <c r="R5409" s="23"/>
    </row>
    <row r="5410" spans="1:18" ht="12.75">
      <c r="A5410" s="22"/>
      <c r="D5410" s="19"/>
      <c r="H5410" s="18"/>
      <c r="J5410" s="18"/>
      <c r="N5410" s="16"/>
      <c r="O5410" s="17"/>
      <c r="Q5410" s="22"/>
      <c r="R5410" s="23"/>
    </row>
    <row r="5411" spans="1:18" ht="12.75">
      <c r="A5411" s="22"/>
      <c r="D5411" s="19"/>
      <c r="H5411" s="18"/>
      <c r="J5411" s="18"/>
      <c r="N5411" s="16"/>
      <c r="O5411" s="17"/>
      <c r="Q5411" s="22"/>
      <c r="R5411" s="23"/>
    </row>
    <row r="5412" spans="1:18" ht="12.75">
      <c r="A5412" s="22"/>
      <c r="D5412" s="19"/>
      <c r="H5412" s="18"/>
      <c r="J5412" s="18"/>
      <c r="N5412" s="16"/>
      <c r="O5412" s="17"/>
      <c r="Q5412" s="22"/>
      <c r="R5412" s="23"/>
    </row>
    <row r="5413" spans="1:18" ht="12.75">
      <c r="A5413" s="22"/>
      <c r="D5413" s="19"/>
      <c r="H5413" s="18"/>
      <c r="J5413" s="18"/>
      <c r="N5413" s="16"/>
      <c r="O5413" s="17"/>
      <c r="Q5413" s="22"/>
      <c r="R5413" s="23"/>
    </row>
    <row r="5414" spans="1:18" ht="12.75">
      <c r="A5414" s="22"/>
      <c r="D5414" s="19"/>
      <c r="H5414" s="18"/>
      <c r="J5414" s="18"/>
      <c r="N5414" s="16"/>
      <c r="O5414" s="17"/>
      <c r="Q5414" s="22"/>
      <c r="R5414" s="23"/>
    </row>
    <row r="5415" spans="1:18" ht="12.75">
      <c r="A5415" s="22"/>
      <c r="D5415" s="19"/>
      <c r="H5415" s="18"/>
      <c r="J5415" s="18"/>
      <c r="N5415" s="16"/>
      <c r="O5415" s="17"/>
      <c r="Q5415" s="22"/>
      <c r="R5415" s="23"/>
    </row>
    <row r="5416" spans="1:18" ht="12.75">
      <c r="A5416" s="22"/>
      <c r="D5416" s="19"/>
      <c r="H5416" s="18"/>
      <c r="J5416" s="18"/>
      <c r="N5416" s="16"/>
      <c r="O5416" s="17"/>
      <c r="Q5416" s="22"/>
      <c r="R5416" s="23"/>
    </row>
    <row r="5417" spans="1:18" ht="12.75">
      <c r="A5417" s="22"/>
      <c r="D5417" s="19"/>
      <c r="H5417" s="18"/>
      <c r="J5417" s="18"/>
      <c r="N5417" s="16"/>
      <c r="O5417" s="17"/>
      <c r="Q5417" s="22"/>
      <c r="R5417" s="23"/>
    </row>
    <row r="5418" spans="1:18" ht="12.75">
      <c r="A5418" s="22"/>
      <c r="D5418" s="19"/>
      <c r="H5418" s="18"/>
      <c r="J5418" s="18"/>
      <c r="N5418" s="16"/>
      <c r="O5418" s="17"/>
      <c r="Q5418" s="22"/>
      <c r="R5418" s="23"/>
    </row>
    <row r="5419" spans="1:18" ht="12.75">
      <c r="A5419" s="22"/>
      <c r="D5419" s="19"/>
      <c r="H5419" s="18"/>
      <c r="J5419" s="18"/>
      <c r="N5419" s="16"/>
      <c r="O5419" s="17"/>
      <c r="Q5419" s="22"/>
      <c r="R5419" s="23"/>
    </row>
    <row r="5420" spans="1:18" ht="12.75">
      <c r="A5420" s="22"/>
      <c r="D5420" s="19"/>
      <c r="H5420" s="18"/>
      <c r="J5420" s="18"/>
      <c r="N5420" s="16"/>
      <c r="O5420" s="17"/>
      <c r="Q5420" s="22"/>
      <c r="R5420" s="23"/>
    </row>
    <row r="5421" spans="1:18" ht="12.75">
      <c r="A5421" s="22"/>
      <c r="D5421" s="19"/>
      <c r="H5421" s="18"/>
      <c r="J5421" s="18"/>
      <c r="N5421" s="16"/>
      <c r="O5421" s="17"/>
      <c r="Q5421" s="22"/>
      <c r="R5421" s="23"/>
    </row>
    <row r="5422" spans="1:18" ht="12.75">
      <c r="A5422" s="22"/>
      <c r="D5422" s="19"/>
      <c r="H5422" s="18"/>
      <c r="J5422" s="18"/>
      <c r="N5422" s="16"/>
      <c r="O5422" s="17"/>
      <c r="Q5422" s="22"/>
      <c r="R5422" s="23"/>
    </row>
    <row r="5423" spans="1:18" ht="12.75">
      <c r="A5423" s="22"/>
      <c r="D5423" s="19"/>
      <c r="H5423" s="18"/>
      <c r="J5423" s="18"/>
      <c r="N5423" s="16"/>
      <c r="O5423" s="17"/>
      <c r="Q5423" s="22"/>
      <c r="R5423" s="23"/>
    </row>
    <row r="5424" spans="1:18" ht="12.75">
      <c r="A5424" s="22"/>
      <c r="D5424" s="19"/>
      <c r="H5424" s="18"/>
      <c r="J5424" s="18"/>
      <c r="N5424" s="16"/>
      <c r="O5424" s="17"/>
      <c r="Q5424" s="22"/>
      <c r="R5424" s="23"/>
    </row>
    <row r="5425" spans="1:18" ht="12.75">
      <c r="A5425" s="22"/>
      <c r="D5425" s="19"/>
      <c r="H5425" s="18"/>
      <c r="J5425" s="18"/>
      <c r="N5425" s="16"/>
      <c r="O5425" s="17"/>
      <c r="Q5425" s="22"/>
      <c r="R5425" s="23"/>
    </row>
    <row r="5426" spans="1:18" ht="12.75">
      <c r="A5426" s="22"/>
      <c r="D5426" s="19"/>
      <c r="H5426" s="18"/>
      <c r="J5426" s="18"/>
      <c r="N5426" s="16"/>
      <c r="O5426" s="17"/>
      <c r="Q5426" s="22"/>
      <c r="R5426" s="23"/>
    </row>
    <row r="5427" spans="1:18" ht="12.75">
      <c r="A5427" s="22"/>
      <c r="D5427" s="19"/>
      <c r="H5427" s="18"/>
      <c r="J5427" s="18"/>
      <c r="N5427" s="16"/>
      <c r="O5427" s="17"/>
      <c r="Q5427" s="22"/>
      <c r="R5427" s="23"/>
    </row>
    <row r="5428" spans="1:18" ht="12.75">
      <c r="A5428" s="22"/>
      <c r="D5428" s="19"/>
      <c r="H5428" s="18"/>
      <c r="J5428" s="18"/>
      <c r="N5428" s="16"/>
      <c r="O5428" s="17"/>
      <c r="Q5428" s="22"/>
      <c r="R5428" s="23"/>
    </row>
    <row r="5429" spans="1:18" ht="12.75">
      <c r="A5429" s="22"/>
      <c r="D5429" s="19"/>
      <c r="H5429" s="18"/>
      <c r="J5429" s="18"/>
      <c r="N5429" s="16"/>
      <c r="O5429" s="17"/>
      <c r="Q5429" s="22"/>
      <c r="R5429" s="23"/>
    </row>
    <row r="5430" spans="1:18" ht="12.75">
      <c r="A5430" s="22"/>
      <c r="D5430" s="19"/>
      <c r="H5430" s="18"/>
      <c r="J5430" s="18"/>
      <c r="N5430" s="16"/>
      <c r="O5430" s="17"/>
      <c r="Q5430" s="22"/>
      <c r="R5430" s="23"/>
    </row>
    <row r="5431" spans="1:18" ht="12.75">
      <c r="A5431" s="22"/>
      <c r="D5431" s="19"/>
      <c r="H5431" s="18"/>
      <c r="J5431" s="18"/>
      <c r="N5431" s="16"/>
      <c r="O5431" s="17"/>
      <c r="Q5431" s="22"/>
      <c r="R5431" s="23"/>
    </row>
    <row r="5432" spans="1:18" ht="12.75">
      <c r="A5432" s="22"/>
      <c r="D5432" s="19"/>
      <c r="H5432" s="18"/>
      <c r="J5432" s="18"/>
      <c r="N5432" s="16"/>
      <c r="O5432" s="17"/>
      <c r="Q5432" s="22"/>
      <c r="R5432" s="23"/>
    </row>
    <row r="5433" spans="1:18" ht="12.75">
      <c r="A5433" s="22"/>
      <c r="D5433" s="19"/>
      <c r="H5433" s="18"/>
      <c r="J5433" s="18"/>
      <c r="N5433" s="16"/>
      <c r="O5433" s="17"/>
      <c r="Q5433" s="22"/>
      <c r="R5433" s="23"/>
    </row>
    <row r="5434" spans="1:18" ht="12.75">
      <c r="A5434" s="22"/>
      <c r="D5434" s="19"/>
      <c r="H5434" s="18"/>
      <c r="J5434" s="18"/>
      <c r="N5434" s="16"/>
      <c r="O5434" s="17"/>
      <c r="Q5434" s="22"/>
      <c r="R5434" s="23"/>
    </row>
    <row r="5435" spans="1:18" ht="12.75">
      <c r="A5435" s="22"/>
      <c r="D5435" s="19"/>
      <c r="H5435" s="18"/>
      <c r="J5435" s="18"/>
      <c r="N5435" s="16"/>
      <c r="O5435" s="17"/>
      <c r="Q5435" s="22"/>
      <c r="R5435" s="23"/>
    </row>
    <row r="5436" spans="1:18" ht="12.75">
      <c r="A5436" s="22"/>
      <c r="D5436" s="19"/>
      <c r="H5436" s="18"/>
      <c r="J5436" s="18"/>
      <c r="N5436" s="16"/>
      <c r="O5436" s="17"/>
      <c r="Q5436" s="22"/>
      <c r="R5436" s="23"/>
    </row>
    <row r="5437" spans="1:18" ht="12.75">
      <c r="A5437" s="22"/>
      <c r="D5437" s="19"/>
      <c r="H5437" s="18"/>
      <c r="J5437" s="18"/>
      <c r="N5437" s="16"/>
      <c r="O5437" s="17"/>
      <c r="Q5437" s="22"/>
      <c r="R5437" s="23"/>
    </row>
    <row r="5438" spans="1:18" ht="12.75">
      <c r="A5438" s="22"/>
      <c r="D5438" s="19"/>
      <c r="H5438" s="18"/>
      <c r="J5438" s="18"/>
      <c r="N5438" s="16"/>
      <c r="O5438" s="17"/>
      <c r="Q5438" s="22"/>
      <c r="R5438" s="23"/>
    </row>
    <row r="5439" spans="1:18" ht="12.75">
      <c r="A5439" s="22"/>
      <c r="D5439" s="19"/>
      <c r="H5439" s="18"/>
      <c r="J5439" s="18"/>
      <c r="N5439" s="16"/>
      <c r="O5439" s="17"/>
      <c r="Q5439" s="22"/>
      <c r="R5439" s="23"/>
    </row>
    <row r="5440" spans="1:18" ht="12.75">
      <c r="A5440" s="22"/>
      <c r="D5440" s="19"/>
      <c r="H5440" s="18"/>
      <c r="J5440" s="18"/>
      <c r="N5440" s="16"/>
      <c r="O5440" s="17"/>
      <c r="Q5440" s="22"/>
      <c r="R5440" s="23"/>
    </row>
    <row r="5441" spans="1:18" ht="12.75">
      <c r="A5441" s="22"/>
      <c r="D5441" s="19"/>
      <c r="H5441" s="18"/>
      <c r="J5441" s="18"/>
      <c r="N5441" s="16"/>
      <c r="O5441" s="17"/>
      <c r="Q5441" s="22"/>
      <c r="R5441" s="23"/>
    </row>
    <row r="5442" spans="1:18" ht="12.75">
      <c r="A5442" s="22"/>
      <c r="D5442" s="19"/>
      <c r="H5442" s="18"/>
      <c r="J5442" s="18"/>
      <c r="N5442" s="16"/>
      <c r="O5442" s="17"/>
      <c r="Q5442" s="22"/>
      <c r="R5442" s="23"/>
    </row>
    <row r="5443" spans="1:18" ht="12.75">
      <c r="A5443" s="22"/>
      <c r="D5443" s="19"/>
      <c r="H5443" s="18"/>
      <c r="J5443" s="18"/>
      <c r="N5443" s="16"/>
      <c r="O5443" s="17"/>
      <c r="Q5443" s="22"/>
      <c r="R5443" s="23"/>
    </row>
    <row r="5444" spans="1:18" ht="12.75">
      <c r="A5444" s="22"/>
      <c r="D5444" s="19"/>
      <c r="H5444" s="18"/>
      <c r="J5444" s="18"/>
      <c r="N5444" s="16"/>
      <c r="O5444" s="17"/>
      <c r="Q5444" s="22"/>
      <c r="R5444" s="23"/>
    </row>
    <row r="5445" spans="1:18" ht="12.75">
      <c r="A5445" s="22"/>
      <c r="D5445" s="19"/>
      <c r="H5445" s="18"/>
      <c r="J5445" s="18"/>
      <c r="N5445" s="16"/>
      <c r="O5445" s="17"/>
      <c r="Q5445" s="22"/>
      <c r="R5445" s="23"/>
    </row>
    <row r="5446" spans="1:18" ht="12.75">
      <c r="A5446" s="22"/>
      <c r="D5446" s="19"/>
      <c r="H5446" s="18"/>
      <c r="J5446" s="18"/>
      <c r="N5446" s="16"/>
      <c r="O5446" s="17"/>
      <c r="Q5446" s="22"/>
      <c r="R5446" s="23"/>
    </row>
    <row r="5447" spans="1:18" ht="12.75">
      <c r="A5447" s="22"/>
      <c r="D5447" s="19"/>
      <c r="H5447" s="18"/>
      <c r="J5447" s="18"/>
      <c r="N5447" s="16"/>
      <c r="O5447" s="17"/>
      <c r="Q5447" s="22"/>
      <c r="R5447" s="23"/>
    </row>
    <row r="5448" spans="1:18" ht="12.75">
      <c r="A5448" s="22"/>
      <c r="D5448" s="19"/>
      <c r="H5448" s="18"/>
      <c r="J5448" s="18"/>
      <c r="N5448" s="16"/>
      <c r="O5448" s="17"/>
      <c r="Q5448" s="22"/>
      <c r="R5448" s="23"/>
    </row>
    <row r="5449" spans="1:18" ht="12.75">
      <c r="A5449" s="22"/>
      <c r="D5449" s="19"/>
      <c r="H5449" s="18"/>
      <c r="J5449" s="18"/>
      <c r="N5449" s="16"/>
      <c r="O5449" s="17"/>
      <c r="Q5449" s="22"/>
      <c r="R5449" s="23"/>
    </row>
    <row r="5450" spans="1:18" ht="12.75">
      <c r="A5450" s="22"/>
      <c r="D5450" s="19"/>
      <c r="H5450" s="18"/>
      <c r="J5450" s="18"/>
      <c r="N5450" s="16"/>
      <c r="O5450" s="17"/>
      <c r="Q5450" s="22"/>
      <c r="R5450" s="23"/>
    </row>
    <row r="5451" spans="1:18" ht="12.75">
      <c r="A5451" s="22"/>
      <c r="D5451" s="19"/>
      <c r="H5451" s="18"/>
      <c r="J5451" s="18"/>
      <c r="N5451" s="16"/>
      <c r="O5451" s="17"/>
      <c r="Q5451" s="22"/>
      <c r="R5451" s="23"/>
    </row>
    <row r="5452" spans="1:18" ht="12.75">
      <c r="A5452" s="22"/>
      <c r="D5452" s="19"/>
      <c r="H5452" s="18"/>
      <c r="J5452" s="18"/>
      <c r="N5452" s="16"/>
      <c r="O5452" s="17"/>
      <c r="Q5452" s="22"/>
      <c r="R5452" s="23"/>
    </row>
    <row r="5453" spans="1:18" ht="12.75">
      <c r="A5453" s="22"/>
      <c r="D5453" s="19"/>
      <c r="H5453" s="18"/>
      <c r="J5453" s="18"/>
      <c r="N5453" s="16"/>
      <c r="O5453" s="17"/>
      <c r="Q5453" s="22"/>
      <c r="R5453" s="23"/>
    </row>
    <row r="5454" spans="1:18" ht="12.75">
      <c r="A5454" s="22"/>
      <c r="D5454" s="19"/>
      <c r="H5454" s="18"/>
      <c r="J5454" s="18"/>
      <c r="N5454" s="16"/>
      <c r="O5454" s="17"/>
      <c r="Q5454" s="22"/>
      <c r="R5454" s="23"/>
    </row>
    <row r="5455" spans="1:18" ht="12.75">
      <c r="A5455" s="22"/>
      <c r="D5455" s="19"/>
      <c r="H5455" s="18"/>
      <c r="J5455" s="18"/>
      <c r="N5455" s="16"/>
      <c r="O5455" s="17"/>
      <c r="Q5455" s="22"/>
      <c r="R5455" s="23"/>
    </row>
    <row r="5456" spans="1:18" ht="12.75">
      <c r="A5456" s="22"/>
      <c r="D5456" s="19"/>
      <c r="H5456" s="18"/>
      <c r="J5456" s="18"/>
      <c r="N5456" s="16"/>
      <c r="O5456" s="17"/>
      <c r="Q5456" s="22"/>
      <c r="R5456" s="23"/>
    </row>
    <row r="5457" spans="1:18" ht="12.75">
      <c r="A5457" s="22"/>
      <c r="D5457" s="19"/>
      <c r="H5457" s="18"/>
      <c r="J5457" s="18"/>
      <c r="N5457" s="16"/>
      <c r="O5457" s="17"/>
      <c r="Q5457" s="22"/>
      <c r="R5457" s="23"/>
    </row>
    <row r="5458" spans="1:18" ht="12.75">
      <c r="A5458" s="22"/>
      <c r="D5458" s="19"/>
      <c r="H5458" s="18"/>
      <c r="J5458" s="18"/>
      <c r="N5458" s="16"/>
      <c r="O5458" s="17"/>
      <c r="Q5458" s="22"/>
      <c r="R5458" s="23"/>
    </row>
    <row r="5459" spans="1:18" ht="12.75">
      <c r="A5459" s="22"/>
      <c r="D5459" s="19"/>
      <c r="H5459" s="18"/>
      <c r="J5459" s="18"/>
      <c r="N5459" s="16"/>
      <c r="O5459" s="17"/>
      <c r="Q5459" s="22"/>
      <c r="R5459" s="23"/>
    </row>
    <row r="5460" spans="1:18" ht="12.75">
      <c r="A5460" s="22"/>
      <c r="D5460" s="19"/>
      <c r="H5460" s="18"/>
      <c r="J5460" s="18"/>
      <c r="N5460" s="16"/>
      <c r="O5460" s="17"/>
      <c r="Q5460" s="22"/>
      <c r="R5460" s="23"/>
    </row>
    <row r="5461" spans="1:18" ht="12.75">
      <c r="A5461" s="22"/>
      <c r="D5461" s="19"/>
      <c r="H5461" s="18"/>
      <c r="J5461" s="18"/>
      <c r="N5461" s="16"/>
      <c r="O5461" s="17"/>
      <c r="Q5461" s="22"/>
      <c r="R5461" s="23"/>
    </row>
    <row r="5462" spans="1:18" ht="12.75">
      <c r="A5462" s="22"/>
      <c r="D5462" s="19"/>
      <c r="H5462" s="18"/>
      <c r="J5462" s="18"/>
      <c r="N5462" s="16"/>
      <c r="O5462" s="17"/>
      <c r="Q5462" s="22"/>
      <c r="R5462" s="23"/>
    </row>
    <row r="5463" spans="1:18" ht="12.75">
      <c r="A5463" s="22"/>
      <c r="D5463" s="19"/>
      <c r="H5463" s="18"/>
      <c r="J5463" s="18"/>
      <c r="N5463" s="16"/>
      <c r="O5463" s="17"/>
      <c r="Q5463" s="22"/>
      <c r="R5463" s="23"/>
    </row>
    <row r="5464" spans="1:18" ht="12.75">
      <c r="A5464" s="22"/>
      <c r="D5464" s="19"/>
      <c r="H5464" s="18"/>
      <c r="J5464" s="18"/>
      <c r="N5464" s="16"/>
      <c r="O5464" s="17"/>
      <c r="Q5464" s="22"/>
      <c r="R5464" s="23"/>
    </row>
    <row r="5465" spans="1:18" ht="12.75">
      <c r="A5465" s="22"/>
      <c r="D5465" s="19"/>
      <c r="H5465" s="18"/>
      <c r="J5465" s="18"/>
      <c r="N5465" s="16"/>
      <c r="O5465" s="17"/>
      <c r="Q5465" s="22"/>
      <c r="R5465" s="23"/>
    </row>
    <row r="5466" spans="1:18" ht="12.75">
      <c r="A5466" s="22"/>
      <c r="D5466" s="19"/>
      <c r="H5466" s="18"/>
      <c r="J5466" s="18"/>
      <c r="N5466" s="16"/>
      <c r="O5466" s="17"/>
      <c r="Q5466" s="22"/>
      <c r="R5466" s="23"/>
    </row>
    <row r="5467" spans="1:18" ht="12.75">
      <c r="A5467" s="22"/>
      <c r="D5467" s="19"/>
      <c r="H5467" s="18"/>
      <c r="J5467" s="18"/>
      <c r="N5467" s="16"/>
      <c r="O5467" s="17"/>
      <c r="Q5467" s="22"/>
      <c r="R5467" s="23"/>
    </row>
    <row r="5468" spans="1:18" ht="12.75">
      <c r="A5468" s="22"/>
      <c r="D5468" s="19"/>
      <c r="H5468" s="18"/>
      <c r="J5468" s="18"/>
      <c r="N5468" s="16"/>
      <c r="O5468" s="17"/>
      <c r="Q5468" s="22"/>
      <c r="R5468" s="23"/>
    </row>
    <row r="5469" spans="1:18" ht="12.75">
      <c r="A5469" s="22"/>
      <c r="D5469" s="19"/>
      <c r="H5469" s="18"/>
      <c r="J5469" s="18"/>
      <c r="N5469" s="16"/>
      <c r="O5469" s="17"/>
      <c r="Q5469" s="22"/>
      <c r="R5469" s="23"/>
    </row>
    <row r="5470" spans="1:18" ht="12.75">
      <c r="A5470" s="22"/>
      <c r="D5470" s="19"/>
      <c r="H5470" s="18"/>
      <c r="J5470" s="18"/>
      <c r="N5470" s="16"/>
      <c r="O5470" s="17"/>
      <c r="Q5470" s="22"/>
      <c r="R5470" s="23"/>
    </row>
    <row r="5471" spans="1:18" ht="12.75">
      <c r="A5471" s="22"/>
      <c r="D5471" s="19"/>
      <c r="H5471" s="18"/>
      <c r="J5471" s="18"/>
      <c r="N5471" s="16"/>
      <c r="O5471" s="17"/>
      <c r="Q5471" s="22"/>
      <c r="R5471" s="23"/>
    </row>
    <row r="5472" spans="1:18" ht="12.75">
      <c r="A5472" s="22"/>
      <c r="D5472" s="19"/>
      <c r="H5472" s="18"/>
      <c r="J5472" s="18"/>
      <c r="N5472" s="16"/>
      <c r="O5472" s="17"/>
      <c r="Q5472" s="22"/>
      <c r="R5472" s="23"/>
    </row>
    <row r="5473" spans="1:18" ht="12.75">
      <c r="A5473" s="22"/>
      <c r="D5473" s="19"/>
      <c r="H5473" s="18"/>
      <c r="J5473" s="18"/>
      <c r="N5473" s="16"/>
      <c r="O5473" s="17"/>
      <c r="Q5473" s="22"/>
      <c r="R5473" s="23"/>
    </row>
    <row r="5474" spans="1:18" ht="12.75">
      <c r="A5474" s="22"/>
      <c r="D5474" s="19"/>
      <c r="H5474" s="18"/>
      <c r="J5474" s="18"/>
      <c r="N5474" s="16"/>
      <c r="O5474" s="17"/>
      <c r="Q5474" s="22"/>
      <c r="R5474" s="23"/>
    </row>
    <row r="5475" spans="1:18" ht="12.75">
      <c r="A5475" s="22"/>
      <c r="D5475" s="19"/>
      <c r="H5475" s="18"/>
      <c r="J5475" s="18"/>
      <c r="N5475" s="16"/>
      <c r="O5475" s="17"/>
      <c r="Q5475" s="22"/>
      <c r="R5475" s="23"/>
    </row>
    <row r="5476" spans="1:18" ht="12.75">
      <c r="A5476" s="22"/>
      <c r="D5476" s="19"/>
      <c r="H5476" s="18"/>
      <c r="J5476" s="18"/>
      <c r="N5476" s="16"/>
      <c r="O5476" s="17"/>
      <c r="Q5476" s="22"/>
      <c r="R5476" s="23"/>
    </row>
    <row r="5477" spans="1:18" ht="12.75">
      <c r="A5477" s="22"/>
      <c r="D5477" s="19"/>
      <c r="H5477" s="18"/>
      <c r="J5477" s="18"/>
      <c r="N5477" s="16"/>
      <c r="O5477" s="17"/>
      <c r="Q5477" s="22"/>
      <c r="R5477" s="23"/>
    </row>
    <row r="5478" spans="1:18" ht="12.75">
      <c r="A5478" s="22"/>
      <c r="D5478" s="19"/>
      <c r="H5478" s="18"/>
      <c r="J5478" s="18"/>
      <c r="N5478" s="16"/>
      <c r="O5478" s="17"/>
      <c r="Q5478" s="22"/>
      <c r="R5478" s="23"/>
    </row>
    <row r="5479" spans="1:18" ht="12.75">
      <c r="A5479" s="22"/>
      <c r="D5479" s="19"/>
      <c r="H5479" s="18"/>
      <c r="J5479" s="18"/>
      <c r="N5479" s="16"/>
      <c r="O5479" s="17"/>
      <c r="Q5479" s="22"/>
      <c r="R5479" s="23"/>
    </row>
    <row r="5480" spans="1:18" ht="12.75">
      <c r="A5480" s="22"/>
      <c r="D5480" s="19"/>
      <c r="H5480" s="18"/>
      <c r="J5480" s="18"/>
      <c r="N5480" s="16"/>
      <c r="O5480" s="17"/>
      <c r="Q5480" s="22"/>
      <c r="R5480" s="23"/>
    </row>
    <row r="5481" spans="1:18" ht="12.75">
      <c r="A5481" s="22"/>
      <c r="D5481" s="19"/>
      <c r="H5481" s="18"/>
      <c r="J5481" s="18"/>
      <c r="N5481" s="16"/>
      <c r="O5481" s="17"/>
      <c r="Q5481" s="22"/>
      <c r="R5481" s="23"/>
    </row>
    <row r="5482" spans="1:18" ht="12.75">
      <c r="A5482" s="22"/>
      <c r="D5482" s="19"/>
      <c r="H5482" s="18"/>
      <c r="J5482" s="18"/>
      <c r="N5482" s="16"/>
      <c r="O5482" s="17"/>
      <c r="Q5482" s="22"/>
      <c r="R5482" s="23"/>
    </row>
    <row r="5483" spans="1:18" ht="12.75">
      <c r="A5483" s="22"/>
      <c r="D5483" s="19"/>
      <c r="H5483" s="18"/>
      <c r="J5483" s="18"/>
      <c r="N5483" s="16"/>
      <c r="O5483" s="17"/>
      <c r="Q5483" s="22"/>
      <c r="R5483" s="23"/>
    </row>
    <row r="5484" spans="1:18" ht="12.75">
      <c r="A5484" s="22"/>
      <c r="D5484" s="19"/>
      <c r="H5484" s="18"/>
      <c r="J5484" s="18"/>
      <c r="N5484" s="16"/>
      <c r="O5484" s="17"/>
      <c r="Q5484" s="22"/>
      <c r="R5484" s="23"/>
    </row>
    <row r="5485" spans="1:18" ht="12.75">
      <c r="A5485" s="22"/>
      <c r="D5485" s="19"/>
      <c r="H5485" s="18"/>
      <c r="J5485" s="18"/>
      <c r="N5485" s="16"/>
      <c r="O5485" s="17"/>
      <c r="Q5485" s="22"/>
      <c r="R5485" s="23"/>
    </row>
    <row r="5486" spans="1:18" ht="12.75">
      <c r="A5486" s="22"/>
      <c r="D5486" s="19"/>
      <c r="H5486" s="18"/>
      <c r="J5486" s="18"/>
      <c r="N5486" s="16"/>
      <c r="O5486" s="17"/>
      <c r="Q5486" s="22"/>
      <c r="R5486" s="23"/>
    </row>
    <row r="5487" spans="1:18" ht="12.75">
      <c r="A5487" s="22"/>
      <c r="D5487" s="19"/>
      <c r="H5487" s="18"/>
      <c r="J5487" s="18"/>
      <c r="N5487" s="16"/>
      <c r="O5487" s="17"/>
      <c r="Q5487" s="22"/>
      <c r="R5487" s="23"/>
    </row>
    <row r="5488" spans="1:18" ht="12.75">
      <c r="A5488" s="22"/>
      <c r="D5488" s="19"/>
      <c r="H5488" s="18"/>
      <c r="J5488" s="18"/>
      <c r="N5488" s="16"/>
      <c r="O5488" s="17"/>
      <c r="Q5488" s="22"/>
      <c r="R5488" s="23"/>
    </row>
    <row r="5489" spans="1:18" ht="12.75">
      <c r="A5489" s="22"/>
      <c r="D5489" s="19"/>
      <c r="H5489" s="18"/>
      <c r="J5489" s="18"/>
      <c r="N5489" s="16"/>
      <c r="O5489" s="17"/>
      <c r="Q5489" s="22"/>
      <c r="R5489" s="23"/>
    </row>
    <row r="5490" spans="1:18" ht="12.75">
      <c r="A5490" s="22"/>
      <c r="D5490" s="19"/>
      <c r="H5490" s="18"/>
      <c r="J5490" s="18"/>
      <c r="N5490" s="16"/>
      <c r="O5490" s="17"/>
      <c r="Q5490" s="22"/>
      <c r="R5490" s="23"/>
    </row>
    <row r="5491" spans="1:18" ht="12.75">
      <c r="A5491" s="22"/>
      <c r="D5491" s="19"/>
      <c r="H5491" s="18"/>
      <c r="J5491" s="18"/>
      <c r="N5491" s="16"/>
      <c r="O5491" s="17"/>
      <c r="Q5491" s="22"/>
      <c r="R5491" s="23"/>
    </row>
    <row r="5492" spans="1:18" ht="12.75">
      <c r="A5492" s="22"/>
      <c r="D5492" s="19"/>
      <c r="H5492" s="18"/>
      <c r="J5492" s="18"/>
      <c r="N5492" s="16"/>
      <c r="O5492" s="17"/>
      <c r="Q5492" s="22"/>
      <c r="R5492" s="23"/>
    </row>
    <row r="5493" spans="1:18" ht="12.75">
      <c r="A5493" s="22"/>
      <c r="D5493" s="19"/>
      <c r="H5493" s="18"/>
      <c r="J5493" s="18"/>
      <c r="N5493" s="16"/>
      <c r="O5493" s="17"/>
      <c r="Q5493" s="22"/>
      <c r="R5493" s="23"/>
    </row>
    <row r="5494" spans="1:18" ht="12.75">
      <c r="A5494" s="22"/>
      <c r="D5494" s="19"/>
      <c r="H5494" s="18"/>
      <c r="J5494" s="18"/>
      <c r="N5494" s="16"/>
      <c r="O5494" s="17"/>
      <c r="Q5494" s="22"/>
      <c r="R5494" s="23"/>
    </row>
    <row r="5495" spans="1:18" ht="12.75">
      <c r="A5495" s="22"/>
      <c r="D5495" s="19"/>
      <c r="H5495" s="18"/>
      <c r="J5495" s="18"/>
      <c r="N5495" s="16"/>
      <c r="O5495" s="17"/>
      <c r="Q5495" s="22"/>
      <c r="R5495" s="23"/>
    </row>
    <row r="5496" spans="1:18" ht="12.75">
      <c r="A5496" s="22"/>
      <c r="D5496" s="19"/>
      <c r="H5496" s="18"/>
      <c r="J5496" s="18"/>
      <c r="N5496" s="16"/>
      <c r="O5496" s="17"/>
      <c r="Q5496" s="22"/>
      <c r="R5496" s="23"/>
    </row>
    <row r="5497" spans="1:18" ht="12.75">
      <c r="A5497" s="22"/>
      <c r="D5497" s="19"/>
      <c r="H5497" s="18"/>
      <c r="J5497" s="18"/>
      <c r="N5497" s="16"/>
      <c r="O5497" s="17"/>
      <c r="Q5497" s="22"/>
      <c r="R5497" s="23"/>
    </row>
    <row r="5498" spans="1:18" ht="12.75">
      <c r="A5498" s="22"/>
      <c r="D5498" s="19"/>
      <c r="H5498" s="18"/>
      <c r="J5498" s="18"/>
      <c r="N5498" s="16"/>
      <c r="O5498" s="17"/>
      <c r="Q5498" s="22"/>
      <c r="R5498" s="23"/>
    </row>
    <row r="5499" spans="1:18" ht="12.75">
      <c r="A5499" s="22"/>
      <c r="D5499" s="19"/>
      <c r="H5499" s="18"/>
      <c r="J5499" s="18"/>
      <c r="N5499" s="16"/>
      <c r="O5499" s="17"/>
      <c r="Q5499" s="22"/>
      <c r="R5499" s="23"/>
    </row>
    <row r="5500" spans="1:18" ht="12.75">
      <c r="A5500" s="22"/>
      <c r="D5500" s="19"/>
      <c r="H5500" s="18"/>
      <c r="J5500" s="18"/>
      <c r="N5500" s="16"/>
      <c r="O5500" s="17"/>
      <c r="Q5500" s="22"/>
      <c r="R5500" s="23"/>
    </row>
    <row r="5501" spans="1:18" ht="12.75">
      <c r="A5501" s="22"/>
      <c r="D5501" s="19"/>
      <c r="H5501" s="18"/>
      <c r="J5501" s="18"/>
      <c r="N5501" s="16"/>
      <c r="O5501" s="17"/>
      <c r="Q5501" s="22"/>
      <c r="R5501" s="23"/>
    </row>
    <row r="5502" spans="1:18" ht="12.75">
      <c r="A5502" s="22"/>
      <c r="D5502" s="19"/>
      <c r="H5502" s="18"/>
      <c r="J5502" s="18"/>
      <c r="N5502" s="16"/>
      <c r="O5502" s="17"/>
      <c r="Q5502" s="22"/>
      <c r="R5502" s="23"/>
    </row>
    <row r="5503" spans="1:18" ht="12.75">
      <c r="A5503" s="22"/>
      <c r="D5503" s="19"/>
      <c r="H5503" s="18"/>
      <c r="J5503" s="18"/>
      <c r="N5503" s="16"/>
      <c r="O5503" s="17"/>
      <c r="Q5503" s="22"/>
      <c r="R5503" s="23"/>
    </row>
    <row r="5504" spans="1:18" ht="12.75">
      <c r="A5504" s="22"/>
      <c r="D5504" s="19"/>
      <c r="H5504" s="18"/>
      <c r="J5504" s="18"/>
      <c r="N5504" s="16"/>
      <c r="O5504" s="17"/>
      <c r="Q5504" s="22"/>
      <c r="R5504" s="23"/>
    </row>
    <row r="5505" spans="1:18" ht="12.75">
      <c r="A5505" s="22"/>
      <c r="D5505" s="19"/>
      <c r="H5505" s="18"/>
      <c r="J5505" s="18"/>
      <c r="N5505" s="16"/>
      <c r="O5505" s="17"/>
      <c r="Q5505" s="22"/>
      <c r="R5505" s="23"/>
    </row>
    <row r="5506" spans="1:18" ht="12.75">
      <c r="A5506" s="22"/>
      <c r="D5506" s="19"/>
      <c r="H5506" s="18"/>
      <c r="J5506" s="18"/>
      <c r="N5506" s="16"/>
      <c r="O5506" s="17"/>
      <c r="Q5506" s="22"/>
      <c r="R5506" s="23"/>
    </row>
    <row r="5507" spans="1:18" ht="12.75">
      <c r="A5507" s="22"/>
      <c r="D5507" s="19"/>
      <c r="H5507" s="18"/>
      <c r="J5507" s="18"/>
      <c r="N5507" s="16"/>
      <c r="O5507" s="17"/>
      <c r="Q5507" s="22"/>
      <c r="R5507" s="23"/>
    </row>
    <row r="5508" spans="1:18" ht="12.75">
      <c r="A5508" s="22"/>
      <c r="D5508" s="19"/>
      <c r="H5508" s="18"/>
      <c r="J5508" s="18"/>
      <c r="N5508" s="16"/>
      <c r="O5508" s="17"/>
      <c r="Q5508" s="22"/>
      <c r="R5508" s="23"/>
    </row>
    <row r="5509" spans="1:18" ht="12.75">
      <c r="A5509" s="22"/>
      <c r="D5509" s="19"/>
      <c r="H5509" s="18"/>
      <c r="J5509" s="18"/>
      <c r="N5509" s="16"/>
      <c r="O5509" s="17"/>
      <c r="Q5509" s="22"/>
      <c r="R5509" s="23"/>
    </row>
    <row r="5510" spans="1:18" ht="12.75">
      <c r="A5510" s="22"/>
      <c r="D5510" s="19"/>
      <c r="H5510" s="18"/>
      <c r="J5510" s="18"/>
      <c r="N5510" s="16"/>
      <c r="O5510" s="17"/>
      <c r="Q5510" s="22"/>
      <c r="R5510" s="23"/>
    </row>
    <row r="5511" spans="1:18" ht="12.75">
      <c r="A5511" s="22"/>
      <c r="D5511" s="19"/>
      <c r="H5511" s="18"/>
      <c r="J5511" s="18"/>
      <c r="N5511" s="16"/>
      <c r="O5511" s="17"/>
      <c r="Q5511" s="22"/>
      <c r="R5511" s="23"/>
    </row>
    <row r="5512" spans="1:18" ht="12.75">
      <c r="A5512" s="22"/>
      <c r="D5512" s="19"/>
      <c r="H5512" s="18"/>
      <c r="J5512" s="18"/>
      <c r="N5512" s="16"/>
      <c r="O5512" s="17"/>
      <c r="Q5512" s="22"/>
      <c r="R5512" s="23"/>
    </row>
    <row r="5513" spans="1:18" ht="12.75">
      <c r="A5513" s="22"/>
      <c r="D5513" s="19"/>
      <c r="H5513" s="18"/>
      <c r="J5513" s="18"/>
      <c r="N5513" s="16"/>
      <c r="O5513" s="17"/>
      <c r="Q5513" s="22"/>
      <c r="R5513" s="23"/>
    </row>
    <row r="5514" spans="1:18" ht="12.75">
      <c r="A5514" s="22"/>
      <c r="D5514" s="19"/>
      <c r="H5514" s="18"/>
      <c r="J5514" s="18"/>
      <c r="N5514" s="16"/>
      <c r="O5514" s="17"/>
      <c r="Q5514" s="22"/>
      <c r="R5514" s="23"/>
    </row>
    <row r="5515" spans="1:18" ht="12.75">
      <c r="A5515" s="22"/>
      <c r="D5515" s="19"/>
      <c r="H5515" s="18"/>
      <c r="J5515" s="18"/>
      <c r="N5515" s="16"/>
      <c r="O5515" s="17"/>
      <c r="Q5515" s="22"/>
      <c r="R5515" s="23"/>
    </row>
    <row r="5516" spans="1:18" ht="12.75">
      <c r="A5516" s="22"/>
      <c r="D5516" s="19"/>
      <c r="H5516" s="18"/>
      <c r="J5516" s="18"/>
      <c r="N5516" s="16"/>
      <c r="O5516" s="17"/>
      <c r="Q5516" s="22"/>
      <c r="R5516" s="23"/>
    </row>
    <row r="5517" spans="1:18" ht="12.75">
      <c r="A5517" s="22"/>
      <c r="D5517" s="19"/>
      <c r="H5517" s="18"/>
      <c r="J5517" s="18"/>
      <c r="N5517" s="16"/>
      <c r="O5517" s="17"/>
      <c r="Q5517" s="22"/>
      <c r="R5517" s="23"/>
    </row>
    <row r="5518" spans="1:18" ht="12.75">
      <c r="A5518" s="22"/>
      <c r="D5518" s="19"/>
      <c r="H5518" s="18"/>
      <c r="J5518" s="18"/>
      <c r="N5518" s="16"/>
      <c r="O5518" s="17"/>
      <c r="Q5518" s="22"/>
      <c r="R5518" s="23"/>
    </row>
    <row r="5519" spans="1:18" ht="12.75">
      <c r="A5519" s="22"/>
      <c r="D5519" s="19"/>
      <c r="H5519" s="18"/>
      <c r="J5519" s="18"/>
      <c r="N5519" s="16"/>
      <c r="O5519" s="17"/>
      <c r="Q5519" s="22"/>
      <c r="R5519" s="23"/>
    </row>
    <row r="5520" spans="1:18" ht="12.75">
      <c r="A5520" s="22"/>
      <c r="D5520" s="19"/>
      <c r="H5520" s="18"/>
      <c r="J5520" s="18"/>
      <c r="N5520" s="16"/>
      <c r="O5520" s="17"/>
      <c r="Q5520" s="22"/>
      <c r="R5520" s="23"/>
    </row>
    <row r="5521" spans="1:18" ht="12.75">
      <c r="A5521" s="22"/>
      <c r="D5521" s="19"/>
      <c r="H5521" s="18"/>
      <c r="J5521" s="18"/>
      <c r="N5521" s="16"/>
      <c r="O5521" s="17"/>
      <c r="Q5521" s="22"/>
      <c r="R5521" s="23"/>
    </row>
    <row r="5522" spans="1:18" ht="12.75">
      <c r="A5522" s="22"/>
      <c r="D5522" s="19"/>
      <c r="H5522" s="18"/>
      <c r="J5522" s="18"/>
      <c r="N5522" s="16"/>
      <c r="O5522" s="17"/>
      <c r="Q5522" s="22"/>
      <c r="R5522" s="23"/>
    </row>
    <row r="5523" spans="1:18" ht="12.75">
      <c r="A5523" s="22"/>
      <c r="D5523" s="19"/>
      <c r="H5523" s="18"/>
      <c r="J5523" s="18"/>
      <c r="N5523" s="16"/>
      <c r="O5523" s="17"/>
      <c r="Q5523" s="22"/>
      <c r="R5523" s="23"/>
    </row>
    <row r="5524" spans="1:18" ht="12.75">
      <c r="A5524" s="22"/>
      <c r="D5524" s="19"/>
      <c r="H5524" s="18"/>
      <c r="J5524" s="18"/>
      <c r="N5524" s="16"/>
      <c r="O5524" s="17"/>
      <c r="Q5524" s="22"/>
      <c r="R5524" s="23"/>
    </row>
    <row r="5525" spans="1:18" ht="12.75">
      <c r="A5525" s="22"/>
      <c r="D5525" s="19"/>
      <c r="H5525" s="18"/>
      <c r="J5525" s="18"/>
      <c r="N5525" s="16"/>
      <c r="O5525" s="17"/>
      <c r="Q5525" s="22"/>
      <c r="R5525" s="23"/>
    </row>
    <row r="5526" spans="1:18" ht="12.75">
      <c r="A5526" s="22"/>
      <c r="D5526" s="19"/>
      <c r="H5526" s="18"/>
      <c r="J5526" s="18"/>
      <c r="N5526" s="16"/>
      <c r="O5526" s="17"/>
      <c r="Q5526" s="22"/>
      <c r="R5526" s="23"/>
    </row>
    <row r="5527" spans="1:18" ht="12.75">
      <c r="A5527" s="22"/>
      <c r="D5527" s="19"/>
      <c r="H5527" s="18"/>
      <c r="J5527" s="18"/>
      <c r="N5527" s="16"/>
      <c r="O5527" s="17"/>
      <c r="Q5527" s="22"/>
      <c r="R5527" s="23"/>
    </row>
    <row r="5528" spans="1:18" ht="12.75">
      <c r="A5528" s="22"/>
      <c r="D5528" s="19"/>
      <c r="H5528" s="18"/>
      <c r="J5528" s="18"/>
      <c r="N5528" s="16"/>
      <c r="O5528" s="17"/>
      <c r="Q5528" s="22"/>
      <c r="R5528" s="23"/>
    </row>
    <row r="5529" spans="1:18" ht="12.75">
      <c r="A5529" s="22"/>
      <c r="D5529" s="19"/>
      <c r="H5529" s="18"/>
      <c r="J5529" s="18"/>
      <c r="N5529" s="16"/>
      <c r="O5529" s="17"/>
      <c r="Q5529" s="22"/>
      <c r="R5529" s="23"/>
    </row>
    <row r="5530" spans="1:18" ht="12.75">
      <c r="A5530" s="22"/>
      <c r="D5530" s="19"/>
      <c r="H5530" s="18"/>
      <c r="J5530" s="18"/>
      <c r="N5530" s="16"/>
      <c r="O5530" s="17"/>
      <c r="Q5530" s="22"/>
      <c r="R5530" s="23"/>
    </row>
    <row r="5531" spans="1:18" ht="12.75">
      <c r="A5531" s="22"/>
      <c r="D5531" s="19"/>
      <c r="H5531" s="18"/>
      <c r="J5531" s="18"/>
      <c r="N5531" s="16"/>
      <c r="O5531" s="17"/>
      <c r="Q5531" s="22"/>
      <c r="R5531" s="23"/>
    </row>
    <row r="5532" spans="1:18" ht="12.75">
      <c r="A5532" s="22"/>
      <c r="D5532" s="19"/>
      <c r="H5532" s="18"/>
      <c r="J5532" s="18"/>
      <c r="N5532" s="16"/>
      <c r="O5532" s="17"/>
      <c r="Q5532" s="22"/>
      <c r="R5532" s="23"/>
    </row>
    <row r="5533" spans="1:18" ht="12.75">
      <c r="A5533" s="22"/>
      <c r="D5533" s="19"/>
      <c r="H5533" s="18"/>
      <c r="J5533" s="18"/>
      <c r="N5533" s="16"/>
      <c r="O5533" s="17"/>
      <c r="Q5533" s="22"/>
      <c r="R5533" s="23"/>
    </row>
    <row r="5534" spans="1:18" ht="12.75">
      <c r="A5534" s="22"/>
      <c r="D5534" s="19"/>
      <c r="H5534" s="18"/>
      <c r="J5534" s="18"/>
      <c r="N5534" s="16"/>
      <c r="O5534" s="17"/>
      <c r="Q5534" s="22"/>
      <c r="R5534" s="23"/>
    </row>
    <row r="5535" spans="1:18" ht="12.75">
      <c r="A5535" s="22"/>
      <c r="D5535" s="19"/>
      <c r="H5535" s="18"/>
      <c r="J5535" s="18"/>
      <c r="N5535" s="16"/>
      <c r="O5535" s="17"/>
      <c r="Q5535" s="22"/>
      <c r="R5535" s="23"/>
    </row>
    <row r="5536" spans="1:18" ht="12.75">
      <c r="A5536" s="22"/>
      <c r="D5536" s="19"/>
      <c r="H5536" s="18"/>
      <c r="J5536" s="18"/>
      <c r="N5536" s="16"/>
      <c r="O5536" s="17"/>
      <c r="Q5536" s="22"/>
      <c r="R5536" s="23"/>
    </row>
    <row r="5537" spans="1:18" ht="12.75">
      <c r="A5537" s="22"/>
      <c r="D5537" s="19"/>
      <c r="H5537" s="18"/>
      <c r="J5537" s="18"/>
      <c r="N5537" s="16"/>
      <c r="O5537" s="17"/>
      <c r="Q5537" s="22"/>
      <c r="R5537" s="23"/>
    </row>
    <row r="5538" spans="1:18" ht="12.75">
      <c r="A5538" s="22"/>
      <c r="D5538" s="19"/>
      <c r="H5538" s="18"/>
      <c r="J5538" s="18"/>
      <c r="N5538" s="16"/>
      <c r="O5538" s="17"/>
      <c r="Q5538" s="22"/>
      <c r="R5538" s="23"/>
    </row>
    <row r="5539" spans="1:18" ht="12.75">
      <c r="A5539" s="22"/>
      <c r="D5539" s="19"/>
      <c r="H5539" s="18"/>
      <c r="J5539" s="18"/>
      <c r="N5539" s="16"/>
      <c r="O5539" s="17"/>
      <c r="Q5539" s="22"/>
      <c r="R5539" s="23"/>
    </row>
    <row r="5540" spans="1:18" ht="12.75">
      <c r="A5540" s="22"/>
      <c r="D5540" s="19"/>
      <c r="H5540" s="18"/>
      <c r="J5540" s="18"/>
      <c r="N5540" s="16"/>
      <c r="O5540" s="17"/>
      <c r="Q5540" s="22"/>
      <c r="R5540" s="23"/>
    </row>
    <row r="5541" spans="1:18" ht="12.75">
      <c r="A5541" s="22"/>
      <c r="D5541" s="19"/>
      <c r="H5541" s="18"/>
      <c r="J5541" s="18"/>
      <c r="N5541" s="16"/>
      <c r="O5541" s="17"/>
      <c r="Q5541" s="22"/>
      <c r="R5541" s="23"/>
    </row>
    <row r="5542" spans="1:18" ht="12.75">
      <c r="A5542" s="22"/>
      <c r="D5542" s="19"/>
      <c r="H5542" s="18"/>
      <c r="J5542" s="18"/>
      <c r="N5542" s="16"/>
      <c r="O5542" s="17"/>
      <c r="Q5542" s="22"/>
      <c r="R5542" s="23"/>
    </row>
    <row r="5543" spans="1:18" ht="12.75">
      <c r="A5543" s="22"/>
      <c r="D5543" s="19"/>
      <c r="H5543" s="18"/>
      <c r="J5543" s="18"/>
      <c r="N5543" s="16"/>
      <c r="O5543" s="17"/>
      <c r="Q5543" s="22"/>
      <c r="R5543" s="23"/>
    </row>
    <row r="5544" spans="1:18" ht="12.75">
      <c r="A5544" s="22"/>
      <c r="D5544" s="19"/>
      <c r="H5544" s="18"/>
      <c r="J5544" s="18"/>
      <c r="N5544" s="16"/>
      <c r="O5544" s="17"/>
      <c r="Q5544" s="22"/>
      <c r="R5544" s="23"/>
    </row>
    <row r="5545" spans="1:18" ht="12.75">
      <c r="A5545" s="22"/>
      <c r="D5545" s="19"/>
      <c r="H5545" s="18"/>
      <c r="J5545" s="18"/>
      <c r="N5545" s="16"/>
      <c r="O5545" s="17"/>
      <c r="Q5545" s="22"/>
      <c r="R5545" s="23"/>
    </row>
    <row r="5546" spans="1:18" ht="12.75">
      <c r="A5546" s="22"/>
      <c r="D5546" s="19"/>
      <c r="H5546" s="18"/>
      <c r="J5546" s="18"/>
      <c r="N5546" s="16"/>
      <c r="O5546" s="17"/>
      <c r="Q5546" s="22"/>
      <c r="R5546" s="23"/>
    </row>
    <row r="5547" spans="1:18" ht="12.75">
      <c r="A5547" s="22"/>
      <c r="D5547" s="19"/>
      <c r="H5547" s="18"/>
      <c r="J5547" s="18"/>
      <c r="N5547" s="16"/>
      <c r="O5547" s="17"/>
      <c r="Q5547" s="22"/>
      <c r="R5547" s="23"/>
    </row>
    <row r="5548" spans="1:18" ht="12.75">
      <c r="A5548" s="22"/>
      <c r="D5548" s="19"/>
      <c r="H5548" s="18"/>
      <c r="J5548" s="18"/>
      <c r="N5548" s="16"/>
      <c r="O5548" s="17"/>
      <c r="Q5548" s="22"/>
      <c r="R5548" s="23"/>
    </row>
    <row r="5549" spans="1:18" ht="12.75">
      <c r="A5549" s="22"/>
      <c r="D5549" s="19"/>
      <c r="H5549" s="18"/>
      <c r="J5549" s="18"/>
      <c r="N5549" s="16"/>
      <c r="O5549" s="17"/>
      <c r="Q5549" s="22"/>
      <c r="R5549" s="23"/>
    </row>
    <row r="5550" spans="1:18" ht="12.75">
      <c r="A5550" s="22"/>
      <c r="D5550" s="19"/>
      <c r="H5550" s="18"/>
      <c r="J5550" s="18"/>
      <c r="N5550" s="16"/>
      <c r="O5550" s="17"/>
      <c r="Q5550" s="22"/>
      <c r="R5550" s="23"/>
    </row>
    <row r="5551" spans="1:18" ht="12.75">
      <c r="A5551" s="22"/>
      <c r="D5551" s="19"/>
      <c r="H5551" s="18"/>
      <c r="J5551" s="18"/>
      <c r="N5551" s="16"/>
      <c r="O5551" s="17"/>
      <c r="Q5551" s="22"/>
      <c r="R5551" s="23"/>
    </row>
    <row r="5552" spans="1:18" ht="12.75">
      <c r="A5552" s="22"/>
      <c r="D5552" s="19"/>
      <c r="H5552" s="18"/>
      <c r="J5552" s="18"/>
      <c r="N5552" s="16"/>
      <c r="O5552" s="17"/>
      <c r="Q5552" s="22"/>
      <c r="R5552" s="23"/>
    </row>
    <row r="5553" spans="1:18" ht="12.75">
      <c r="A5553" s="22"/>
      <c r="D5553" s="19"/>
      <c r="H5553" s="18"/>
      <c r="J5553" s="18"/>
      <c r="N5553" s="16"/>
      <c r="O5553" s="17"/>
      <c r="Q5553" s="22"/>
      <c r="R5553" s="23"/>
    </row>
    <row r="5554" spans="1:18" ht="12.75">
      <c r="A5554" s="22"/>
      <c r="D5554" s="19"/>
      <c r="H5554" s="18"/>
      <c r="J5554" s="18"/>
      <c r="N5554" s="16"/>
      <c r="O5554" s="17"/>
      <c r="Q5554" s="22"/>
      <c r="R5554" s="23"/>
    </row>
    <row r="5555" spans="1:18" ht="12.75">
      <c r="A5555" s="22"/>
      <c r="D5555" s="19"/>
      <c r="H5555" s="18"/>
      <c r="J5555" s="18"/>
      <c r="N5555" s="16"/>
      <c r="O5555" s="17"/>
      <c r="Q5555" s="22"/>
      <c r="R5555" s="23"/>
    </row>
    <row r="5556" spans="1:18" ht="12.75">
      <c r="A5556" s="22"/>
      <c r="D5556" s="19"/>
      <c r="H5556" s="18"/>
      <c r="J5556" s="18"/>
      <c r="N5556" s="16"/>
      <c r="O5556" s="17"/>
      <c r="Q5556" s="22"/>
      <c r="R5556" s="23"/>
    </row>
    <row r="5557" spans="1:18" ht="12.75">
      <c r="A5557" s="22"/>
      <c r="D5557" s="19"/>
      <c r="H5557" s="18"/>
      <c r="J5557" s="18"/>
      <c r="N5557" s="16"/>
      <c r="O5557" s="17"/>
      <c r="Q5557" s="22"/>
      <c r="R5557" s="23"/>
    </row>
    <row r="5558" spans="1:18" ht="12.75">
      <c r="A5558" s="22"/>
      <c r="D5558" s="19"/>
      <c r="H5558" s="18"/>
      <c r="J5558" s="18"/>
      <c r="N5558" s="16"/>
      <c r="O5558" s="17"/>
      <c r="Q5558" s="22"/>
      <c r="R5558" s="23"/>
    </row>
    <row r="5559" spans="1:18" ht="12.75">
      <c r="A5559" s="22"/>
      <c r="D5559" s="19"/>
      <c r="H5559" s="18"/>
      <c r="J5559" s="18"/>
      <c r="N5559" s="16"/>
      <c r="O5559" s="17"/>
      <c r="Q5559" s="22"/>
      <c r="R5559" s="23"/>
    </row>
    <row r="5560" spans="1:18" ht="12.75">
      <c r="A5560" s="22"/>
      <c r="D5560" s="19"/>
      <c r="H5560" s="18"/>
      <c r="J5560" s="18"/>
      <c r="N5560" s="16"/>
      <c r="O5560" s="17"/>
      <c r="Q5560" s="22"/>
      <c r="R5560" s="23"/>
    </row>
    <row r="5561" spans="1:18" ht="12.75">
      <c r="A5561" s="22"/>
      <c r="D5561" s="19"/>
      <c r="H5561" s="18"/>
      <c r="J5561" s="18"/>
      <c r="N5561" s="16"/>
      <c r="O5561" s="17"/>
      <c r="Q5561" s="22"/>
      <c r="R5561" s="23"/>
    </row>
    <row r="5562" spans="1:18" ht="12.75">
      <c r="A5562" s="22"/>
      <c r="D5562" s="19"/>
      <c r="H5562" s="18"/>
      <c r="J5562" s="18"/>
      <c r="N5562" s="16"/>
      <c r="O5562" s="17"/>
      <c r="Q5562" s="22"/>
      <c r="R5562" s="23"/>
    </row>
    <row r="5563" spans="1:18" ht="12.75">
      <c r="A5563" s="22"/>
      <c r="D5563" s="19"/>
      <c r="H5563" s="18"/>
      <c r="J5563" s="18"/>
      <c r="N5563" s="16"/>
      <c r="O5563" s="17"/>
      <c r="Q5563" s="22"/>
      <c r="R5563" s="23"/>
    </row>
    <row r="5564" spans="1:18" ht="12.75">
      <c r="A5564" s="22"/>
      <c r="D5564" s="19"/>
      <c r="H5564" s="18"/>
      <c r="J5564" s="18"/>
      <c r="N5564" s="16"/>
      <c r="O5564" s="17"/>
      <c r="Q5564" s="22"/>
      <c r="R5564" s="23"/>
    </row>
    <row r="5565" spans="1:18" ht="12.75">
      <c r="A5565" s="22"/>
      <c r="D5565" s="19"/>
      <c r="H5565" s="18"/>
      <c r="J5565" s="18"/>
      <c r="N5565" s="16"/>
      <c r="O5565" s="17"/>
      <c r="Q5565" s="22"/>
      <c r="R5565" s="23"/>
    </row>
    <row r="5566" spans="1:18" ht="12.75">
      <c r="A5566" s="22"/>
      <c r="D5566" s="19"/>
      <c r="H5566" s="18"/>
      <c r="J5566" s="18"/>
      <c r="N5566" s="16"/>
      <c r="O5566" s="17"/>
      <c r="Q5566" s="22"/>
      <c r="R5566" s="23"/>
    </row>
    <row r="5567" spans="1:18" ht="12.75">
      <c r="A5567" s="22"/>
      <c r="D5567" s="19"/>
      <c r="H5567" s="18"/>
      <c r="J5567" s="18"/>
      <c r="N5567" s="16"/>
      <c r="O5567" s="17"/>
      <c r="Q5567" s="22"/>
      <c r="R5567" s="23"/>
    </row>
    <row r="5568" spans="1:18" ht="12.75">
      <c r="A5568" s="22"/>
      <c r="D5568" s="19"/>
      <c r="H5568" s="18"/>
      <c r="J5568" s="18"/>
      <c r="N5568" s="16"/>
      <c r="O5568" s="17"/>
      <c r="Q5568" s="22"/>
      <c r="R5568" s="23"/>
    </row>
    <row r="5569" spans="1:18" ht="12.75">
      <c r="A5569" s="22"/>
      <c r="D5569" s="19"/>
      <c r="H5569" s="18"/>
      <c r="J5569" s="18"/>
      <c r="N5569" s="16"/>
      <c r="O5569" s="17"/>
      <c r="Q5569" s="22"/>
      <c r="R5569" s="23"/>
    </row>
    <row r="5570" spans="1:18" ht="12.75">
      <c r="A5570" s="22"/>
      <c r="D5570" s="19"/>
      <c r="H5570" s="18"/>
      <c r="J5570" s="18"/>
      <c r="N5570" s="16"/>
      <c r="O5570" s="17"/>
      <c r="Q5570" s="22"/>
      <c r="R5570" s="23"/>
    </row>
    <row r="5571" spans="1:18" ht="12.75">
      <c r="A5571" s="22"/>
      <c r="D5571" s="19"/>
      <c r="H5571" s="18"/>
      <c r="J5571" s="18"/>
      <c r="N5571" s="16"/>
      <c r="O5571" s="17"/>
      <c r="Q5571" s="22"/>
      <c r="R5571" s="23"/>
    </row>
    <row r="5572" spans="1:18" ht="12.75">
      <c r="A5572" s="22"/>
      <c r="D5572" s="19"/>
      <c r="H5572" s="18"/>
      <c r="J5572" s="18"/>
      <c r="N5572" s="16"/>
      <c r="O5572" s="17"/>
      <c r="Q5572" s="22"/>
      <c r="R5572" s="23"/>
    </row>
    <row r="5573" spans="1:18" ht="12.75">
      <c r="A5573" s="22"/>
      <c r="D5573" s="19"/>
      <c r="H5573" s="18"/>
      <c r="J5573" s="18"/>
      <c r="N5573" s="16"/>
      <c r="O5573" s="17"/>
      <c r="Q5573" s="22"/>
      <c r="R5573" s="23"/>
    </row>
    <row r="5574" spans="1:18" ht="12.75">
      <c r="A5574" s="22"/>
      <c r="D5574" s="19"/>
      <c r="H5574" s="18"/>
      <c r="J5574" s="18"/>
      <c r="N5574" s="16"/>
      <c r="O5574" s="17"/>
      <c r="Q5574" s="22"/>
      <c r="R5574" s="23"/>
    </row>
    <row r="5575" spans="1:18" ht="12.75">
      <c r="A5575" s="22"/>
      <c r="D5575" s="19"/>
      <c r="H5575" s="18"/>
      <c r="J5575" s="18"/>
      <c r="N5575" s="16"/>
      <c r="O5575" s="17"/>
      <c r="Q5575" s="22"/>
      <c r="R5575" s="23"/>
    </row>
    <row r="5576" spans="1:18" ht="12.75">
      <c r="A5576" s="22"/>
      <c r="D5576" s="19"/>
      <c r="H5576" s="18"/>
      <c r="J5576" s="18"/>
      <c r="N5576" s="16"/>
      <c r="O5576" s="17"/>
      <c r="Q5576" s="22"/>
      <c r="R5576" s="23"/>
    </row>
    <row r="5577" spans="1:18" ht="12.75">
      <c r="A5577" s="22"/>
      <c r="D5577" s="19"/>
      <c r="H5577" s="18"/>
      <c r="J5577" s="18"/>
      <c r="N5577" s="16"/>
      <c r="O5577" s="17"/>
      <c r="Q5577" s="22"/>
      <c r="R5577" s="23"/>
    </row>
    <row r="5578" spans="1:18" ht="12.75">
      <c r="A5578" s="22"/>
      <c r="D5578" s="19"/>
      <c r="H5578" s="18"/>
      <c r="J5578" s="18"/>
      <c r="N5578" s="16"/>
      <c r="O5578" s="17"/>
      <c r="Q5578" s="22"/>
      <c r="R5578" s="23"/>
    </row>
    <row r="5579" spans="1:18" ht="12.75">
      <c r="A5579" s="22"/>
      <c r="D5579" s="19"/>
      <c r="H5579" s="18"/>
      <c r="J5579" s="18"/>
      <c r="N5579" s="16"/>
      <c r="O5579" s="17"/>
      <c r="Q5579" s="22"/>
      <c r="R5579" s="23"/>
    </row>
    <row r="5580" spans="1:18" ht="12.75">
      <c r="A5580" s="22"/>
      <c r="D5580" s="19"/>
      <c r="H5580" s="18"/>
      <c r="J5580" s="18"/>
      <c r="N5580" s="16"/>
      <c r="O5580" s="17"/>
      <c r="Q5580" s="22"/>
      <c r="R5580" s="23"/>
    </row>
    <row r="5581" spans="1:18" ht="12.75">
      <c r="A5581" s="22"/>
      <c r="D5581" s="19"/>
      <c r="H5581" s="18"/>
      <c r="J5581" s="18"/>
      <c r="N5581" s="16"/>
      <c r="O5581" s="17"/>
      <c r="Q5581" s="22"/>
      <c r="R5581" s="23"/>
    </row>
    <row r="5582" spans="1:18" ht="12.75">
      <c r="A5582" s="22"/>
      <c r="D5582" s="19"/>
      <c r="H5582" s="18"/>
      <c r="J5582" s="18"/>
      <c r="N5582" s="16"/>
      <c r="O5582" s="17"/>
      <c r="Q5582" s="22"/>
      <c r="R5582" s="23"/>
    </row>
    <row r="5583" spans="1:18" ht="12.75">
      <c r="A5583" s="22"/>
      <c r="D5583" s="19"/>
      <c r="H5583" s="18"/>
      <c r="J5583" s="18"/>
      <c r="N5583" s="16"/>
      <c r="O5583" s="17"/>
      <c r="Q5583" s="22"/>
      <c r="R5583" s="23"/>
    </row>
    <row r="5584" spans="1:18" ht="12.75">
      <c r="A5584" s="22"/>
      <c r="D5584" s="19"/>
      <c r="H5584" s="18"/>
      <c r="J5584" s="18"/>
      <c r="N5584" s="16"/>
      <c r="O5584" s="17"/>
      <c r="Q5584" s="22"/>
      <c r="R5584" s="23"/>
    </row>
    <row r="5585" spans="1:18" ht="12.75">
      <c r="A5585" s="22"/>
      <c r="D5585" s="19"/>
      <c r="H5585" s="18"/>
      <c r="J5585" s="18"/>
      <c r="N5585" s="16"/>
      <c r="O5585" s="17"/>
      <c r="Q5585" s="22"/>
      <c r="R5585" s="23"/>
    </row>
    <row r="5586" spans="1:18" ht="12.75">
      <c r="A5586" s="22"/>
      <c r="D5586" s="19"/>
      <c r="H5586" s="18"/>
      <c r="J5586" s="18"/>
      <c r="N5586" s="16"/>
      <c r="O5586" s="17"/>
      <c r="Q5586" s="22"/>
      <c r="R5586" s="23"/>
    </row>
    <row r="5587" spans="1:18" ht="12.75">
      <c r="A5587" s="22"/>
      <c r="D5587" s="19"/>
      <c r="H5587" s="18"/>
      <c r="J5587" s="18"/>
      <c r="N5587" s="16"/>
      <c r="O5587" s="17"/>
      <c r="Q5587" s="22"/>
      <c r="R5587" s="23"/>
    </row>
    <row r="5588" spans="1:18" ht="12.75">
      <c r="A5588" s="22"/>
      <c r="D5588" s="19"/>
      <c r="H5588" s="18"/>
      <c r="J5588" s="18"/>
      <c r="N5588" s="16"/>
      <c r="O5588" s="17"/>
      <c r="Q5588" s="22"/>
      <c r="R5588" s="23"/>
    </row>
    <row r="5589" spans="1:18" ht="12.75">
      <c r="A5589" s="22"/>
      <c r="D5589" s="19"/>
      <c r="H5589" s="18"/>
      <c r="J5589" s="18"/>
      <c r="N5589" s="16"/>
      <c r="O5589" s="17"/>
      <c r="Q5589" s="22"/>
      <c r="R5589" s="23"/>
    </row>
    <row r="5590" spans="1:18" ht="12.75">
      <c r="A5590" s="22"/>
      <c r="D5590" s="19"/>
      <c r="H5590" s="18"/>
      <c r="J5590" s="18"/>
      <c r="N5590" s="16"/>
      <c r="O5590" s="17"/>
      <c r="Q5590" s="22"/>
      <c r="R5590" s="23"/>
    </row>
    <row r="5591" spans="1:18" ht="12.75">
      <c r="A5591" s="22"/>
      <c r="D5591" s="19"/>
      <c r="H5591" s="18"/>
      <c r="J5591" s="18"/>
      <c r="N5591" s="16"/>
      <c r="O5591" s="17"/>
      <c r="Q5591" s="22"/>
      <c r="R5591" s="23"/>
    </row>
    <row r="5592" spans="1:18" ht="12.75">
      <c r="A5592" s="22"/>
      <c r="D5592" s="19"/>
      <c r="H5592" s="18"/>
      <c r="J5592" s="18"/>
      <c r="N5592" s="16"/>
      <c r="O5592" s="17"/>
      <c r="Q5592" s="22"/>
      <c r="R5592" s="23"/>
    </row>
    <row r="5593" spans="1:18" ht="12.75">
      <c r="A5593" s="22"/>
      <c r="D5593" s="19"/>
      <c r="H5593" s="18"/>
      <c r="J5593" s="18"/>
      <c r="N5593" s="16"/>
      <c r="O5593" s="17"/>
      <c r="Q5593" s="22"/>
      <c r="R5593" s="23"/>
    </row>
    <row r="5594" spans="1:18" ht="12.75">
      <c r="A5594" s="22"/>
      <c r="D5594" s="19"/>
      <c r="H5594" s="18"/>
      <c r="J5594" s="18"/>
      <c r="N5594" s="16"/>
      <c r="O5594" s="17"/>
      <c r="Q5594" s="22"/>
      <c r="R5594" s="23"/>
    </row>
    <row r="5595" spans="1:18" ht="12.75">
      <c r="A5595" s="22"/>
      <c r="D5595" s="19"/>
      <c r="H5595" s="18"/>
      <c r="J5595" s="18"/>
      <c r="N5595" s="16"/>
      <c r="O5595" s="17"/>
      <c r="Q5595" s="22"/>
      <c r="R5595" s="23"/>
    </row>
    <row r="5596" spans="1:18" ht="12.75">
      <c r="A5596" s="22"/>
      <c r="D5596" s="19"/>
      <c r="H5596" s="18"/>
      <c r="J5596" s="18"/>
      <c r="N5596" s="16"/>
      <c r="O5596" s="17"/>
      <c r="Q5596" s="22"/>
      <c r="R5596" s="23"/>
    </row>
    <row r="5597" spans="1:18" ht="12.75">
      <c r="A5597" s="22"/>
      <c r="D5597" s="19"/>
      <c r="H5597" s="18"/>
      <c r="J5597" s="18"/>
      <c r="N5597" s="16"/>
      <c r="O5597" s="17"/>
      <c r="Q5597" s="22"/>
      <c r="R5597" s="23"/>
    </row>
    <row r="5598" spans="1:18" ht="12.75">
      <c r="A5598" s="22"/>
      <c r="D5598" s="19"/>
      <c r="H5598" s="18"/>
      <c r="J5598" s="18"/>
      <c r="N5598" s="16"/>
      <c r="O5598" s="17"/>
      <c r="Q5598" s="22"/>
      <c r="R5598" s="23"/>
    </row>
    <row r="5599" spans="1:18" ht="12.75">
      <c r="A5599" s="22"/>
      <c r="D5599" s="19"/>
      <c r="H5599" s="18"/>
      <c r="J5599" s="18"/>
      <c r="N5599" s="16"/>
      <c r="O5599" s="17"/>
      <c r="Q5599" s="22"/>
      <c r="R5599" s="23"/>
    </row>
    <row r="5600" spans="1:18" ht="12.75">
      <c r="A5600" s="22"/>
      <c r="D5600" s="19"/>
      <c r="H5600" s="18"/>
      <c r="J5600" s="18"/>
      <c r="N5600" s="16"/>
      <c r="O5600" s="17"/>
      <c r="Q5600" s="22"/>
      <c r="R5600" s="23"/>
    </row>
    <row r="5601" spans="1:18" ht="12.75">
      <c r="A5601" s="22"/>
      <c r="D5601" s="19"/>
      <c r="H5601" s="18"/>
      <c r="J5601" s="18"/>
      <c r="N5601" s="16"/>
      <c r="O5601" s="17"/>
      <c r="Q5601" s="22"/>
      <c r="R5601" s="23"/>
    </row>
    <row r="5602" spans="1:18" ht="12.75">
      <c r="A5602" s="22"/>
      <c r="D5602" s="19"/>
      <c r="H5602" s="18"/>
      <c r="J5602" s="18"/>
      <c r="N5602" s="16"/>
      <c r="O5602" s="17"/>
      <c r="Q5602" s="22"/>
      <c r="R5602" s="23"/>
    </row>
    <row r="5603" spans="1:18" ht="12.75">
      <c r="A5603" s="22"/>
      <c r="D5603" s="19"/>
      <c r="H5603" s="18"/>
      <c r="J5603" s="18"/>
      <c r="N5603" s="16"/>
      <c r="O5603" s="17"/>
      <c r="Q5603" s="22"/>
      <c r="R5603" s="23"/>
    </row>
    <row r="5604" spans="1:18" ht="12.75">
      <c r="A5604" s="22"/>
      <c r="D5604" s="19"/>
      <c r="H5604" s="18"/>
      <c r="J5604" s="18"/>
      <c r="N5604" s="16"/>
      <c r="O5604" s="17"/>
      <c r="Q5604" s="22"/>
      <c r="R5604" s="23"/>
    </row>
    <row r="5605" spans="1:18" ht="12.75">
      <c r="A5605" s="22"/>
      <c r="D5605" s="19"/>
      <c r="H5605" s="18"/>
      <c r="J5605" s="18"/>
      <c r="N5605" s="16"/>
      <c r="O5605" s="17"/>
      <c r="Q5605" s="22"/>
      <c r="R5605" s="23"/>
    </row>
    <row r="5606" spans="1:18" ht="12.75">
      <c r="A5606" s="22"/>
      <c r="D5606" s="19"/>
      <c r="H5606" s="18"/>
      <c r="J5606" s="18"/>
      <c r="N5606" s="16"/>
      <c r="O5606" s="17"/>
      <c r="Q5606" s="22"/>
      <c r="R5606" s="23"/>
    </row>
    <row r="5607" spans="1:18" ht="12.75">
      <c r="A5607" s="22"/>
      <c r="D5607" s="19"/>
      <c r="H5607" s="18"/>
      <c r="J5607" s="18"/>
      <c r="N5607" s="16"/>
      <c r="O5607" s="17"/>
      <c r="Q5607" s="22"/>
      <c r="R5607" s="23"/>
    </row>
    <row r="5608" spans="1:18" ht="12.75">
      <c r="A5608" s="22"/>
      <c r="D5608" s="19"/>
      <c r="H5608" s="18"/>
      <c r="J5608" s="18"/>
      <c r="N5608" s="16"/>
      <c r="O5608" s="17"/>
      <c r="Q5608" s="22"/>
      <c r="R5608" s="23"/>
    </row>
    <row r="5609" spans="1:18" ht="12.75">
      <c r="A5609" s="22"/>
      <c r="D5609" s="19"/>
      <c r="H5609" s="18"/>
      <c r="J5609" s="18"/>
      <c r="N5609" s="16"/>
      <c r="O5609" s="17"/>
      <c r="Q5609" s="22"/>
      <c r="R5609" s="23"/>
    </row>
    <row r="5610" spans="1:18" ht="12.75">
      <c r="A5610" s="22"/>
      <c r="D5610" s="19"/>
      <c r="H5610" s="18"/>
      <c r="J5610" s="18"/>
      <c r="N5610" s="16"/>
      <c r="O5610" s="17"/>
      <c r="Q5610" s="22"/>
      <c r="R5610" s="23"/>
    </row>
    <row r="5611" spans="1:18" ht="12.75">
      <c r="A5611" s="22"/>
      <c r="D5611" s="19"/>
      <c r="H5611" s="18"/>
      <c r="J5611" s="18"/>
      <c r="N5611" s="16"/>
      <c r="O5611" s="17"/>
      <c r="Q5611" s="22"/>
      <c r="R5611" s="23"/>
    </row>
    <row r="5612" spans="1:18" ht="12.75">
      <c r="A5612" s="22"/>
      <c r="D5612" s="19"/>
      <c r="H5612" s="18"/>
      <c r="J5612" s="18"/>
      <c r="N5612" s="16"/>
      <c r="O5612" s="17"/>
      <c r="Q5612" s="22"/>
      <c r="R5612" s="23"/>
    </row>
    <row r="5613" spans="1:18" ht="12.75">
      <c r="A5613" s="22"/>
      <c r="D5613" s="19"/>
      <c r="H5613" s="18"/>
      <c r="J5613" s="18"/>
      <c r="N5613" s="16"/>
      <c r="O5613" s="17"/>
      <c r="Q5613" s="22"/>
      <c r="R5613" s="23"/>
    </row>
    <row r="5614" spans="1:18" ht="12.75">
      <c r="A5614" s="22"/>
      <c r="D5614" s="19"/>
      <c r="H5614" s="18"/>
      <c r="J5614" s="18"/>
      <c r="N5614" s="16"/>
      <c r="O5614" s="17"/>
      <c r="Q5614" s="22"/>
      <c r="R5614" s="23"/>
    </row>
    <row r="5615" spans="1:18" ht="12.75">
      <c r="A5615" s="22"/>
      <c r="D5615" s="19"/>
      <c r="H5615" s="18"/>
      <c r="J5615" s="18"/>
      <c r="N5615" s="16"/>
      <c r="O5615" s="17"/>
      <c r="Q5615" s="22"/>
      <c r="R5615" s="23"/>
    </row>
    <row r="5616" spans="1:18" ht="12.75">
      <c r="A5616" s="22"/>
      <c r="D5616" s="19"/>
      <c r="H5616" s="18"/>
      <c r="J5616" s="18"/>
      <c r="N5616" s="16"/>
      <c r="O5616" s="17"/>
      <c r="Q5616" s="22"/>
      <c r="R5616" s="23"/>
    </row>
    <row r="5617" spans="1:18" ht="12.75">
      <c r="A5617" s="22"/>
      <c r="D5617" s="19"/>
      <c r="H5617" s="18"/>
      <c r="J5617" s="18"/>
      <c r="N5617" s="16"/>
      <c r="O5617" s="17"/>
      <c r="Q5617" s="22"/>
      <c r="R5617" s="23"/>
    </row>
    <row r="5618" spans="1:18" ht="12.75">
      <c r="A5618" s="22"/>
      <c r="D5618" s="19"/>
      <c r="H5618" s="18"/>
      <c r="J5618" s="18"/>
      <c r="N5618" s="16"/>
      <c r="O5618" s="17"/>
      <c r="Q5618" s="22"/>
      <c r="R5618" s="23"/>
    </row>
    <row r="5619" spans="1:18" ht="12.75">
      <c r="A5619" s="22"/>
      <c r="D5619" s="19"/>
      <c r="H5619" s="18"/>
      <c r="J5619" s="18"/>
      <c r="N5619" s="16"/>
      <c r="O5619" s="17"/>
      <c r="Q5619" s="22"/>
      <c r="R5619" s="23"/>
    </row>
    <row r="5620" spans="1:18" ht="12.75">
      <c r="A5620" s="22"/>
      <c r="D5620" s="19"/>
      <c r="H5620" s="18"/>
      <c r="J5620" s="18"/>
      <c r="N5620" s="16"/>
      <c r="O5620" s="17"/>
      <c r="Q5620" s="22"/>
      <c r="R5620" s="23"/>
    </row>
    <row r="5621" spans="1:18" ht="12.75">
      <c r="A5621" s="22"/>
      <c r="D5621" s="19"/>
      <c r="H5621" s="18"/>
      <c r="J5621" s="18"/>
      <c r="N5621" s="16"/>
      <c r="O5621" s="17"/>
      <c r="Q5621" s="22"/>
      <c r="R5621" s="23"/>
    </row>
    <row r="5622" spans="1:18" ht="12.75">
      <c r="A5622" s="22"/>
      <c r="D5622" s="19"/>
      <c r="H5622" s="18"/>
      <c r="J5622" s="18"/>
      <c r="N5622" s="16"/>
      <c r="O5622" s="17"/>
      <c r="Q5622" s="22"/>
      <c r="R5622" s="23"/>
    </row>
    <row r="5623" spans="1:18" ht="12.75">
      <c r="A5623" s="22"/>
      <c r="D5623" s="19"/>
      <c r="H5623" s="18"/>
      <c r="J5623" s="18"/>
      <c r="N5623" s="16"/>
      <c r="O5623" s="17"/>
      <c r="Q5623" s="22"/>
      <c r="R5623" s="23"/>
    </row>
    <row r="5624" spans="1:18" ht="12.75">
      <c r="A5624" s="22"/>
      <c r="D5624" s="19"/>
      <c r="H5624" s="18"/>
      <c r="J5624" s="18"/>
      <c r="N5624" s="16"/>
      <c r="O5624" s="17"/>
      <c r="Q5624" s="22"/>
      <c r="R5624" s="23"/>
    </row>
    <row r="5625" spans="1:18" ht="12.75">
      <c r="A5625" s="22"/>
      <c r="D5625" s="19"/>
      <c r="H5625" s="18"/>
      <c r="J5625" s="18"/>
      <c r="N5625" s="16"/>
      <c r="O5625" s="17"/>
      <c r="Q5625" s="22"/>
      <c r="R5625" s="23"/>
    </row>
    <row r="5626" spans="1:18" ht="12.75">
      <c r="A5626" s="22"/>
      <c r="D5626" s="19"/>
      <c r="H5626" s="18"/>
      <c r="J5626" s="18"/>
      <c r="N5626" s="16"/>
      <c r="O5626" s="17"/>
      <c r="Q5626" s="22"/>
      <c r="R5626" s="23"/>
    </row>
    <row r="5627" spans="1:18" ht="12.75">
      <c r="A5627" s="22"/>
      <c r="D5627" s="19"/>
      <c r="H5627" s="18"/>
      <c r="J5627" s="18"/>
      <c r="N5627" s="16"/>
      <c r="O5627" s="17"/>
      <c r="Q5627" s="22"/>
      <c r="R5627" s="23"/>
    </row>
    <row r="5628" spans="1:18" ht="12.75">
      <c r="A5628" s="22"/>
      <c r="D5628" s="19"/>
      <c r="H5628" s="18"/>
      <c r="J5628" s="18"/>
      <c r="N5628" s="16"/>
      <c r="O5628" s="17"/>
      <c r="Q5628" s="22"/>
      <c r="R5628" s="23"/>
    </row>
    <row r="5629" spans="1:18" ht="12.75">
      <c r="A5629" s="22"/>
      <c r="D5629" s="19"/>
      <c r="H5629" s="18"/>
      <c r="J5629" s="18"/>
      <c r="N5629" s="16"/>
      <c r="O5629" s="17"/>
      <c r="Q5629" s="22"/>
      <c r="R5629" s="23"/>
    </row>
    <row r="5630" spans="1:18" ht="12.75">
      <c r="A5630" s="22"/>
      <c r="D5630" s="19"/>
      <c r="H5630" s="18"/>
      <c r="J5630" s="18"/>
      <c r="N5630" s="16"/>
      <c r="O5630" s="17"/>
      <c r="Q5630" s="22"/>
      <c r="R5630" s="23"/>
    </row>
    <row r="5631" spans="1:18" ht="12.75">
      <c r="A5631" s="22"/>
      <c r="D5631" s="19"/>
      <c r="H5631" s="18"/>
      <c r="J5631" s="18"/>
      <c r="N5631" s="16"/>
      <c r="O5631" s="17"/>
      <c r="Q5631" s="22"/>
      <c r="R5631" s="23"/>
    </row>
    <row r="5632" spans="1:18" ht="12.75">
      <c r="A5632" s="22"/>
      <c r="D5632" s="19"/>
      <c r="H5632" s="18"/>
      <c r="J5632" s="18"/>
      <c r="N5632" s="16"/>
      <c r="O5632" s="17"/>
      <c r="Q5632" s="22"/>
      <c r="R5632" s="23"/>
    </row>
    <row r="5633" spans="1:18" ht="12.75">
      <c r="A5633" s="22"/>
      <c r="D5633" s="19"/>
      <c r="H5633" s="18"/>
      <c r="J5633" s="18"/>
      <c r="N5633" s="16"/>
      <c r="O5633" s="17"/>
      <c r="Q5633" s="22"/>
      <c r="R5633" s="23"/>
    </row>
    <row r="5634" spans="1:18" ht="12.75">
      <c r="A5634" s="22"/>
      <c r="D5634" s="19"/>
      <c r="H5634" s="18"/>
      <c r="J5634" s="18"/>
      <c r="N5634" s="16"/>
      <c r="O5634" s="17"/>
      <c r="Q5634" s="22"/>
      <c r="R5634" s="23"/>
    </row>
    <row r="5635" spans="1:18" ht="12.75">
      <c r="A5635" s="22"/>
      <c r="D5635" s="19"/>
      <c r="H5635" s="18"/>
      <c r="J5635" s="18"/>
      <c r="N5635" s="16"/>
      <c r="O5635" s="17"/>
      <c r="Q5635" s="22"/>
      <c r="R5635" s="23"/>
    </row>
    <row r="5636" spans="1:18" ht="12.75">
      <c r="A5636" s="22"/>
      <c r="D5636" s="19"/>
      <c r="H5636" s="18"/>
      <c r="J5636" s="18"/>
      <c r="N5636" s="16"/>
      <c r="O5636" s="17"/>
      <c r="Q5636" s="22"/>
      <c r="R5636" s="23"/>
    </row>
    <row r="5637" spans="1:18" ht="12.75">
      <c r="A5637" s="22"/>
      <c r="D5637" s="19"/>
      <c r="H5637" s="18"/>
      <c r="J5637" s="18"/>
      <c r="N5637" s="16"/>
      <c r="O5637" s="17"/>
      <c r="Q5637" s="22"/>
      <c r="R5637" s="23"/>
    </row>
    <row r="5638" spans="1:18" ht="12.75">
      <c r="A5638" s="22"/>
      <c r="D5638" s="19"/>
      <c r="H5638" s="18"/>
      <c r="J5638" s="18"/>
      <c r="N5638" s="16"/>
      <c r="O5638" s="17"/>
      <c r="Q5638" s="22"/>
      <c r="R5638" s="23"/>
    </row>
    <row r="5639" spans="1:18" ht="12.75">
      <c r="A5639" s="22"/>
      <c r="D5639" s="19"/>
      <c r="H5639" s="18"/>
      <c r="J5639" s="18"/>
      <c r="N5639" s="16"/>
      <c r="O5639" s="17"/>
      <c r="Q5639" s="22"/>
      <c r="R5639" s="23"/>
    </row>
    <row r="5640" spans="1:18" ht="12.75">
      <c r="A5640" s="22"/>
      <c r="D5640" s="19"/>
      <c r="H5640" s="18"/>
      <c r="J5640" s="18"/>
      <c r="N5640" s="16"/>
      <c r="O5640" s="17"/>
      <c r="Q5640" s="22"/>
      <c r="R5640" s="23"/>
    </row>
    <row r="5641" spans="1:18" ht="12.75">
      <c r="A5641" s="22"/>
      <c r="D5641" s="19"/>
      <c r="H5641" s="18"/>
      <c r="J5641" s="18"/>
      <c r="N5641" s="16"/>
      <c r="O5641" s="17"/>
      <c r="Q5641" s="22"/>
      <c r="R5641" s="23"/>
    </row>
    <row r="5642" spans="1:18" ht="12.75">
      <c r="A5642" s="22"/>
      <c r="D5642" s="19"/>
      <c r="H5642" s="18"/>
      <c r="J5642" s="18"/>
      <c r="N5642" s="16"/>
      <c r="O5642" s="17"/>
      <c r="Q5642" s="22"/>
      <c r="R5642" s="23"/>
    </row>
    <row r="5643" spans="1:18" ht="12.75">
      <c r="A5643" s="22"/>
      <c r="D5643" s="19"/>
      <c r="H5643" s="18"/>
      <c r="J5643" s="18"/>
      <c r="N5643" s="16"/>
      <c r="O5643" s="17"/>
      <c r="Q5643" s="22"/>
      <c r="R5643" s="23"/>
    </row>
    <row r="5644" spans="1:18" ht="12.75">
      <c r="A5644" s="22"/>
      <c r="D5644" s="19"/>
      <c r="H5644" s="18"/>
      <c r="J5644" s="18"/>
      <c r="N5644" s="16"/>
      <c r="O5644" s="17"/>
      <c r="Q5644" s="22"/>
      <c r="R5644" s="23"/>
    </row>
    <row r="5645" spans="1:18" ht="12.75">
      <c r="A5645" s="22"/>
      <c r="D5645" s="19"/>
      <c r="H5645" s="18"/>
      <c r="J5645" s="18"/>
      <c r="N5645" s="16"/>
      <c r="O5645" s="17"/>
      <c r="Q5645" s="22"/>
      <c r="R5645" s="23"/>
    </row>
    <row r="5646" spans="1:18" ht="12.75">
      <c r="A5646" s="22"/>
      <c r="D5646" s="19"/>
      <c r="H5646" s="18"/>
      <c r="J5646" s="18"/>
      <c r="N5646" s="16"/>
      <c r="O5646" s="17"/>
      <c r="Q5646" s="22"/>
      <c r="R5646" s="23"/>
    </row>
    <row r="5647" spans="1:18" ht="12.75">
      <c r="A5647" s="22"/>
      <c r="D5647" s="19"/>
      <c r="H5647" s="18"/>
      <c r="J5647" s="18"/>
      <c r="N5647" s="16"/>
      <c r="O5647" s="17"/>
      <c r="Q5647" s="22"/>
      <c r="R5647" s="23"/>
    </row>
    <row r="5648" spans="1:18" ht="12.75">
      <c r="A5648" s="22"/>
      <c r="D5648" s="19"/>
      <c r="H5648" s="18"/>
      <c r="J5648" s="18"/>
      <c r="N5648" s="16"/>
      <c r="O5648" s="17"/>
      <c r="Q5648" s="22"/>
      <c r="R5648" s="23"/>
    </row>
    <row r="5649" spans="1:18" ht="12.75">
      <c r="A5649" s="22"/>
      <c r="D5649" s="19"/>
      <c r="H5649" s="18"/>
      <c r="J5649" s="18"/>
      <c r="N5649" s="16"/>
      <c r="O5649" s="17"/>
      <c r="Q5649" s="22"/>
      <c r="R5649" s="23"/>
    </row>
    <row r="5650" spans="1:18" ht="12.75">
      <c r="A5650" s="22"/>
      <c r="D5650" s="19"/>
      <c r="H5650" s="18"/>
      <c r="J5650" s="18"/>
      <c r="N5650" s="16"/>
      <c r="O5650" s="17"/>
      <c r="Q5650" s="22"/>
      <c r="R5650" s="23"/>
    </row>
    <row r="5651" spans="1:18" ht="12.75">
      <c r="A5651" s="22"/>
      <c r="D5651" s="19"/>
      <c r="H5651" s="18"/>
      <c r="J5651" s="18"/>
      <c r="N5651" s="16"/>
      <c r="O5651" s="17"/>
      <c r="Q5651" s="22"/>
      <c r="R5651" s="23"/>
    </row>
    <row r="5652" spans="1:18" ht="12.75">
      <c r="A5652" s="22"/>
      <c r="D5652" s="19"/>
      <c r="H5652" s="18"/>
      <c r="J5652" s="18"/>
      <c r="N5652" s="16"/>
      <c r="O5652" s="17"/>
      <c r="Q5652" s="22"/>
      <c r="R5652" s="23"/>
    </row>
    <row r="5653" spans="1:18" ht="12.75">
      <c r="A5653" s="22"/>
      <c r="D5653" s="19"/>
      <c r="H5653" s="18"/>
      <c r="J5653" s="18"/>
      <c r="N5653" s="16"/>
      <c r="O5653" s="17"/>
      <c r="Q5653" s="22"/>
      <c r="R5653" s="23"/>
    </row>
    <row r="5654" spans="1:18" ht="12.75">
      <c r="A5654" s="22"/>
      <c r="D5654" s="19"/>
      <c r="H5654" s="18"/>
      <c r="J5654" s="18"/>
      <c r="N5654" s="16"/>
      <c r="O5654" s="17"/>
      <c r="Q5654" s="22"/>
      <c r="R5654" s="23"/>
    </row>
    <row r="5655" spans="1:18" ht="12.75">
      <c r="A5655" s="22"/>
      <c r="D5655" s="19"/>
      <c r="H5655" s="18"/>
      <c r="J5655" s="18"/>
      <c r="N5655" s="16"/>
      <c r="O5655" s="17"/>
      <c r="Q5655" s="22"/>
      <c r="R5655" s="23"/>
    </row>
    <row r="5656" spans="1:18" ht="12.75">
      <c r="A5656" s="22"/>
      <c r="D5656" s="19"/>
      <c r="H5656" s="18"/>
      <c r="J5656" s="18"/>
      <c r="N5656" s="16"/>
      <c r="O5656" s="17"/>
      <c r="Q5656" s="22"/>
      <c r="R5656" s="23"/>
    </row>
    <row r="5657" spans="1:18" ht="12.75">
      <c r="A5657" s="22"/>
      <c r="D5657" s="19"/>
      <c r="H5657" s="18"/>
      <c r="J5657" s="18"/>
      <c r="N5657" s="16"/>
      <c r="O5657" s="17"/>
      <c r="Q5657" s="22"/>
      <c r="R5657" s="23"/>
    </row>
    <row r="5658" spans="1:18" ht="12.75">
      <c r="A5658" s="22"/>
      <c r="D5658" s="19"/>
      <c r="H5658" s="18"/>
      <c r="J5658" s="18"/>
      <c r="N5658" s="16"/>
      <c r="O5658" s="17"/>
      <c r="Q5658" s="22"/>
      <c r="R5658" s="23"/>
    </row>
    <row r="5659" spans="1:18" ht="12.75">
      <c r="A5659" s="22"/>
      <c r="D5659" s="19"/>
      <c r="H5659" s="18"/>
      <c r="J5659" s="18"/>
      <c r="N5659" s="16"/>
      <c r="O5659" s="17"/>
      <c r="Q5659" s="22"/>
      <c r="R5659" s="23"/>
    </row>
    <row r="5660" spans="1:18" ht="12.75">
      <c r="A5660" s="22"/>
      <c r="D5660" s="19"/>
      <c r="H5660" s="18"/>
      <c r="J5660" s="18"/>
      <c r="N5660" s="16"/>
      <c r="O5660" s="17"/>
      <c r="Q5660" s="22"/>
      <c r="R5660" s="23"/>
    </row>
    <row r="5661" spans="1:18" ht="12.75">
      <c r="A5661" s="22"/>
      <c r="D5661" s="19"/>
      <c r="H5661" s="18"/>
      <c r="J5661" s="18"/>
      <c r="N5661" s="16"/>
      <c r="O5661" s="17"/>
      <c r="Q5661" s="22"/>
      <c r="R5661" s="23"/>
    </row>
    <row r="5662" spans="1:18" ht="12.75">
      <c r="A5662" s="22"/>
      <c r="D5662" s="19"/>
      <c r="H5662" s="18"/>
      <c r="J5662" s="18"/>
      <c r="N5662" s="16"/>
      <c r="O5662" s="17"/>
      <c r="Q5662" s="22"/>
      <c r="R5662" s="23"/>
    </row>
    <row r="5663" spans="1:18" ht="12.75">
      <c r="A5663" s="22"/>
      <c r="D5663" s="19"/>
      <c r="H5663" s="18"/>
      <c r="J5663" s="18"/>
      <c r="N5663" s="16"/>
      <c r="O5663" s="17"/>
      <c r="Q5663" s="22"/>
      <c r="R5663" s="23"/>
    </row>
    <row r="5664" spans="1:18" ht="12.75">
      <c r="A5664" s="22"/>
      <c r="D5664" s="19"/>
      <c r="H5664" s="18"/>
      <c r="J5664" s="18"/>
      <c r="N5664" s="16"/>
      <c r="O5664" s="17"/>
      <c r="Q5664" s="22"/>
      <c r="R5664" s="23"/>
    </row>
    <row r="5665" spans="1:18" ht="12.75">
      <c r="A5665" s="22"/>
      <c r="D5665" s="19"/>
      <c r="H5665" s="18"/>
      <c r="J5665" s="18"/>
      <c r="N5665" s="16"/>
      <c r="O5665" s="17"/>
      <c r="Q5665" s="22"/>
      <c r="R5665" s="23"/>
    </row>
    <row r="5666" spans="1:18" ht="12.75">
      <c r="A5666" s="22"/>
      <c r="D5666" s="19"/>
      <c r="H5666" s="18"/>
      <c r="J5666" s="18"/>
      <c r="N5666" s="16"/>
      <c r="O5666" s="17"/>
      <c r="Q5666" s="22"/>
      <c r="R5666" s="23"/>
    </row>
    <row r="5667" spans="1:18" ht="12.75">
      <c r="A5667" s="22"/>
      <c r="D5667" s="19"/>
      <c r="H5667" s="18"/>
      <c r="J5667" s="18"/>
      <c r="N5667" s="16"/>
      <c r="O5667" s="17"/>
      <c r="Q5667" s="22"/>
      <c r="R5667" s="23"/>
    </row>
    <row r="5668" spans="1:18" ht="12.75">
      <c r="A5668" s="22"/>
      <c r="D5668" s="19"/>
      <c r="H5668" s="18"/>
      <c r="J5668" s="18"/>
      <c r="N5668" s="16"/>
      <c r="O5668" s="17"/>
      <c r="Q5668" s="22"/>
      <c r="R5668" s="23"/>
    </row>
    <row r="5669" spans="1:18" ht="12.75">
      <c r="A5669" s="22"/>
      <c r="D5669" s="19"/>
      <c r="H5669" s="18"/>
      <c r="J5669" s="18"/>
      <c r="N5669" s="16"/>
      <c r="O5669" s="17"/>
      <c r="Q5669" s="22"/>
      <c r="R5669" s="23"/>
    </row>
    <row r="5670" spans="1:18" ht="12.75">
      <c r="A5670" s="22"/>
      <c r="D5670" s="19"/>
      <c r="H5670" s="18"/>
      <c r="J5670" s="18"/>
      <c r="N5670" s="16"/>
      <c r="O5670" s="17"/>
      <c r="Q5670" s="22"/>
      <c r="R5670" s="23"/>
    </row>
    <row r="5671" spans="1:18" ht="12.75">
      <c r="A5671" s="22"/>
      <c r="D5671" s="19"/>
      <c r="H5671" s="18"/>
      <c r="J5671" s="18"/>
      <c r="N5671" s="16"/>
      <c r="O5671" s="17"/>
      <c r="Q5671" s="22"/>
      <c r="R5671" s="23"/>
    </row>
    <row r="5672" spans="1:18" ht="12.75">
      <c r="A5672" s="22"/>
      <c r="D5672" s="19"/>
      <c r="H5672" s="18"/>
      <c r="J5672" s="18"/>
      <c r="N5672" s="16"/>
      <c r="O5672" s="17"/>
      <c r="Q5672" s="22"/>
      <c r="R5672" s="23"/>
    </row>
    <row r="5673" spans="1:18" ht="12.75">
      <c r="A5673" s="22"/>
      <c r="D5673" s="19"/>
      <c r="H5673" s="18"/>
      <c r="J5673" s="18"/>
      <c r="N5673" s="16"/>
      <c r="O5673" s="17"/>
      <c r="Q5673" s="22"/>
      <c r="R5673" s="23"/>
    </row>
    <row r="5674" spans="1:18" ht="12.75">
      <c r="A5674" s="22"/>
      <c r="D5674" s="19"/>
      <c r="H5674" s="18"/>
      <c r="J5674" s="18"/>
      <c r="N5674" s="16"/>
      <c r="O5674" s="17"/>
      <c r="Q5674" s="22"/>
      <c r="R5674" s="23"/>
    </row>
    <row r="5675" spans="1:18" ht="12.75">
      <c r="A5675" s="22"/>
      <c r="D5675" s="19"/>
      <c r="H5675" s="18"/>
      <c r="J5675" s="18"/>
      <c r="N5675" s="16"/>
      <c r="O5675" s="17"/>
      <c r="Q5675" s="22"/>
      <c r="R5675" s="23"/>
    </row>
    <row r="5676" spans="1:18" ht="12.75">
      <c r="A5676" s="22"/>
      <c r="D5676" s="19"/>
      <c r="H5676" s="18"/>
      <c r="J5676" s="18"/>
      <c r="N5676" s="16"/>
      <c r="O5676" s="17"/>
      <c r="Q5676" s="22"/>
      <c r="R5676" s="23"/>
    </row>
    <row r="5677" spans="1:18" ht="12.75">
      <c r="A5677" s="22"/>
      <c r="D5677" s="19"/>
      <c r="H5677" s="18"/>
      <c r="J5677" s="18"/>
      <c r="N5677" s="16"/>
      <c r="O5677" s="17"/>
      <c r="Q5677" s="22"/>
      <c r="R5677" s="23"/>
    </row>
    <row r="5678" spans="1:18" ht="12.75">
      <c r="A5678" s="22"/>
      <c r="D5678" s="19"/>
      <c r="H5678" s="18"/>
      <c r="J5678" s="18"/>
      <c r="N5678" s="16"/>
      <c r="O5678" s="17"/>
      <c r="Q5678" s="22"/>
      <c r="R5678" s="23"/>
    </row>
    <row r="5679" spans="1:18" ht="12.75">
      <c r="A5679" s="22"/>
      <c r="D5679" s="19"/>
      <c r="H5679" s="18"/>
      <c r="J5679" s="18"/>
      <c r="N5679" s="16"/>
      <c r="O5679" s="17"/>
      <c r="Q5679" s="22"/>
      <c r="R5679" s="23"/>
    </row>
    <row r="5680" spans="1:18" ht="12.75">
      <c r="A5680" s="22"/>
      <c r="D5680" s="19"/>
      <c r="H5680" s="18"/>
      <c r="J5680" s="18"/>
      <c r="N5680" s="16"/>
      <c r="O5680" s="17"/>
      <c r="Q5680" s="22"/>
      <c r="R5680" s="23"/>
    </row>
    <row r="5681" spans="1:18" ht="12.75">
      <c r="A5681" s="22"/>
      <c r="D5681" s="19"/>
      <c r="H5681" s="18"/>
      <c r="J5681" s="18"/>
      <c r="N5681" s="16"/>
      <c r="O5681" s="17"/>
      <c r="Q5681" s="22"/>
      <c r="R5681" s="23"/>
    </row>
    <row r="5682" spans="1:18" ht="12.75">
      <c r="A5682" s="22"/>
      <c r="D5682" s="19"/>
      <c r="H5682" s="18"/>
      <c r="J5682" s="18"/>
      <c r="N5682" s="16"/>
      <c r="O5682" s="17"/>
      <c r="Q5682" s="22"/>
      <c r="R5682" s="23"/>
    </row>
    <row r="5683" spans="1:18" ht="12.75">
      <c r="A5683" s="22"/>
      <c r="D5683" s="19"/>
      <c r="H5683" s="18"/>
      <c r="J5683" s="18"/>
      <c r="N5683" s="16"/>
      <c r="O5683" s="17"/>
      <c r="Q5683" s="22"/>
      <c r="R5683" s="23"/>
    </row>
    <row r="5684" spans="1:18" ht="12.75">
      <c r="A5684" s="22"/>
      <c r="D5684" s="19"/>
      <c r="H5684" s="18"/>
      <c r="J5684" s="18"/>
      <c r="N5684" s="16"/>
      <c r="O5684" s="17"/>
      <c r="Q5684" s="22"/>
      <c r="R5684" s="23"/>
    </row>
    <row r="5685" spans="1:18" ht="12.75">
      <c r="A5685" s="22"/>
      <c r="D5685" s="19"/>
      <c r="H5685" s="18"/>
      <c r="J5685" s="18"/>
      <c r="N5685" s="16"/>
      <c r="O5685" s="17"/>
      <c r="Q5685" s="22"/>
      <c r="R5685" s="23"/>
    </row>
    <row r="5686" spans="1:18" ht="12.75">
      <c r="A5686" s="22"/>
      <c r="D5686" s="19"/>
      <c r="H5686" s="18"/>
      <c r="J5686" s="18"/>
      <c r="N5686" s="16"/>
      <c r="O5686" s="17"/>
      <c r="Q5686" s="22"/>
      <c r="R5686" s="23"/>
    </row>
    <row r="5687" spans="1:18" ht="12.75">
      <c r="A5687" s="22"/>
      <c r="D5687" s="19"/>
      <c r="H5687" s="18"/>
      <c r="J5687" s="18"/>
      <c r="N5687" s="16"/>
      <c r="O5687" s="17"/>
      <c r="Q5687" s="22"/>
      <c r="R5687" s="23"/>
    </row>
    <row r="5688" spans="1:18" ht="12.75">
      <c r="A5688" s="22"/>
      <c r="D5688" s="19"/>
      <c r="H5688" s="18"/>
      <c r="J5688" s="18"/>
      <c r="N5688" s="16"/>
      <c r="O5688" s="17"/>
      <c r="Q5688" s="22"/>
      <c r="R5688" s="23"/>
    </row>
    <row r="5689" spans="1:18" ht="12.75">
      <c r="A5689" s="22"/>
      <c r="D5689" s="19"/>
      <c r="H5689" s="18"/>
      <c r="J5689" s="18"/>
      <c r="N5689" s="16"/>
      <c r="O5689" s="17"/>
      <c r="Q5689" s="22"/>
      <c r="R5689" s="23"/>
    </row>
    <row r="5690" spans="1:18" ht="12.75">
      <c r="A5690" s="22"/>
      <c r="D5690" s="19"/>
      <c r="H5690" s="18"/>
      <c r="J5690" s="18"/>
      <c r="N5690" s="16"/>
      <c r="O5690" s="17"/>
      <c r="Q5690" s="22"/>
      <c r="R5690" s="23"/>
    </row>
    <row r="5691" spans="1:18" ht="12.75">
      <c r="A5691" s="22"/>
      <c r="D5691" s="19"/>
      <c r="H5691" s="18"/>
      <c r="J5691" s="18"/>
      <c r="N5691" s="16"/>
      <c r="O5691" s="17"/>
      <c r="Q5691" s="22"/>
      <c r="R5691" s="23"/>
    </row>
    <row r="5692" spans="1:18" ht="12.75">
      <c r="A5692" s="22"/>
      <c r="D5692" s="19"/>
      <c r="H5692" s="18"/>
      <c r="J5692" s="18"/>
      <c r="N5692" s="16"/>
      <c r="O5692" s="17"/>
      <c r="Q5692" s="22"/>
      <c r="R5692" s="23"/>
    </row>
    <row r="5693" spans="1:18" ht="12.75">
      <c r="A5693" s="22"/>
      <c r="D5693" s="19"/>
      <c r="H5693" s="18"/>
      <c r="J5693" s="18"/>
      <c r="N5693" s="16"/>
      <c r="O5693" s="17"/>
      <c r="Q5693" s="22"/>
      <c r="R5693" s="23"/>
    </row>
    <row r="5694" spans="1:18" ht="12.75">
      <c r="A5694" s="22"/>
      <c r="D5694" s="19"/>
      <c r="H5694" s="18"/>
      <c r="J5694" s="18"/>
      <c r="N5694" s="16"/>
      <c r="O5694" s="17"/>
      <c r="Q5694" s="22"/>
      <c r="R5694" s="23"/>
    </row>
    <row r="5695" spans="1:18" ht="12.75">
      <c r="A5695" s="22"/>
      <c r="D5695" s="19"/>
      <c r="H5695" s="18"/>
      <c r="J5695" s="18"/>
      <c r="N5695" s="16"/>
      <c r="O5695" s="17"/>
      <c r="Q5695" s="22"/>
      <c r="R5695" s="23"/>
    </row>
    <row r="5696" spans="1:18" ht="12.75">
      <c r="A5696" s="22"/>
      <c r="D5696" s="19"/>
      <c r="H5696" s="18"/>
      <c r="J5696" s="18"/>
      <c r="N5696" s="16"/>
      <c r="O5696" s="17"/>
      <c r="Q5696" s="22"/>
      <c r="R5696" s="23"/>
    </row>
    <row r="5697" spans="1:18" ht="12.75">
      <c r="A5697" s="22"/>
      <c r="D5697" s="19"/>
      <c r="H5697" s="18"/>
      <c r="J5697" s="18"/>
      <c r="N5697" s="16"/>
      <c r="O5697" s="17"/>
      <c r="Q5697" s="22"/>
      <c r="R5697" s="23"/>
    </row>
    <row r="5698" spans="1:18" ht="12.75">
      <c r="A5698" s="22"/>
      <c r="D5698" s="19"/>
      <c r="H5698" s="18"/>
      <c r="J5698" s="18"/>
      <c r="N5698" s="16"/>
      <c r="O5698" s="17"/>
      <c r="Q5698" s="22"/>
      <c r="R5698" s="23"/>
    </row>
    <row r="5699" spans="1:18" ht="12.75">
      <c r="A5699" s="22"/>
      <c r="D5699" s="19"/>
      <c r="H5699" s="18"/>
      <c r="J5699" s="18"/>
      <c r="N5699" s="16"/>
      <c r="O5699" s="17"/>
      <c r="Q5699" s="22"/>
      <c r="R5699" s="23"/>
    </row>
    <row r="5700" spans="1:18" ht="12.75">
      <c r="A5700" s="22"/>
      <c r="D5700" s="19"/>
      <c r="H5700" s="18"/>
      <c r="J5700" s="18"/>
      <c r="N5700" s="16"/>
      <c r="O5700" s="17"/>
      <c r="Q5700" s="22"/>
      <c r="R5700" s="23"/>
    </row>
    <row r="5701" spans="1:18" ht="12.75">
      <c r="A5701" s="22"/>
      <c r="D5701" s="19"/>
      <c r="H5701" s="18"/>
      <c r="J5701" s="18"/>
      <c r="N5701" s="16"/>
      <c r="O5701" s="17"/>
      <c r="Q5701" s="22"/>
      <c r="R5701" s="23"/>
    </row>
    <row r="5702" spans="1:18" ht="12.75">
      <c r="A5702" s="22"/>
      <c r="D5702" s="19"/>
      <c r="H5702" s="18"/>
      <c r="J5702" s="18"/>
      <c r="N5702" s="16"/>
      <c r="O5702" s="17"/>
      <c r="Q5702" s="22"/>
      <c r="R5702" s="23"/>
    </row>
    <row r="5703" spans="1:18" ht="12.75">
      <c r="A5703" s="22"/>
      <c r="D5703" s="19"/>
      <c r="H5703" s="18"/>
      <c r="J5703" s="18"/>
      <c r="N5703" s="16"/>
      <c r="O5703" s="17"/>
      <c r="Q5703" s="22"/>
      <c r="R5703" s="23"/>
    </row>
    <row r="5704" spans="1:18" ht="12.75">
      <c r="A5704" s="22"/>
      <c r="D5704" s="19"/>
      <c r="H5704" s="18"/>
      <c r="J5704" s="18"/>
      <c r="N5704" s="16"/>
      <c r="O5704" s="17"/>
      <c r="Q5704" s="22"/>
      <c r="R5704" s="23"/>
    </row>
    <row r="5705" spans="1:18" ht="12.75">
      <c r="A5705" s="22"/>
      <c r="D5705" s="19"/>
      <c r="H5705" s="18"/>
      <c r="J5705" s="18"/>
      <c r="N5705" s="16"/>
      <c r="O5705" s="17"/>
      <c r="Q5705" s="22"/>
      <c r="R5705" s="23"/>
    </row>
    <row r="5706" spans="1:18" ht="12.75">
      <c r="A5706" s="22"/>
      <c r="D5706" s="19"/>
      <c r="H5706" s="18"/>
      <c r="J5706" s="18"/>
      <c r="N5706" s="16"/>
      <c r="O5706" s="17"/>
      <c r="Q5706" s="22"/>
      <c r="R5706" s="23"/>
    </row>
    <row r="5707" spans="1:18" ht="12.75">
      <c r="A5707" s="22"/>
      <c r="D5707" s="19"/>
      <c r="H5707" s="18"/>
      <c r="J5707" s="18"/>
      <c r="N5707" s="16"/>
      <c r="O5707" s="17"/>
      <c r="Q5707" s="22"/>
      <c r="R5707" s="23"/>
    </row>
    <row r="5708" spans="1:18" ht="12.75">
      <c r="A5708" s="22"/>
      <c r="D5708" s="19"/>
      <c r="H5708" s="18"/>
      <c r="J5708" s="18"/>
      <c r="N5708" s="16"/>
      <c r="O5708" s="17"/>
      <c r="Q5708" s="22"/>
      <c r="R5708" s="23"/>
    </row>
    <row r="5709" spans="1:18" ht="12.75">
      <c r="A5709" s="22"/>
      <c r="D5709" s="19"/>
      <c r="H5709" s="18"/>
      <c r="J5709" s="18"/>
      <c r="N5709" s="16"/>
      <c r="O5709" s="17"/>
      <c r="Q5709" s="22"/>
      <c r="R5709" s="23"/>
    </row>
    <row r="5710" spans="1:18" ht="12.75">
      <c r="A5710" s="22"/>
      <c r="D5710" s="19"/>
      <c r="H5710" s="18"/>
      <c r="J5710" s="18"/>
      <c r="N5710" s="16"/>
      <c r="O5710" s="17"/>
      <c r="Q5710" s="22"/>
      <c r="R5710" s="23"/>
    </row>
    <row r="5711" spans="1:18" ht="12.75">
      <c r="A5711" s="22"/>
      <c r="D5711" s="19"/>
      <c r="H5711" s="18"/>
      <c r="J5711" s="18"/>
      <c r="N5711" s="16"/>
      <c r="O5711" s="17"/>
      <c r="Q5711" s="22"/>
      <c r="R5711" s="23"/>
    </row>
    <row r="5712" spans="1:18" ht="12.75">
      <c r="A5712" s="22"/>
      <c r="D5712" s="19"/>
      <c r="H5712" s="18"/>
      <c r="J5712" s="18"/>
      <c r="N5712" s="16"/>
      <c r="O5712" s="17"/>
      <c r="Q5712" s="22"/>
      <c r="R5712" s="23"/>
    </row>
    <row r="5713" spans="1:18" ht="12.75">
      <c r="A5713" s="22"/>
      <c r="D5713" s="19"/>
      <c r="H5713" s="18"/>
      <c r="J5713" s="18"/>
      <c r="N5713" s="16"/>
      <c r="O5713" s="17"/>
      <c r="Q5713" s="22"/>
      <c r="R5713" s="23"/>
    </row>
    <row r="5714" spans="1:18" ht="12.75">
      <c r="A5714" s="22"/>
      <c r="D5714" s="19"/>
      <c r="H5714" s="18"/>
      <c r="J5714" s="18"/>
      <c r="N5714" s="16"/>
      <c r="O5714" s="17"/>
      <c r="Q5714" s="22"/>
      <c r="R5714" s="23"/>
    </row>
    <row r="5715" spans="1:18" ht="12.75">
      <c r="A5715" s="22"/>
      <c r="D5715" s="19"/>
      <c r="H5715" s="18"/>
      <c r="J5715" s="18"/>
      <c r="N5715" s="16"/>
      <c r="O5715" s="17"/>
      <c r="Q5715" s="22"/>
      <c r="R5715" s="23"/>
    </row>
    <row r="5716" spans="1:18" ht="12.75">
      <c r="A5716" s="22"/>
      <c r="D5716" s="19"/>
      <c r="H5716" s="18"/>
      <c r="J5716" s="18"/>
      <c r="N5716" s="16"/>
      <c r="O5716" s="17"/>
      <c r="Q5716" s="22"/>
      <c r="R5716" s="23"/>
    </row>
    <row r="5717" spans="1:18" ht="12.75">
      <c r="A5717" s="22"/>
      <c r="D5717" s="19"/>
      <c r="H5717" s="18"/>
      <c r="J5717" s="18"/>
      <c r="N5717" s="16"/>
      <c r="O5717" s="17"/>
      <c r="Q5717" s="22"/>
      <c r="R5717" s="23"/>
    </row>
    <row r="5718" spans="1:18" ht="12.75">
      <c r="A5718" s="22"/>
      <c r="D5718" s="19"/>
      <c r="H5718" s="18"/>
      <c r="J5718" s="18"/>
      <c r="N5718" s="16"/>
      <c r="O5718" s="17"/>
      <c r="Q5718" s="22"/>
      <c r="R5718" s="23"/>
    </row>
    <row r="5719" spans="1:18" ht="12.75">
      <c r="A5719" s="22"/>
      <c r="D5719" s="19"/>
      <c r="H5719" s="18"/>
      <c r="J5719" s="18"/>
      <c r="N5719" s="16"/>
      <c r="O5719" s="17"/>
      <c r="Q5719" s="22"/>
      <c r="R5719" s="23"/>
    </row>
    <row r="5720" spans="1:18" ht="12.75">
      <c r="A5720" s="22"/>
      <c r="D5720" s="19"/>
      <c r="H5720" s="18"/>
      <c r="J5720" s="18"/>
      <c r="N5720" s="16"/>
      <c r="O5720" s="17"/>
      <c r="Q5720" s="22"/>
      <c r="R5720" s="23"/>
    </row>
    <row r="5721" spans="1:18" ht="12.75">
      <c r="A5721" s="22"/>
      <c r="D5721" s="19"/>
      <c r="H5721" s="18"/>
      <c r="J5721" s="18"/>
      <c r="N5721" s="16"/>
      <c r="O5721" s="17"/>
      <c r="Q5721" s="22"/>
      <c r="R5721" s="23"/>
    </row>
    <row r="5722" spans="1:18" ht="12.75">
      <c r="A5722" s="22"/>
      <c r="D5722" s="19"/>
      <c r="H5722" s="18"/>
      <c r="J5722" s="18"/>
      <c r="N5722" s="16"/>
      <c r="O5722" s="17"/>
      <c r="Q5722" s="22"/>
      <c r="R5722" s="23"/>
    </row>
    <row r="5723" spans="1:18" ht="12.75">
      <c r="A5723" s="22"/>
      <c r="D5723" s="19"/>
      <c r="H5723" s="18"/>
      <c r="J5723" s="18"/>
      <c r="N5723" s="16"/>
      <c r="O5723" s="17"/>
      <c r="Q5723" s="22"/>
      <c r="R5723" s="23"/>
    </row>
    <row r="5724" spans="1:18" ht="12.75">
      <c r="A5724" s="22"/>
      <c r="D5724" s="19"/>
      <c r="H5724" s="18"/>
      <c r="J5724" s="18"/>
      <c r="N5724" s="16"/>
      <c r="O5724" s="17"/>
      <c r="Q5724" s="22"/>
      <c r="R5724" s="23"/>
    </row>
    <row r="5725" spans="1:18" ht="12.75">
      <c r="A5725" s="22"/>
      <c r="D5725" s="19"/>
      <c r="H5725" s="18"/>
      <c r="J5725" s="18"/>
      <c r="N5725" s="16"/>
      <c r="O5725" s="17"/>
      <c r="Q5725" s="22"/>
      <c r="R5725" s="23"/>
    </row>
    <row r="5726" spans="1:18" ht="12.75">
      <c r="A5726" s="22"/>
      <c r="D5726" s="19"/>
      <c r="H5726" s="18"/>
      <c r="J5726" s="18"/>
      <c r="N5726" s="16"/>
      <c r="O5726" s="17"/>
      <c r="Q5726" s="22"/>
      <c r="R5726" s="23"/>
    </row>
    <row r="5727" spans="1:18" ht="12.75">
      <c r="A5727" s="22"/>
      <c r="D5727" s="19"/>
      <c r="H5727" s="18"/>
      <c r="J5727" s="18"/>
      <c r="N5727" s="16"/>
      <c r="O5727" s="17"/>
      <c r="Q5727" s="22"/>
      <c r="R5727" s="23"/>
    </row>
    <row r="5728" spans="1:18" ht="12.75">
      <c r="A5728" s="22"/>
      <c r="D5728" s="19"/>
      <c r="H5728" s="18"/>
      <c r="J5728" s="18"/>
      <c r="N5728" s="16"/>
      <c r="O5728" s="17"/>
      <c r="Q5728" s="22"/>
      <c r="R5728" s="23"/>
    </row>
    <row r="5729" spans="1:18" ht="12.75">
      <c r="A5729" s="22"/>
      <c r="D5729" s="19"/>
      <c r="H5729" s="18"/>
      <c r="J5729" s="18"/>
      <c r="N5729" s="16"/>
      <c r="O5729" s="17"/>
      <c r="Q5729" s="22"/>
      <c r="R5729" s="23"/>
    </row>
    <row r="5730" spans="1:18" ht="12.75">
      <c r="A5730" s="22"/>
      <c r="D5730" s="19"/>
      <c r="H5730" s="18"/>
      <c r="J5730" s="18"/>
      <c r="N5730" s="16"/>
      <c r="O5730" s="17"/>
      <c r="Q5730" s="22"/>
      <c r="R5730" s="23"/>
    </row>
    <row r="5731" spans="1:18" ht="12.75">
      <c r="A5731" s="22"/>
      <c r="D5731" s="19"/>
      <c r="H5731" s="18"/>
      <c r="J5731" s="18"/>
      <c r="N5731" s="16"/>
      <c r="O5731" s="17"/>
      <c r="Q5731" s="22"/>
      <c r="R5731" s="23"/>
    </row>
    <row r="5732" spans="1:18" ht="12.75">
      <c r="A5732" s="22"/>
      <c r="D5732" s="19"/>
      <c r="H5732" s="18"/>
      <c r="J5732" s="18"/>
      <c r="N5732" s="16"/>
      <c r="O5732" s="17"/>
      <c r="Q5732" s="22"/>
      <c r="R5732" s="23"/>
    </row>
    <row r="5733" spans="1:18" ht="12.75">
      <c r="A5733" s="22"/>
      <c r="D5733" s="19"/>
      <c r="H5733" s="18"/>
      <c r="J5733" s="18"/>
      <c r="N5733" s="16"/>
      <c r="O5733" s="17"/>
      <c r="Q5733" s="22"/>
      <c r="R5733" s="23"/>
    </row>
    <row r="5734" spans="1:18" ht="12.75">
      <c r="A5734" s="22"/>
      <c r="D5734" s="19"/>
      <c r="H5734" s="18"/>
      <c r="J5734" s="18"/>
      <c r="N5734" s="16"/>
      <c r="O5734" s="17"/>
      <c r="Q5734" s="22"/>
      <c r="R5734" s="23"/>
    </row>
    <row r="5735" spans="1:18" ht="12.75">
      <c r="A5735" s="22"/>
      <c r="D5735" s="19"/>
      <c r="H5735" s="18"/>
      <c r="J5735" s="18"/>
      <c r="N5735" s="16"/>
      <c r="O5735" s="17"/>
      <c r="Q5735" s="22"/>
      <c r="R5735" s="23"/>
    </row>
    <row r="5736" spans="1:18" ht="12.75">
      <c r="A5736" s="22"/>
      <c r="D5736" s="19"/>
      <c r="H5736" s="18"/>
      <c r="J5736" s="18"/>
      <c r="N5736" s="16"/>
      <c r="O5736" s="17"/>
      <c r="Q5736" s="22"/>
      <c r="R5736" s="23"/>
    </row>
    <row r="5737" spans="1:18" ht="12.75">
      <c r="A5737" s="22"/>
      <c r="D5737" s="19"/>
      <c r="H5737" s="18"/>
      <c r="J5737" s="18"/>
      <c r="N5737" s="16"/>
      <c r="O5737" s="17"/>
      <c r="Q5737" s="22"/>
      <c r="R5737" s="23"/>
    </row>
    <row r="5738" spans="1:18" ht="12.75">
      <c r="A5738" s="22"/>
      <c r="D5738" s="19"/>
      <c r="H5738" s="18"/>
      <c r="J5738" s="18"/>
      <c r="N5738" s="16"/>
      <c r="O5738" s="17"/>
      <c r="Q5738" s="22"/>
      <c r="R5738" s="23"/>
    </row>
    <row r="5739" spans="1:18" ht="12.75">
      <c r="A5739" s="22"/>
      <c r="D5739" s="19"/>
      <c r="H5739" s="18"/>
      <c r="J5739" s="18"/>
      <c r="N5739" s="16"/>
      <c r="O5739" s="17"/>
      <c r="Q5739" s="22"/>
      <c r="R5739" s="23"/>
    </row>
    <row r="5740" spans="1:18" ht="12.75">
      <c r="A5740" s="22"/>
      <c r="D5740" s="19"/>
      <c r="H5740" s="18"/>
      <c r="J5740" s="18"/>
      <c r="N5740" s="16"/>
      <c r="O5740" s="17"/>
      <c r="Q5740" s="22"/>
      <c r="R5740" s="23"/>
    </row>
    <row r="5741" spans="1:18" ht="12.75">
      <c r="A5741" s="22"/>
      <c r="D5741" s="19"/>
      <c r="H5741" s="18"/>
      <c r="J5741" s="18"/>
      <c r="N5741" s="16"/>
      <c r="O5741" s="17"/>
      <c r="Q5741" s="22"/>
      <c r="R5741" s="23"/>
    </row>
    <row r="5742" spans="1:18" ht="12.75">
      <c r="A5742" s="22"/>
      <c r="D5742" s="19"/>
      <c r="H5742" s="18"/>
      <c r="J5742" s="18"/>
      <c r="N5742" s="16"/>
      <c r="O5742" s="17"/>
      <c r="Q5742" s="22"/>
      <c r="R5742" s="23"/>
    </row>
    <row r="5743" spans="1:18" ht="12.75">
      <c r="A5743" s="22"/>
      <c r="D5743" s="19"/>
      <c r="H5743" s="18"/>
      <c r="J5743" s="18"/>
      <c r="N5743" s="16"/>
      <c r="O5743" s="17"/>
      <c r="Q5743" s="22"/>
      <c r="R5743" s="23"/>
    </row>
    <row r="5744" spans="1:18" ht="12.75">
      <c r="A5744" s="22"/>
      <c r="D5744" s="19"/>
      <c r="H5744" s="18"/>
      <c r="J5744" s="18"/>
      <c r="N5744" s="16"/>
      <c r="O5744" s="17"/>
      <c r="Q5744" s="22"/>
      <c r="R5744" s="23"/>
    </row>
    <row r="5745" spans="1:18" ht="12.75">
      <c r="A5745" s="22"/>
      <c r="D5745" s="19"/>
      <c r="H5745" s="18"/>
      <c r="J5745" s="18"/>
      <c r="N5745" s="16"/>
      <c r="O5745" s="17"/>
      <c r="Q5745" s="22"/>
      <c r="R5745" s="23"/>
    </row>
    <row r="5746" spans="1:18" ht="12.75">
      <c r="A5746" s="22"/>
      <c r="D5746" s="19"/>
      <c r="H5746" s="18"/>
      <c r="J5746" s="18"/>
      <c r="N5746" s="16"/>
      <c r="O5746" s="17"/>
      <c r="Q5746" s="22"/>
      <c r="R5746" s="23"/>
    </row>
    <row r="5747" spans="1:18" ht="12.75">
      <c r="A5747" s="22"/>
      <c r="D5747" s="19"/>
      <c r="H5747" s="18"/>
      <c r="J5747" s="18"/>
      <c r="N5747" s="16"/>
      <c r="O5747" s="17"/>
      <c r="Q5747" s="22"/>
      <c r="R5747" s="23"/>
    </row>
    <row r="5748" spans="1:18" ht="12.75">
      <c r="A5748" s="22"/>
      <c r="D5748" s="19"/>
      <c r="H5748" s="18"/>
      <c r="J5748" s="18"/>
      <c r="N5748" s="16"/>
      <c r="O5748" s="17"/>
      <c r="Q5748" s="22"/>
      <c r="R5748" s="23"/>
    </row>
    <row r="5749" spans="1:18" ht="12.75">
      <c r="A5749" s="22"/>
      <c r="D5749" s="19"/>
      <c r="H5749" s="18"/>
      <c r="J5749" s="18"/>
      <c r="N5749" s="16"/>
      <c r="O5749" s="17"/>
      <c r="Q5749" s="22"/>
      <c r="R5749" s="23"/>
    </row>
    <row r="5750" spans="1:18" ht="12.75">
      <c r="A5750" s="22"/>
      <c r="D5750" s="19"/>
      <c r="H5750" s="18"/>
      <c r="J5750" s="18"/>
      <c r="N5750" s="16"/>
      <c r="O5750" s="17"/>
      <c r="Q5750" s="22"/>
      <c r="R5750" s="23"/>
    </row>
    <row r="5751" spans="1:18" ht="12.75">
      <c r="A5751" s="22"/>
      <c r="D5751" s="19"/>
      <c r="H5751" s="18"/>
      <c r="J5751" s="18"/>
      <c r="N5751" s="16"/>
      <c r="O5751" s="17"/>
      <c r="Q5751" s="22"/>
      <c r="R5751" s="23"/>
    </row>
    <row r="5752" spans="1:18" ht="12.75">
      <c r="A5752" s="22"/>
      <c r="D5752" s="19"/>
      <c r="H5752" s="18"/>
      <c r="J5752" s="18"/>
      <c r="N5752" s="16"/>
      <c r="O5752" s="17"/>
      <c r="Q5752" s="22"/>
      <c r="R5752" s="23"/>
    </row>
    <row r="5753" spans="1:18" ht="12.75">
      <c r="A5753" s="22"/>
      <c r="D5753" s="19"/>
      <c r="H5753" s="18"/>
      <c r="J5753" s="18"/>
      <c r="N5753" s="16"/>
      <c r="O5753" s="17"/>
      <c r="Q5753" s="22"/>
      <c r="R5753" s="23"/>
    </row>
    <row r="5754" spans="1:18" ht="12.75">
      <c r="A5754" s="22"/>
      <c r="D5754" s="19"/>
      <c r="H5754" s="18"/>
      <c r="J5754" s="18"/>
      <c r="N5754" s="16"/>
      <c r="O5754" s="17"/>
      <c r="Q5754" s="22"/>
      <c r="R5754" s="23"/>
    </row>
    <row r="5755" spans="1:18" ht="12.75">
      <c r="A5755" s="22"/>
      <c r="D5755" s="19"/>
      <c r="H5755" s="18"/>
      <c r="J5755" s="18"/>
      <c r="N5755" s="16"/>
      <c r="O5755" s="17"/>
      <c r="Q5755" s="22"/>
      <c r="R5755" s="23"/>
    </row>
    <row r="5756" spans="1:18" ht="12.75">
      <c r="A5756" s="22"/>
      <c r="D5756" s="19"/>
      <c r="H5756" s="18"/>
      <c r="J5756" s="18"/>
      <c r="N5756" s="16"/>
      <c r="O5756" s="17"/>
      <c r="Q5756" s="22"/>
      <c r="R5756" s="23"/>
    </row>
    <row r="5757" spans="1:18" ht="12.75">
      <c r="A5757" s="22"/>
      <c r="D5757" s="19"/>
      <c r="H5757" s="18"/>
      <c r="J5757" s="18"/>
      <c r="N5757" s="16"/>
      <c r="O5757" s="17"/>
      <c r="Q5757" s="22"/>
      <c r="R5757" s="23"/>
    </row>
    <row r="5758" spans="1:18" ht="12.75">
      <c r="A5758" s="22"/>
      <c r="D5758" s="19"/>
      <c r="H5758" s="18"/>
      <c r="J5758" s="18"/>
      <c r="N5758" s="16"/>
      <c r="O5758" s="17"/>
      <c r="Q5758" s="22"/>
      <c r="R5758" s="23"/>
    </row>
    <row r="5759" spans="1:18" ht="12.75">
      <c r="A5759" s="22"/>
      <c r="D5759" s="19"/>
      <c r="H5759" s="18"/>
      <c r="J5759" s="18"/>
      <c r="N5759" s="16"/>
      <c r="O5759" s="17"/>
      <c r="Q5759" s="22"/>
      <c r="R5759" s="23"/>
    </row>
    <row r="5760" spans="1:18" ht="12.75">
      <c r="A5760" s="22"/>
      <c r="D5760" s="19"/>
      <c r="H5760" s="18"/>
      <c r="J5760" s="18"/>
      <c r="N5760" s="16"/>
      <c r="O5760" s="17"/>
      <c r="Q5760" s="22"/>
      <c r="R5760" s="23"/>
    </row>
    <row r="5761" spans="1:18" ht="12.75">
      <c r="A5761" s="22"/>
      <c r="D5761" s="19"/>
      <c r="H5761" s="18"/>
      <c r="J5761" s="18"/>
      <c r="N5761" s="16"/>
      <c r="O5761" s="17"/>
      <c r="Q5761" s="22"/>
      <c r="R5761" s="23"/>
    </row>
    <row r="5762" spans="1:18" ht="12.75">
      <c r="A5762" s="22"/>
      <c r="D5762" s="19"/>
      <c r="H5762" s="18"/>
      <c r="J5762" s="18"/>
      <c r="N5762" s="16"/>
      <c r="O5762" s="17"/>
      <c r="Q5762" s="22"/>
      <c r="R5762" s="23"/>
    </row>
    <row r="5763" spans="1:18" ht="12.75">
      <c r="A5763" s="22"/>
      <c r="D5763" s="19"/>
      <c r="H5763" s="18"/>
      <c r="J5763" s="18"/>
      <c r="N5763" s="16"/>
      <c r="O5763" s="17"/>
      <c r="Q5763" s="22"/>
      <c r="R5763" s="23"/>
    </row>
    <row r="5764" spans="1:18" ht="12.75">
      <c r="A5764" s="22"/>
      <c r="D5764" s="19"/>
      <c r="H5764" s="18"/>
      <c r="J5764" s="18"/>
      <c r="N5764" s="16"/>
      <c r="O5764" s="17"/>
      <c r="Q5764" s="22"/>
      <c r="R5764" s="23"/>
    </row>
    <row r="5765" spans="1:18" ht="12.75">
      <c r="A5765" s="22"/>
      <c r="D5765" s="19"/>
      <c r="H5765" s="18"/>
      <c r="J5765" s="18"/>
      <c r="N5765" s="16"/>
      <c r="O5765" s="17"/>
      <c r="Q5765" s="22"/>
      <c r="R5765" s="23"/>
    </row>
    <row r="5766" spans="1:18" ht="12.75">
      <c r="A5766" s="22"/>
      <c r="D5766" s="19"/>
      <c r="H5766" s="18"/>
      <c r="J5766" s="18"/>
      <c r="N5766" s="16"/>
      <c r="O5766" s="17"/>
      <c r="Q5766" s="22"/>
      <c r="R5766" s="23"/>
    </row>
    <row r="5767" spans="1:18" ht="12.75">
      <c r="A5767" s="22"/>
      <c r="D5767" s="19"/>
      <c r="H5767" s="18"/>
      <c r="J5767" s="18"/>
      <c r="N5767" s="16"/>
      <c r="O5767" s="17"/>
      <c r="Q5767" s="22"/>
      <c r="R5767" s="23"/>
    </row>
    <row r="5768" spans="1:18" ht="12.75">
      <c r="A5768" s="22"/>
      <c r="D5768" s="19"/>
      <c r="H5768" s="18"/>
      <c r="J5768" s="18"/>
      <c r="N5768" s="16"/>
      <c r="O5768" s="17"/>
      <c r="Q5768" s="22"/>
      <c r="R5768" s="23"/>
    </row>
    <row r="5769" spans="1:18" ht="12.75">
      <c r="A5769" s="22"/>
      <c r="D5769" s="19"/>
      <c r="H5769" s="18"/>
      <c r="J5769" s="18"/>
      <c r="N5769" s="16"/>
      <c r="O5769" s="17"/>
      <c r="Q5769" s="22"/>
      <c r="R5769" s="23"/>
    </row>
    <row r="5770" spans="1:18" ht="12.75">
      <c r="A5770" s="22"/>
      <c r="D5770" s="19"/>
      <c r="H5770" s="18"/>
      <c r="J5770" s="18"/>
      <c r="N5770" s="16"/>
      <c r="O5770" s="17"/>
      <c r="Q5770" s="22"/>
      <c r="R5770" s="23"/>
    </row>
    <row r="5771" spans="1:18" ht="12.75">
      <c r="A5771" s="22"/>
      <c r="D5771" s="19"/>
      <c r="H5771" s="18"/>
      <c r="J5771" s="18"/>
      <c r="N5771" s="16"/>
      <c r="O5771" s="17"/>
      <c r="Q5771" s="22"/>
      <c r="R5771" s="23"/>
    </row>
    <row r="5772" spans="1:18" ht="12.75">
      <c r="A5772" s="22"/>
      <c r="D5772" s="19"/>
      <c r="H5772" s="18"/>
      <c r="J5772" s="18"/>
      <c r="N5772" s="16"/>
      <c r="O5772" s="17"/>
      <c r="Q5772" s="22"/>
      <c r="R5772" s="23"/>
    </row>
    <row r="5773" spans="1:18" ht="12.75">
      <c r="A5773" s="22"/>
      <c r="D5773" s="19"/>
      <c r="H5773" s="18"/>
      <c r="J5773" s="18"/>
      <c r="N5773" s="16"/>
      <c r="O5773" s="17"/>
      <c r="Q5773" s="22"/>
      <c r="R5773" s="23"/>
    </row>
    <row r="5774" spans="1:18" ht="12.75">
      <c r="A5774" s="22"/>
      <c r="D5774" s="19"/>
      <c r="H5774" s="18"/>
      <c r="J5774" s="18"/>
      <c r="N5774" s="16"/>
      <c r="O5774" s="17"/>
      <c r="Q5774" s="22"/>
      <c r="R5774" s="23"/>
    </row>
    <row r="5775" spans="1:18" ht="12.75">
      <c r="A5775" s="22"/>
      <c r="D5775" s="19"/>
      <c r="H5775" s="18"/>
      <c r="J5775" s="18"/>
      <c r="N5775" s="16"/>
      <c r="O5775" s="17"/>
      <c r="Q5775" s="22"/>
      <c r="R5775" s="23"/>
    </row>
    <row r="5776" spans="1:18" ht="12.75">
      <c r="A5776" s="22"/>
      <c r="D5776" s="19"/>
      <c r="H5776" s="18"/>
      <c r="J5776" s="18"/>
      <c r="N5776" s="16"/>
      <c r="O5776" s="17"/>
      <c r="Q5776" s="22"/>
      <c r="R5776" s="23"/>
    </row>
    <row r="5777" spans="1:18" ht="12.75">
      <c r="A5777" s="22"/>
      <c r="D5777" s="19"/>
      <c r="H5777" s="18"/>
      <c r="J5777" s="18"/>
      <c r="N5777" s="16"/>
      <c r="O5777" s="17"/>
      <c r="Q5777" s="22"/>
      <c r="R5777" s="23"/>
    </row>
    <row r="5778" spans="1:18" ht="12.75">
      <c r="A5778" s="22"/>
      <c r="D5778" s="19"/>
      <c r="H5778" s="18"/>
      <c r="J5778" s="18"/>
      <c r="N5778" s="16"/>
      <c r="O5778" s="17"/>
      <c r="Q5778" s="22"/>
      <c r="R5778" s="23"/>
    </row>
    <row r="5779" spans="1:18" ht="12.75">
      <c r="A5779" s="22"/>
      <c r="D5779" s="19"/>
      <c r="H5779" s="18"/>
      <c r="J5779" s="18"/>
      <c r="N5779" s="16"/>
      <c r="O5779" s="17"/>
      <c r="Q5779" s="22"/>
      <c r="R5779" s="23"/>
    </row>
    <row r="5780" spans="1:18" ht="12.75">
      <c r="A5780" s="22"/>
      <c r="D5780" s="19"/>
      <c r="H5780" s="18"/>
      <c r="J5780" s="18"/>
      <c r="N5780" s="16"/>
      <c r="O5780" s="17"/>
      <c r="Q5780" s="22"/>
      <c r="R5780" s="23"/>
    </row>
    <row r="5781" spans="1:18" ht="12.75">
      <c r="A5781" s="22"/>
      <c r="D5781" s="19"/>
      <c r="H5781" s="18"/>
      <c r="J5781" s="18"/>
      <c r="N5781" s="16"/>
      <c r="O5781" s="17"/>
      <c r="Q5781" s="22"/>
      <c r="R5781" s="23"/>
    </row>
    <row r="5782" spans="1:18" ht="12.75">
      <c r="A5782" s="22"/>
      <c r="D5782" s="19"/>
      <c r="H5782" s="18"/>
      <c r="J5782" s="18"/>
      <c r="N5782" s="16"/>
      <c r="O5782" s="17"/>
      <c r="Q5782" s="22"/>
      <c r="R5782" s="23"/>
    </row>
    <row r="5783" spans="1:18" ht="12.75">
      <c r="A5783" s="22"/>
      <c r="D5783" s="19"/>
      <c r="H5783" s="18"/>
      <c r="J5783" s="18"/>
      <c r="N5783" s="16"/>
      <c r="O5783" s="17"/>
      <c r="Q5783" s="22"/>
      <c r="R5783" s="23"/>
    </row>
    <row r="5784" spans="1:18" ht="12.75">
      <c r="A5784" s="22"/>
      <c r="D5784" s="19"/>
      <c r="H5784" s="18"/>
      <c r="J5784" s="18"/>
      <c r="N5784" s="16"/>
      <c r="O5784" s="17"/>
      <c r="Q5784" s="22"/>
      <c r="R5784" s="23"/>
    </row>
    <row r="5785" spans="1:18" ht="12.75">
      <c r="A5785" s="22"/>
      <c r="D5785" s="19"/>
      <c r="H5785" s="18"/>
      <c r="J5785" s="18"/>
      <c r="N5785" s="16"/>
      <c r="O5785" s="17"/>
      <c r="Q5785" s="22"/>
      <c r="R5785" s="23"/>
    </row>
    <row r="5786" spans="1:18" ht="12.75">
      <c r="A5786" s="22"/>
      <c r="D5786" s="19"/>
      <c r="H5786" s="18"/>
      <c r="J5786" s="18"/>
      <c r="N5786" s="16"/>
      <c r="O5786" s="17"/>
      <c r="Q5786" s="22"/>
      <c r="R5786" s="23"/>
    </row>
    <row r="5787" spans="1:18" ht="12.75">
      <c r="A5787" s="22"/>
      <c r="D5787" s="19"/>
      <c r="H5787" s="18"/>
      <c r="J5787" s="18"/>
      <c r="N5787" s="16"/>
      <c r="O5787" s="17"/>
      <c r="Q5787" s="22"/>
      <c r="R5787" s="23"/>
    </row>
    <row r="5788" spans="1:18" ht="12.75">
      <c r="A5788" s="22"/>
      <c r="D5788" s="19"/>
      <c r="H5788" s="18"/>
      <c r="J5788" s="18"/>
      <c r="N5788" s="16"/>
      <c r="O5788" s="17"/>
      <c r="Q5788" s="22"/>
      <c r="R5788" s="23"/>
    </row>
    <row r="5789" spans="1:18" ht="12.75">
      <c r="A5789" s="22"/>
      <c r="D5789" s="19"/>
      <c r="H5789" s="18"/>
      <c r="J5789" s="18"/>
      <c r="N5789" s="16"/>
      <c r="O5789" s="17"/>
      <c r="Q5789" s="22"/>
      <c r="R5789" s="23"/>
    </row>
    <row r="5790" spans="1:18" ht="12.75">
      <c r="A5790" s="22"/>
      <c r="D5790" s="19"/>
      <c r="H5790" s="18"/>
      <c r="J5790" s="18"/>
      <c r="N5790" s="16"/>
      <c r="O5790" s="17"/>
      <c r="Q5790" s="22"/>
      <c r="R5790" s="23"/>
    </row>
    <row r="5791" spans="1:18" ht="12.75">
      <c r="A5791" s="22"/>
      <c r="D5791" s="19"/>
      <c r="H5791" s="18"/>
      <c r="J5791" s="18"/>
      <c r="N5791" s="16"/>
      <c r="O5791" s="17"/>
      <c r="Q5791" s="22"/>
      <c r="R5791" s="23"/>
    </row>
    <row r="5792" spans="1:18" ht="12.75">
      <c r="A5792" s="22"/>
      <c r="D5792" s="19"/>
      <c r="H5792" s="18"/>
      <c r="J5792" s="18"/>
      <c r="N5792" s="16"/>
      <c r="O5792" s="17"/>
      <c r="Q5792" s="22"/>
      <c r="R5792" s="23"/>
    </row>
    <row r="5793" spans="1:18" ht="12.75">
      <c r="A5793" s="22"/>
      <c r="D5793" s="19"/>
      <c r="H5793" s="18"/>
      <c r="J5793" s="18"/>
      <c r="N5793" s="16"/>
      <c r="O5793" s="17"/>
      <c r="Q5793" s="22"/>
      <c r="R5793" s="23"/>
    </row>
    <row r="5794" spans="1:18" ht="12.75">
      <c r="A5794" s="22"/>
      <c r="D5794" s="19"/>
      <c r="H5794" s="18"/>
      <c r="J5794" s="18"/>
      <c r="N5794" s="16"/>
      <c r="O5794" s="17"/>
      <c r="Q5794" s="22"/>
      <c r="R5794" s="23"/>
    </row>
    <row r="5795" spans="1:18" ht="12.75">
      <c r="A5795" s="22"/>
      <c r="D5795" s="19"/>
      <c r="H5795" s="18"/>
      <c r="J5795" s="18"/>
      <c r="N5795" s="16"/>
      <c r="O5795" s="17"/>
      <c r="Q5795" s="22"/>
      <c r="R5795" s="23"/>
    </row>
    <row r="5796" spans="1:18" ht="12.75">
      <c r="A5796" s="22"/>
      <c r="D5796" s="19"/>
      <c r="H5796" s="18"/>
      <c r="J5796" s="18"/>
      <c r="N5796" s="16"/>
      <c r="O5796" s="17"/>
      <c r="Q5796" s="22"/>
      <c r="R5796" s="23"/>
    </row>
    <row r="5797" spans="1:18" ht="12.75">
      <c r="A5797" s="22"/>
      <c r="D5797" s="19"/>
      <c r="H5797" s="18"/>
      <c r="J5797" s="18"/>
      <c r="N5797" s="16"/>
      <c r="O5797" s="17"/>
      <c r="Q5797" s="22"/>
      <c r="R5797" s="23"/>
    </row>
    <row r="5798" spans="1:18" ht="12.75">
      <c r="A5798" s="22"/>
      <c r="D5798" s="19"/>
      <c r="H5798" s="18"/>
      <c r="J5798" s="18"/>
      <c r="N5798" s="16"/>
      <c r="O5798" s="17"/>
      <c r="Q5798" s="22"/>
      <c r="R5798" s="23"/>
    </row>
    <row r="5799" spans="1:18" ht="12.75">
      <c r="A5799" s="22"/>
      <c r="D5799" s="19"/>
      <c r="H5799" s="18"/>
      <c r="J5799" s="18"/>
      <c r="N5799" s="16"/>
      <c r="O5799" s="17"/>
      <c r="Q5799" s="22"/>
      <c r="R5799" s="23"/>
    </row>
    <row r="5800" spans="1:18" ht="12.75">
      <c r="A5800" s="22"/>
      <c r="D5800" s="19"/>
      <c r="H5800" s="18"/>
      <c r="J5800" s="18"/>
      <c r="N5800" s="16"/>
      <c r="O5800" s="17"/>
      <c r="Q5800" s="22"/>
      <c r="R5800" s="23"/>
    </row>
    <row r="5801" spans="1:18" ht="12.75">
      <c r="A5801" s="22"/>
      <c r="D5801" s="19"/>
      <c r="H5801" s="18"/>
      <c r="J5801" s="18"/>
      <c r="N5801" s="16"/>
      <c r="O5801" s="17"/>
      <c r="Q5801" s="22"/>
      <c r="R5801" s="23"/>
    </row>
    <row r="5802" spans="1:18" ht="12.75">
      <c r="A5802" s="22"/>
      <c r="D5802" s="19"/>
      <c r="H5802" s="18"/>
      <c r="J5802" s="18"/>
      <c r="N5802" s="16"/>
      <c r="O5802" s="17"/>
      <c r="Q5802" s="22"/>
      <c r="R5802" s="23"/>
    </row>
    <row r="5803" spans="1:18" ht="12.75">
      <c r="A5803" s="22"/>
      <c r="D5803" s="19"/>
      <c r="H5803" s="18"/>
      <c r="J5803" s="18"/>
      <c r="N5803" s="16"/>
      <c r="O5803" s="17"/>
      <c r="Q5803" s="22"/>
      <c r="R5803" s="23"/>
    </row>
    <row r="5804" spans="1:18" ht="12.75">
      <c r="A5804" s="22"/>
      <c r="D5804" s="19"/>
      <c r="H5804" s="18"/>
      <c r="J5804" s="18"/>
      <c r="N5804" s="16"/>
      <c r="O5804" s="17"/>
      <c r="Q5804" s="22"/>
      <c r="R5804" s="23"/>
    </row>
    <row r="5805" spans="1:18" ht="12.75">
      <c r="A5805" s="22"/>
      <c r="D5805" s="19"/>
      <c r="H5805" s="18"/>
      <c r="J5805" s="18"/>
      <c r="N5805" s="16"/>
      <c r="O5805" s="17"/>
      <c r="Q5805" s="22"/>
      <c r="R5805" s="23"/>
    </row>
    <row r="5806" spans="1:18" ht="12.75">
      <c r="A5806" s="22"/>
      <c r="D5806" s="19"/>
      <c r="H5806" s="18"/>
      <c r="J5806" s="18"/>
      <c r="N5806" s="16"/>
      <c r="O5806" s="17"/>
      <c r="Q5806" s="22"/>
      <c r="R5806" s="23"/>
    </row>
    <row r="5807" spans="1:18" ht="12.75">
      <c r="A5807" s="22"/>
      <c r="D5807" s="19"/>
      <c r="H5807" s="18"/>
      <c r="J5807" s="18"/>
      <c r="N5807" s="16"/>
      <c r="O5807" s="17"/>
      <c r="Q5807" s="22"/>
      <c r="R5807" s="23"/>
    </row>
    <row r="5808" spans="1:18" ht="12.75">
      <c r="A5808" s="22"/>
      <c r="D5808" s="19"/>
      <c r="H5808" s="18"/>
      <c r="J5808" s="18"/>
      <c r="N5808" s="16"/>
      <c r="O5808" s="17"/>
      <c r="Q5808" s="22"/>
      <c r="R5808" s="23"/>
    </row>
    <row r="5809" spans="1:18" ht="12.75">
      <c r="A5809" s="22"/>
      <c r="D5809" s="19"/>
      <c r="H5809" s="18"/>
      <c r="J5809" s="18"/>
      <c r="N5809" s="16"/>
      <c r="O5809" s="17"/>
      <c r="Q5809" s="22"/>
      <c r="R5809" s="23"/>
    </row>
    <row r="5810" spans="1:18" ht="12.75">
      <c r="A5810" s="22"/>
      <c r="D5810" s="19"/>
      <c r="H5810" s="18"/>
      <c r="J5810" s="18"/>
      <c r="N5810" s="16"/>
      <c r="O5810" s="17"/>
      <c r="Q5810" s="22"/>
      <c r="R5810" s="23"/>
    </row>
    <row r="5811" spans="1:18" ht="12.75">
      <c r="A5811" s="22"/>
      <c r="D5811" s="19"/>
      <c r="H5811" s="18"/>
      <c r="J5811" s="18"/>
      <c r="N5811" s="16"/>
      <c r="O5811" s="17"/>
      <c r="Q5811" s="22"/>
      <c r="R5811" s="23"/>
    </row>
    <row r="5812" spans="1:18" ht="12.75">
      <c r="A5812" s="22"/>
      <c r="D5812" s="19"/>
      <c r="H5812" s="18"/>
      <c r="J5812" s="18"/>
      <c r="N5812" s="16"/>
      <c r="O5812" s="17"/>
      <c r="Q5812" s="22"/>
      <c r="R5812" s="23"/>
    </row>
    <row r="5813" spans="1:18" ht="12.75">
      <c r="A5813" s="22"/>
      <c r="D5813" s="19"/>
      <c r="H5813" s="18"/>
      <c r="J5813" s="18"/>
      <c r="N5813" s="16"/>
      <c r="O5813" s="17"/>
      <c r="Q5813" s="22"/>
      <c r="R5813" s="23"/>
    </row>
    <row r="5814" spans="1:18" ht="12.75">
      <c r="A5814" s="22"/>
      <c r="D5814" s="19"/>
      <c r="H5814" s="18"/>
      <c r="J5814" s="18"/>
      <c r="N5814" s="16"/>
      <c r="O5814" s="17"/>
      <c r="Q5814" s="22"/>
      <c r="R5814" s="23"/>
    </row>
    <row r="5815" spans="1:18" ht="12.75">
      <c r="A5815" s="22"/>
      <c r="D5815" s="19"/>
      <c r="H5815" s="18"/>
      <c r="J5815" s="18"/>
      <c r="N5815" s="16"/>
      <c r="O5815" s="17"/>
      <c r="Q5815" s="22"/>
      <c r="R5815" s="23"/>
    </row>
    <row r="5816" spans="1:18" ht="12.75">
      <c r="A5816" s="22"/>
      <c r="D5816" s="19"/>
      <c r="H5816" s="18"/>
      <c r="J5816" s="18"/>
      <c r="N5816" s="16"/>
      <c r="O5816" s="17"/>
      <c r="Q5816" s="22"/>
      <c r="R5816" s="23"/>
    </row>
    <row r="5817" spans="1:18" ht="12.75">
      <c r="A5817" s="22"/>
      <c r="D5817" s="19"/>
      <c r="H5817" s="18"/>
      <c r="J5817" s="18"/>
      <c r="N5817" s="16"/>
      <c r="O5817" s="17"/>
      <c r="Q5817" s="22"/>
      <c r="R5817" s="23"/>
    </row>
    <row r="5818" spans="1:18" ht="12.75">
      <c r="A5818" s="22"/>
      <c r="D5818" s="19"/>
      <c r="H5818" s="18"/>
      <c r="J5818" s="18"/>
      <c r="N5818" s="16"/>
      <c r="O5818" s="17"/>
      <c r="Q5818" s="22"/>
      <c r="R5818" s="23"/>
    </row>
    <row r="5819" spans="1:18" ht="12.75">
      <c r="A5819" s="22"/>
      <c r="D5819" s="19"/>
      <c r="H5819" s="18"/>
      <c r="J5819" s="18"/>
      <c r="N5819" s="16"/>
      <c r="O5819" s="17"/>
      <c r="Q5819" s="22"/>
      <c r="R5819" s="23"/>
    </row>
    <row r="5820" spans="1:18" ht="12.75">
      <c r="A5820" s="22"/>
      <c r="D5820" s="19"/>
      <c r="H5820" s="18"/>
      <c r="J5820" s="18"/>
      <c r="N5820" s="16"/>
      <c r="O5820" s="17"/>
      <c r="Q5820" s="22"/>
      <c r="R5820" s="23"/>
    </row>
    <row r="5821" spans="1:18" ht="12.75">
      <c r="A5821" s="22"/>
      <c r="D5821" s="19"/>
      <c r="H5821" s="18"/>
      <c r="J5821" s="18"/>
      <c r="N5821" s="16"/>
      <c r="O5821" s="17"/>
      <c r="Q5821" s="22"/>
      <c r="R5821" s="23"/>
    </row>
    <row r="5822" spans="1:18" ht="12.75">
      <c r="A5822" s="22"/>
      <c r="D5822" s="19"/>
      <c r="H5822" s="18"/>
      <c r="J5822" s="18"/>
      <c r="N5822" s="16"/>
      <c r="O5822" s="17"/>
      <c r="Q5822" s="22"/>
      <c r="R5822" s="23"/>
    </row>
    <row r="5823" spans="1:18" ht="12.75">
      <c r="A5823" s="22"/>
      <c r="D5823" s="19"/>
      <c r="H5823" s="18"/>
      <c r="J5823" s="18"/>
      <c r="N5823" s="16"/>
      <c r="O5823" s="17"/>
      <c r="Q5823" s="22"/>
      <c r="R5823" s="23"/>
    </row>
    <row r="5824" spans="1:18" ht="12.75">
      <c r="A5824" s="22"/>
      <c r="D5824" s="19"/>
      <c r="H5824" s="18"/>
      <c r="J5824" s="18"/>
      <c r="N5824" s="16"/>
      <c r="O5824" s="17"/>
      <c r="Q5824" s="22"/>
      <c r="R5824" s="23"/>
    </row>
    <row r="5825" spans="1:18" ht="12.75">
      <c r="A5825" s="22"/>
      <c r="D5825" s="19"/>
      <c r="H5825" s="18"/>
      <c r="J5825" s="18"/>
      <c r="N5825" s="16"/>
      <c r="O5825" s="17"/>
      <c r="Q5825" s="22"/>
      <c r="R5825" s="23"/>
    </row>
    <row r="5826" spans="1:18" ht="12.75">
      <c r="A5826" s="22"/>
      <c r="D5826" s="19"/>
      <c r="H5826" s="18"/>
      <c r="J5826" s="18"/>
      <c r="N5826" s="16"/>
      <c r="O5826" s="17"/>
      <c r="Q5826" s="22"/>
      <c r="R5826" s="23"/>
    </row>
    <row r="5827" spans="1:18" ht="12.75">
      <c r="A5827" s="22"/>
      <c r="D5827" s="19"/>
      <c r="H5827" s="18"/>
      <c r="J5827" s="18"/>
      <c r="N5827" s="16"/>
      <c r="O5827" s="17"/>
      <c r="Q5827" s="22"/>
      <c r="R5827" s="23"/>
    </row>
    <row r="5828" spans="1:18" ht="12.75">
      <c r="A5828" s="22"/>
      <c r="D5828" s="19"/>
      <c r="H5828" s="18"/>
      <c r="J5828" s="18"/>
      <c r="N5828" s="16"/>
      <c r="O5828" s="17"/>
      <c r="Q5828" s="22"/>
      <c r="R5828" s="23"/>
    </row>
    <row r="5829" spans="1:18" ht="12.75">
      <c r="A5829" s="22"/>
      <c r="D5829" s="19"/>
      <c r="H5829" s="18"/>
      <c r="J5829" s="18"/>
      <c r="N5829" s="16"/>
      <c r="O5829" s="17"/>
      <c r="Q5829" s="22"/>
      <c r="R5829" s="23"/>
    </row>
    <row r="5830" spans="1:18" ht="12.75">
      <c r="A5830" s="22"/>
      <c r="D5830" s="19"/>
      <c r="H5830" s="18"/>
      <c r="J5830" s="18"/>
      <c r="N5830" s="16"/>
      <c r="O5830" s="17"/>
      <c r="Q5830" s="22"/>
      <c r="R5830" s="23"/>
    </row>
    <row r="5831" spans="1:18" ht="12.75">
      <c r="A5831" s="22"/>
      <c r="D5831" s="19"/>
      <c r="H5831" s="18"/>
      <c r="J5831" s="18"/>
      <c r="N5831" s="16"/>
      <c r="O5831" s="17"/>
      <c r="Q5831" s="22"/>
      <c r="R5831" s="23"/>
    </row>
    <row r="5832" spans="1:18" ht="12.75">
      <c r="A5832" s="22"/>
      <c r="D5832" s="19"/>
      <c r="H5832" s="18"/>
      <c r="J5832" s="18"/>
      <c r="N5832" s="16"/>
      <c r="O5832" s="17"/>
      <c r="Q5832" s="22"/>
      <c r="R5832" s="23"/>
    </row>
    <row r="5833" spans="1:18" ht="12.75">
      <c r="A5833" s="22"/>
      <c r="D5833" s="19"/>
      <c r="H5833" s="18"/>
      <c r="J5833" s="18"/>
      <c r="N5833" s="16"/>
      <c r="O5833" s="17"/>
      <c r="Q5833" s="22"/>
      <c r="R5833" s="23"/>
    </row>
    <row r="5834" spans="1:18" ht="12.75">
      <c r="A5834" s="22"/>
      <c r="D5834" s="19"/>
      <c r="H5834" s="18"/>
      <c r="J5834" s="18"/>
      <c r="N5834" s="16"/>
      <c r="O5834" s="17"/>
      <c r="Q5834" s="22"/>
      <c r="R5834" s="23"/>
    </row>
    <row r="5835" spans="1:18" ht="12.75">
      <c r="A5835" s="22"/>
      <c r="D5835" s="19"/>
      <c r="H5835" s="18"/>
      <c r="J5835" s="18"/>
      <c r="N5835" s="16"/>
      <c r="O5835" s="17"/>
      <c r="Q5835" s="22"/>
      <c r="R5835" s="23"/>
    </row>
    <row r="5836" spans="1:18" ht="12.75">
      <c r="A5836" s="22"/>
      <c r="D5836" s="19"/>
      <c r="H5836" s="18"/>
      <c r="J5836" s="18"/>
      <c r="N5836" s="16"/>
      <c r="O5836" s="17"/>
      <c r="Q5836" s="22"/>
      <c r="R5836" s="23"/>
    </row>
    <row r="5837" spans="1:18" ht="12.75">
      <c r="A5837" s="22"/>
      <c r="D5837" s="19"/>
      <c r="H5837" s="18"/>
      <c r="J5837" s="18"/>
      <c r="N5837" s="16"/>
      <c r="O5837" s="17"/>
      <c r="Q5837" s="22"/>
      <c r="R5837" s="23"/>
    </row>
    <row r="5838" spans="1:18" ht="12.75">
      <c r="A5838" s="22"/>
      <c r="D5838" s="19"/>
      <c r="H5838" s="18"/>
      <c r="J5838" s="18"/>
      <c r="N5838" s="16"/>
      <c r="O5838" s="17"/>
      <c r="Q5838" s="22"/>
      <c r="R5838" s="23"/>
    </row>
    <row r="5839" spans="1:18" ht="12.75">
      <c r="A5839" s="22"/>
      <c r="D5839" s="19"/>
      <c r="H5839" s="18"/>
      <c r="J5839" s="18"/>
      <c r="N5839" s="16"/>
      <c r="O5839" s="17"/>
      <c r="Q5839" s="22"/>
      <c r="R5839" s="23"/>
    </row>
    <row r="5840" spans="1:18" ht="12.75">
      <c r="A5840" s="22"/>
      <c r="D5840" s="19"/>
      <c r="H5840" s="18"/>
      <c r="J5840" s="18"/>
      <c r="N5840" s="16"/>
      <c r="O5840" s="17"/>
      <c r="Q5840" s="22"/>
      <c r="R5840" s="23"/>
    </row>
    <row r="5841" spans="1:18" ht="12.75">
      <c r="A5841" s="22"/>
      <c r="D5841" s="19"/>
      <c r="H5841" s="18"/>
      <c r="J5841" s="18"/>
      <c r="N5841" s="16"/>
      <c r="O5841" s="17"/>
      <c r="Q5841" s="22"/>
      <c r="R5841" s="23"/>
    </row>
    <row r="5842" spans="1:18" ht="12.75">
      <c r="A5842" s="22"/>
      <c r="D5842" s="19"/>
      <c r="H5842" s="18"/>
      <c r="J5842" s="18"/>
      <c r="N5842" s="16"/>
      <c r="O5842" s="17"/>
      <c r="Q5842" s="22"/>
      <c r="R5842" s="23"/>
    </row>
    <row r="5843" spans="1:18" ht="12.75">
      <c r="A5843" s="22"/>
      <c r="D5843" s="19"/>
      <c r="H5843" s="18"/>
      <c r="J5843" s="18"/>
      <c r="N5843" s="16"/>
      <c r="O5843" s="17"/>
      <c r="Q5843" s="22"/>
      <c r="R5843" s="23"/>
    </row>
    <row r="5844" spans="1:18" ht="12.75">
      <c r="A5844" s="22"/>
      <c r="D5844" s="19"/>
      <c r="H5844" s="18"/>
      <c r="J5844" s="18"/>
      <c r="N5844" s="16"/>
      <c r="O5844" s="17"/>
      <c r="Q5844" s="22"/>
      <c r="R5844" s="23"/>
    </row>
    <row r="5845" spans="1:18" ht="12.75">
      <c r="A5845" s="22"/>
      <c r="D5845" s="19"/>
      <c r="H5845" s="18"/>
      <c r="J5845" s="18"/>
      <c r="N5845" s="16"/>
      <c r="O5845" s="17"/>
      <c r="Q5845" s="22"/>
      <c r="R5845" s="23"/>
    </row>
    <row r="5846" spans="1:18" ht="12.75">
      <c r="A5846" s="22"/>
      <c r="D5846" s="19"/>
      <c r="H5846" s="18"/>
      <c r="J5846" s="18"/>
      <c r="N5846" s="16"/>
      <c r="O5846" s="17"/>
      <c r="Q5846" s="22"/>
      <c r="R5846" s="23"/>
    </row>
    <row r="5847" spans="1:18" ht="12.75">
      <c r="A5847" s="22"/>
      <c r="D5847" s="19"/>
      <c r="H5847" s="18"/>
      <c r="J5847" s="18"/>
      <c r="N5847" s="16"/>
      <c r="O5847" s="17"/>
      <c r="Q5847" s="22"/>
      <c r="R5847" s="23"/>
    </row>
    <row r="5848" spans="1:18" ht="12.75">
      <c r="A5848" s="22"/>
      <c r="D5848" s="19"/>
      <c r="H5848" s="18"/>
      <c r="J5848" s="18"/>
      <c r="N5848" s="16"/>
      <c r="O5848" s="17"/>
      <c r="Q5848" s="22"/>
      <c r="R5848" s="23"/>
    </row>
    <row r="5849" spans="1:18" ht="12.75">
      <c r="A5849" s="22"/>
      <c r="D5849" s="19"/>
      <c r="H5849" s="18"/>
      <c r="J5849" s="18"/>
      <c r="N5849" s="16"/>
      <c r="O5849" s="17"/>
      <c r="Q5849" s="22"/>
      <c r="R5849" s="23"/>
    </row>
    <row r="5850" spans="1:18" ht="12.75">
      <c r="A5850" s="22"/>
      <c r="D5850" s="19"/>
      <c r="H5850" s="18"/>
      <c r="J5850" s="18"/>
      <c r="N5850" s="16"/>
      <c r="O5850" s="17"/>
      <c r="Q5850" s="22"/>
      <c r="R5850" s="23"/>
    </row>
    <row r="5851" spans="1:18" ht="12.75">
      <c r="A5851" s="22"/>
      <c r="D5851" s="19"/>
      <c r="H5851" s="18"/>
      <c r="J5851" s="18"/>
      <c r="N5851" s="16"/>
      <c r="O5851" s="17"/>
      <c r="Q5851" s="22"/>
      <c r="R5851" s="23"/>
    </row>
    <row r="5852" spans="1:18" ht="12.75">
      <c r="A5852" s="22"/>
      <c r="D5852" s="19"/>
      <c r="H5852" s="18"/>
      <c r="J5852" s="18"/>
      <c r="N5852" s="16"/>
      <c r="O5852" s="17"/>
      <c r="Q5852" s="22"/>
      <c r="R5852" s="23"/>
    </row>
    <row r="5853" spans="1:18" ht="12.75">
      <c r="A5853" s="22"/>
      <c r="D5853" s="19"/>
      <c r="H5853" s="18"/>
      <c r="J5853" s="18"/>
      <c r="N5853" s="16"/>
      <c r="O5853" s="17"/>
      <c r="Q5853" s="22"/>
      <c r="R5853" s="23"/>
    </row>
    <row r="5854" spans="1:18" ht="12.75">
      <c r="A5854" s="22"/>
      <c r="D5854" s="19"/>
      <c r="H5854" s="18"/>
      <c r="J5854" s="18"/>
      <c r="N5854" s="16"/>
      <c r="O5854" s="17"/>
      <c r="Q5854" s="22"/>
      <c r="R5854" s="23"/>
    </row>
    <row r="5855" spans="1:18" ht="12.75">
      <c r="A5855" s="22"/>
      <c r="D5855" s="19"/>
      <c r="H5855" s="18"/>
      <c r="J5855" s="18"/>
      <c r="N5855" s="16"/>
      <c r="O5855" s="17"/>
      <c r="Q5855" s="22"/>
      <c r="R5855" s="23"/>
    </row>
    <row r="5856" spans="1:18" ht="12.75">
      <c r="A5856" s="22"/>
      <c r="D5856" s="19"/>
      <c r="H5856" s="18"/>
      <c r="J5856" s="18"/>
      <c r="N5856" s="16"/>
      <c r="O5856" s="17"/>
      <c r="Q5856" s="22"/>
      <c r="R5856" s="23"/>
    </row>
    <row r="5857" spans="1:18" ht="12.75">
      <c r="A5857" s="22"/>
      <c r="D5857" s="19"/>
      <c r="H5857" s="18"/>
      <c r="J5857" s="18"/>
      <c r="N5857" s="16"/>
      <c r="O5857" s="17"/>
      <c r="Q5857" s="22"/>
      <c r="R5857" s="23"/>
    </row>
    <row r="5858" spans="1:18" ht="12.75">
      <c r="A5858" s="22"/>
      <c r="D5858" s="19"/>
      <c r="H5858" s="18"/>
      <c r="J5858" s="18"/>
      <c r="N5858" s="16"/>
      <c r="O5858" s="17"/>
      <c r="Q5858" s="22"/>
      <c r="R5858" s="23"/>
    </row>
    <row r="5859" spans="1:18" ht="12.75">
      <c r="A5859" s="22"/>
      <c r="D5859" s="19"/>
      <c r="H5859" s="18"/>
      <c r="J5859" s="18"/>
      <c r="N5859" s="16"/>
      <c r="O5859" s="17"/>
      <c r="Q5859" s="22"/>
      <c r="R5859" s="23"/>
    </row>
    <row r="5860" spans="1:18" ht="12.75">
      <c r="A5860" s="22"/>
      <c r="D5860" s="19"/>
      <c r="H5860" s="18"/>
      <c r="J5860" s="18"/>
      <c r="N5860" s="16"/>
      <c r="O5860" s="17"/>
      <c r="Q5860" s="22"/>
      <c r="R5860" s="23"/>
    </row>
    <row r="5861" spans="1:18" ht="12.75">
      <c r="A5861" s="22"/>
      <c r="D5861" s="19"/>
      <c r="H5861" s="18"/>
      <c r="J5861" s="18"/>
      <c r="N5861" s="16"/>
      <c r="O5861" s="17"/>
      <c r="Q5861" s="22"/>
      <c r="R5861" s="23"/>
    </row>
    <row r="5862" spans="1:18" ht="12.75">
      <c r="A5862" s="22"/>
      <c r="D5862" s="19"/>
      <c r="H5862" s="18"/>
      <c r="J5862" s="18"/>
      <c r="N5862" s="16"/>
      <c r="O5862" s="17"/>
      <c r="Q5862" s="22"/>
      <c r="R5862" s="23"/>
    </row>
    <row r="5863" spans="1:18" ht="12.75">
      <c r="A5863" s="22"/>
      <c r="D5863" s="19"/>
      <c r="H5863" s="18"/>
      <c r="J5863" s="18"/>
      <c r="N5863" s="16"/>
      <c r="O5863" s="17"/>
      <c r="Q5863" s="22"/>
      <c r="R5863" s="23"/>
    </row>
    <row r="5864" spans="1:18" ht="12.75">
      <c r="A5864" s="22"/>
      <c r="D5864" s="19"/>
      <c r="H5864" s="18"/>
      <c r="J5864" s="18"/>
      <c r="N5864" s="16"/>
      <c r="O5864" s="17"/>
      <c r="Q5864" s="22"/>
      <c r="R5864" s="23"/>
    </row>
    <row r="5865" spans="1:18" ht="12.75">
      <c r="A5865" s="22"/>
      <c r="D5865" s="19"/>
      <c r="H5865" s="18"/>
      <c r="J5865" s="18"/>
      <c r="N5865" s="16"/>
      <c r="O5865" s="17"/>
      <c r="Q5865" s="22"/>
      <c r="R5865" s="23"/>
    </row>
    <row r="5866" spans="1:18" ht="12.75">
      <c r="A5866" s="22"/>
      <c r="D5866" s="19"/>
      <c r="H5866" s="18"/>
      <c r="J5866" s="18"/>
      <c r="N5866" s="16"/>
      <c r="O5866" s="17"/>
      <c r="Q5866" s="22"/>
      <c r="R5866" s="23"/>
    </row>
    <row r="5867" spans="1:18" ht="12.75">
      <c r="A5867" s="22"/>
      <c r="D5867" s="19"/>
      <c r="H5867" s="18"/>
      <c r="J5867" s="18"/>
      <c r="N5867" s="16"/>
      <c r="O5867" s="17"/>
      <c r="Q5867" s="22"/>
      <c r="R5867" s="23"/>
    </row>
    <row r="5868" spans="1:18" ht="12.75">
      <c r="A5868" s="22"/>
      <c r="D5868" s="19"/>
      <c r="H5868" s="18"/>
      <c r="J5868" s="18"/>
      <c r="N5868" s="16"/>
      <c r="O5868" s="17"/>
      <c r="Q5868" s="22"/>
      <c r="R5868" s="23"/>
    </row>
    <row r="5869" spans="1:18" ht="12.75">
      <c r="A5869" s="22"/>
      <c r="D5869" s="19"/>
      <c r="H5869" s="18"/>
      <c r="J5869" s="18"/>
      <c r="N5869" s="16"/>
      <c r="O5869" s="17"/>
      <c r="Q5869" s="22"/>
      <c r="R5869" s="23"/>
    </row>
    <row r="5870" spans="1:18" ht="12.75">
      <c r="A5870" s="22"/>
      <c r="D5870" s="19"/>
      <c r="H5870" s="18"/>
      <c r="J5870" s="18"/>
      <c r="N5870" s="16"/>
      <c r="O5870" s="17"/>
      <c r="Q5870" s="22"/>
      <c r="R5870" s="23"/>
    </row>
    <row r="5871" spans="1:18" ht="12.75">
      <c r="A5871" s="22"/>
      <c r="D5871" s="19"/>
      <c r="H5871" s="18"/>
      <c r="J5871" s="18"/>
      <c r="N5871" s="16"/>
      <c r="O5871" s="17"/>
      <c r="Q5871" s="22"/>
      <c r="R5871" s="23"/>
    </row>
    <row r="5872" spans="1:18" ht="12.75">
      <c r="A5872" s="22"/>
      <c r="D5872" s="19"/>
      <c r="H5872" s="18"/>
      <c r="J5872" s="18"/>
      <c r="N5872" s="16"/>
      <c r="O5872" s="17"/>
      <c r="Q5872" s="22"/>
      <c r="R5872" s="23"/>
    </row>
    <row r="5873" spans="1:18" ht="12.75">
      <c r="A5873" s="22"/>
      <c r="D5873" s="19"/>
      <c r="H5873" s="18"/>
      <c r="J5873" s="18"/>
      <c r="N5873" s="16"/>
      <c r="O5873" s="17"/>
      <c r="Q5873" s="22"/>
      <c r="R5873" s="23"/>
    </row>
    <row r="5874" spans="1:18" ht="12.75">
      <c r="A5874" s="22"/>
      <c r="D5874" s="19"/>
      <c r="H5874" s="18"/>
      <c r="J5874" s="18"/>
      <c r="N5874" s="16"/>
      <c r="O5874" s="17"/>
      <c r="Q5874" s="22"/>
      <c r="R5874" s="23"/>
    </row>
    <row r="5875" spans="1:18" ht="12.75">
      <c r="A5875" s="22"/>
      <c r="D5875" s="19"/>
      <c r="H5875" s="18"/>
      <c r="J5875" s="18"/>
      <c r="N5875" s="16"/>
      <c r="O5875" s="17"/>
      <c r="Q5875" s="22"/>
      <c r="R5875" s="23"/>
    </row>
    <row r="5876" spans="1:18" ht="12.75">
      <c r="A5876" s="22"/>
      <c r="D5876" s="19"/>
      <c r="H5876" s="18"/>
      <c r="J5876" s="18"/>
      <c r="N5876" s="16"/>
      <c r="O5876" s="17"/>
      <c r="Q5876" s="22"/>
      <c r="R5876" s="23"/>
    </row>
    <row r="5877" spans="1:18" ht="12.75">
      <c r="A5877" s="22"/>
      <c r="D5877" s="19"/>
      <c r="H5877" s="18"/>
      <c r="J5877" s="18"/>
      <c r="N5877" s="16"/>
      <c r="O5877" s="17"/>
      <c r="Q5877" s="22"/>
      <c r="R5877" s="23"/>
    </row>
    <row r="5878" spans="1:18" ht="12.75">
      <c r="A5878" s="22"/>
      <c r="D5878" s="19"/>
      <c r="H5878" s="18"/>
      <c r="J5878" s="18"/>
      <c r="N5878" s="16"/>
      <c r="O5878" s="17"/>
      <c r="Q5878" s="22"/>
      <c r="R5878" s="23"/>
    </row>
    <row r="5879" spans="1:18" ht="12.75">
      <c r="A5879" s="22"/>
      <c r="D5879" s="19"/>
      <c r="H5879" s="18"/>
      <c r="J5879" s="18"/>
      <c r="N5879" s="16"/>
      <c r="O5879" s="17"/>
      <c r="Q5879" s="22"/>
      <c r="R5879" s="23"/>
    </row>
    <row r="5880" spans="1:18" ht="12.75">
      <c r="A5880" s="22"/>
      <c r="D5880" s="19"/>
      <c r="H5880" s="18"/>
      <c r="J5880" s="18"/>
      <c r="N5880" s="16"/>
      <c r="O5880" s="17"/>
      <c r="Q5880" s="22"/>
      <c r="R5880" s="23"/>
    </row>
    <row r="5881" spans="1:18" ht="12.75">
      <c r="A5881" s="22"/>
      <c r="D5881" s="19"/>
      <c r="H5881" s="18"/>
      <c r="J5881" s="18"/>
      <c r="N5881" s="16"/>
      <c r="O5881" s="17"/>
      <c r="Q5881" s="22"/>
      <c r="R5881" s="23"/>
    </row>
    <row r="5882" spans="1:18" ht="12.75">
      <c r="A5882" s="22"/>
      <c r="D5882" s="19"/>
      <c r="H5882" s="18"/>
      <c r="J5882" s="18"/>
      <c r="N5882" s="16"/>
      <c r="O5882" s="17"/>
      <c r="Q5882" s="22"/>
      <c r="R5882" s="23"/>
    </row>
    <row r="5883" spans="1:18" ht="12.75">
      <c r="A5883" s="22"/>
      <c r="D5883" s="19"/>
      <c r="H5883" s="18"/>
      <c r="J5883" s="18"/>
      <c r="N5883" s="16"/>
      <c r="O5883" s="17"/>
      <c r="Q5883" s="22"/>
      <c r="R5883" s="23"/>
    </row>
    <row r="5884" spans="1:18" ht="12.75">
      <c r="A5884" s="22"/>
      <c r="D5884" s="19"/>
      <c r="H5884" s="18"/>
      <c r="J5884" s="18"/>
      <c r="N5884" s="16"/>
      <c r="O5884" s="17"/>
      <c r="Q5884" s="22"/>
      <c r="R5884" s="23"/>
    </row>
    <row r="5885" spans="1:18" ht="12.75">
      <c r="A5885" s="22"/>
      <c r="D5885" s="19"/>
      <c r="H5885" s="18"/>
      <c r="J5885" s="18"/>
      <c r="N5885" s="16"/>
      <c r="O5885" s="17"/>
      <c r="Q5885" s="22"/>
      <c r="R5885" s="23"/>
    </row>
    <row r="5886" spans="1:18" ht="12.75">
      <c r="A5886" s="22"/>
      <c r="D5886" s="19"/>
      <c r="H5886" s="18"/>
      <c r="J5886" s="18"/>
      <c r="N5886" s="16"/>
      <c r="O5886" s="17"/>
      <c r="Q5886" s="22"/>
      <c r="R5886" s="23"/>
    </row>
    <row r="5887" spans="1:18" ht="12.75">
      <c r="A5887" s="22"/>
      <c r="D5887" s="19"/>
      <c r="H5887" s="18"/>
      <c r="J5887" s="18"/>
      <c r="N5887" s="16"/>
      <c r="O5887" s="17"/>
      <c r="Q5887" s="22"/>
      <c r="R5887" s="23"/>
    </row>
    <row r="5888" spans="1:18" ht="12.75">
      <c r="A5888" s="22"/>
      <c r="D5888" s="19"/>
      <c r="H5888" s="18"/>
      <c r="J5888" s="18"/>
      <c r="N5888" s="16"/>
      <c r="O5888" s="17"/>
      <c r="Q5888" s="22"/>
      <c r="R5888" s="23"/>
    </row>
    <row r="5889" spans="1:18" ht="12.75">
      <c r="A5889" s="22"/>
      <c r="D5889" s="19"/>
      <c r="H5889" s="18"/>
      <c r="J5889" s="18"/>
      <c r="N5889" s="16"/>
      <c r="O5889" s="17"/>
      <c r="Q5889" s="22"/>
      <c r="R5889" s="23"/>
    </row>
    <row r="5890" spans="1:18" ht="12.75">
      <c r="A5890" s="22"/>
      <c r="D5890" s="19"/>
      <c r="H5890" s="18"/>
      <c r="J5890" s="18"/>
      <c r="N5890" s="16"/>
      <c r="O5890" s="17"/>
      <c r="Q5890" s="22"/>
      <c r="R5890" s="23"/>
    </row>
    <row r="5891" spans="1:18" ht="12.75">
      <c r="A5891" s="22"/>
      <c r="D5891" s="19"/>
      <c r="H5891" s="18"/>
      <c r="J5891" s="18"/>
      <c r="N5891" s="16"/>
      <c r="O5891" s="17"/>
      <c r="Q5891" s="22"/>
      <c r="R5891" s="23"/>
    </row>
    <row r="5892" spans="1:18" ht="12.75">
      <c r="A5892" s="22"/>
      <c r="D5892" s="19"/>
      <c r="H5892" s="18"/>
      <c r="J5892" s="18"/>
      <c r="N5892" s="16"/>
      <c r="O5892" s="17"/>
      <c r="Q5892" s="22"/>
      <c r="R5892" s="23"/>
    </row>
    <row r="5893" spans="1:18" ht="12.75">
      <c r="A5893" s="22"/>
      <c r="D5893" s="19"/>
      <c r="H5893" s="18"/>
      <c r="J5893" s="18"/>
      <c r="N5893" s="16"/>
      <c r="O5893" s="17"/>
      <c r="Q5893" s="22"/>
      <c r="R5893" s="23"/>
    </row>
    <row r="5894" spans="1:18" ht="12.75">
      <c r="A5894" s="22"/>
      <c r="D5894" s="19"/>
      <c r="H5894" s="18"/>
      <c r="J5894" s="18"/>
      <c r="N5894" s="16"/>
      <c r="O5894" s="17"/>
      <c r="Q5894" s="22"/>
      <c r="R5894" s="23"/>
    </row>
    <row r="5895" spans="1:18" ht="12.75">
      <c r="A5895" s="22"/>
      <c r="D5895" s="19"/>
      <c r="H5895" s="18"/>
      <c r="J5895" s="18"/>
      <c r="N5895" s="16"/>
      <c r="O5895" s="17"/>
      <c r="Q5895" s="22"/>
      <c r="R5895" s="23"/>
    </row>
    <row r="5896" spans="1:18" ht="12.75">
      <c r="A5896" s="22"/>
      <c r="D5896" s="19"/>
      <c r="H5896" s="18"/>
      <c r="J5896" s="18"/>
      <c r="N5896" s="16"/>
      <c r="O5896" s="17"/>
      <c r="Q5896" s="22"/>
      <c r="R5896" s="23"/>
    </row>
    <row r="5897" spans="1:18" ht="12.75">
      <c r="A5897" s="22"/>
      <c r="D5897" s="19"/>
      <c r="H5897" s="18"/>
      <c r="J5897" s="18"/>
      <c r="N5897" s="16"/>
      <c r="O5897" s="17"/>
      <c r="Q5897" s="22"/>
      <c r="R5897" s="23"/>
    </row>
    <row r="5898" spans="1:18" ht="12.75">
      <c r="A5898" s="22"/>
      <c r="D5898" s="19"/>
      <c r="H5898" s="18"/>
      <c r="J5898" s="18"/>
      <c r="N5898" s="16"/>
      <c r="O5898" s="17"/>
      <c r="Q5898" s="22"/>
      <c r="R5898" s="23"/>
    </row>
    <row r="5899" spans="1:18" ht="12.75">
      <c r="A5899" s="22"/>
      <c r="D5899" s="19"/>
      <c r="H5899" s="18"/>
      <c r="J5899" s="18"/>
      <c r="N5899" s="16"/>
      <c r="O5899" s="17"/>
      <c r="Q5899" s="22"/>
      <c r="R5899" s="23"/>
    </row>
    <row r="5900" spans="1:18" ht="12.75">
      <c r="A5900" s="22"/>
      <c r="D5900" s="19"/>
      <c r="H5900" s="18"/>
      <c r="J5900" s="18"/>
      <c r="N5900" s="16"/>
      <c r="O5900" s="17"/>
      <c r="Q5900" s="22"/>
      <c r="R5900" s="23"/>
    </row>
    <row r="5901" spans="1:18" ht="12.75">
      <c r="A5901" s="22"/>
      <c r="D5901" s="19"/>
      <c r="H5901" s="18"/>
      <c r="J5901" s="18"/>
      <c r="N5901" s="16"/>
      <c r="O5901" s="17"/>
      <c r="Q5901" s="22"/>
      <c r="R5901" s="23"/>
    </row>
    <row r="5902" spans="1:18" ht="12.75">
      <c r="A5902" s="22"/>
      <c r="D5902" s="19"/>
      <c r="H5902" s="18"/>
      <c r="J5902" s="18"/>
      <c r="N5902" s="16"/>
      <c r="O5902" s="17"/>
      <c r="Q5902" s="22"/>
      <c r="R5902" s="23"/>
    </row>
    <row r="5903" spans="1:18" ht="12.75">
      <c r="A5903" s="22"/>
      <c r="D5903" s="19"/>
      <c r="H5903" s="18"/>
      <c r="J5903" s="18"/>
      <c r="N5903" s="16"/>
      <c r="O5903" s="17"/>
      <c r="Q5903" s="22"/>
      <c r="R5903" s="23"/>
    </row>
    <row r="5904" spans="1:18" ht="12.75">
      <c r="A5904" s="22"/>
      <c r="D5904" s="19"/>
      <c r="H5904" s="18"/>
      <c r="J5904" s="18"/>
      <c r="N5904" s="16"/>
      <c r="O5904" s="17"/>
      <c r="Q5904" s="22"/>
      <c r="R5904" s="23"/>
    </row>
    <row r="5905" spans="1:18" ht="12.75">
      <c r="A5905" s="22"/>
      <c r="D5905" s="19"/>
      <c r="H5905" s="18"/>
      <c r="J5905" s="18"/>
      <c r="N5905" s="16"/>
      <c r="O5905" s="17"/>
      <c r="Q5905" s="22"/>
      <c r="R5905" s="23"/>
    </row>
    <row r="5906" spans="1:18" ht="12.75">
      <c r="A5906" s="22"/>
      <c r="D5906" s="19"/>
      <c r="H5906" s="18"/>
      <c r="J5906" s="18"/>
      <c r="N5906" s="16"/>
      <c r="O5906" s="17"/>
      <c r="Q5906" s="22"/>
      <c r="R5906" s="23"/>
    </row>
    <row r="5907" spans="1:18" ht="12.75">
      <c r="A5907" s="22"/>
      <c r="D5907" s="19"/>
      <c r="H5907" s="18"/>
      <c r="J5907" s="18"/>
      <c r="N5907" s="16"/>
      <c r="O5907" s="17"/>
      <c r="Q5907" s="22"/>
      <c r="R5907" s="23"/>
    </row>
    <row r="5908" spans="1:18" ht="12.75">
      <c r="A5908" s="22"/>
      <c r="D5908" s="19"/>
      <c r="H5908" s="18"/>
      <c r="J5908" s="18"/>
      <c r="N5908" s="16"/>
      <c r="O5908" s="17"/>
      <c r="Q5908" s="22"/>
      <c r="R5908" s="23"/>
    </row>
    <row r="5909" spans="1:18" ht="12.75">
      <c r="A5909" s="22"/>
      <c r="D5909" s="19"/>
      <c r="H5909" s="18"/>
      <c r="J5909" s="18"/>
      <c r="N5909" s="16"/>
      <c r="O5909" s="17"/>
      <c r="Q5909" s="22"/>
      <c r="R5909" s="23"/>
    </row>
    <row r="5910" spans="1:18" ht="12.75">
      <c r="A5910" s="22"/>
      <c r="D5910" s="19"/>
      <c r="H5910" s="18"/>
      <c r="J5910" s="18"/>
      <c r="N5910" s="16"/>
      <c r="O5910" s="17"/>
      <c r="Q5910" s="22"/>
      <c r="R5910" s="23"/>
    </row>
    <row r="5911" spans="1:18" ht="12.75">
      <c r="A5911" s="22"/>
      <c r="D5911" s="19"/>
      <c r="H5911" s="18"/>
      <c r="J5911" s="18"/>
      <c r="N5911" s="16"/>
      <c r="O5911" s="17"/>
      <c r="Q5911" s="22"/>
      <c r="R5911" s="23"/>
    </row>
    <row r="5912" spans="1:18" ht="12.75">
      <c r="A5912" s="22"/>
      <c r="D5912" s="19"/>
      <c r="H5912" s="18"/>
      <c r="J5912" s="18"/>
      <c r="N5912" s="16"/>
      <c r="O5912" s="17"/>
      <c r="Q5912" s="22"/>
      <c r="R5912" s="23"/>
    </row>
    <row r="5913" spans="1:18" ht="12.75">
      <c r="A5913" s="22"/>
      <c r="D5913" s="19"/>
      <c r="H5913" s="18"/>
      <c r="J5913" s="18"/>
      <c r="N5913" s="16"/>
      <c r="O5913" s="17"/>
      <c r="Q5913" s="22"/>
      <c r="R5913" s="23"/>
    </row>
    <row r="5914" spans="1:18" ht="12.75">
      <c r="A5914" s="22"/>
      <c r="D5914" s="19"/>
      <c r="H5914" s="18"/>
      <c r="J5914" s="18"/>
      <c r="N5914" s="16"/>
      <c r="O5914" s="17"/>
      <c r="Q5914" s="22"/>
      <c r="R5914" s="23"/>
    </row>
    <row r="5915" spans="1:18" ht="12.75">
      <c r="A5915" s="22"/>
      <c r="D5915" s="19"/>
      <c r="H5915" s="18"/>
      <c r="J5915" s="18"/>
      <c r="N5915" s="16"/>
      <c r="O5915" s="17"/>
      <c r="Q5915" s="22"/>
      <c r="R5915" s="23"/>
    </row>
    <row r="5916" spans="1:18" ht="12.75">
      <c r="A5916" s="22"/>
      <c r="D5916" s="19"/>
      <c r="H5916" s="18"/>
      <c r="J5916" s="18"/>
      <c r="N5916" s="16"/>
      <c r="O5916" s="17"/>
      <c r="Q5916" s="22"/>
      <c r="R5916" s="23"/>
    </row>
    <row r="5917" spans="1:18" ht="12.75">
      <c r="A5917" s="22"/>
      <c r="D5917" s="19"/>
      <c r="H5917" s="18"/>
      <c r="J5917" s="18"/>
      <c r="N5917" s="16"/>
      <c r="O5917" s="17"/>
      <c r="Q5917" s="22"/>
      <c r="R5917" s="23"/>
    </row>
    <row r="5918" spans="1:18" ht="12.75">
      <c r="A5918" s="22"/>
      <c r="D5918" s="19"/>
      <c r="H5918" s="18"/>
      <c r="J5918" s="18"/>
      <c r="N5918" s="16"/>
      <c r="O5918" s="17"/>
      <c r="Q5918" s="22"/>
      <c r="R5918" s="23"/>
    </row>
    <row r="5919" spans="1:18" ht="12.75">
      <c r="A5919" s="22"/>
      <c r="D5919" s="19"/>
      <c r="H5919" s="18"/>
      <c r="J5919" s="18"/>
      <c r="N5919" s="16"/>
      <c r="O5919" s="17"/>
      <c r="Q5919" s="22"/>
      <c r="R5919" s="23"/>
    </row>
    <row r="5920" spans="1:18" ht="12.75">
      <c r="A5920" s="22"/>
      <c r="D5920" s="19"/>
      <c r="H5920" s="18"/>
      <c r="J5920" s="18"/>
      <c r="N5920" s="16"/>
      <c r="O5920" s="17"/>
      <c r="Q5920" s="22"/>
      <c r="R5920" s="23"/>
    </row>
    <row r="5921" spans="1:18" ht="12.75">
      <c r="A5921" s="22"/>
      <c r="D5921" s="19"/>
      <c r="H5921" s="18"/>
      <c r="J5921" s="18"/>
      <c r="N5921" s="16"/>
      <c r="O5921" s="17"/>
      <c r="Q5921" s="22"/>
      <c r="R5921" s="23"/>
    </row>
    <row r="5922" spans="1:18" ht="12.75">
      <c r="A5922" s="22"/>
      <c r="D5922" s="19"/>
      <c r="H5922" s="18"/>
      <c r="J5922" s="18"/>
      <c r="N5922" s="16"/>
      <c r="O5922" s="17"/>
      <c r="Q5922" s="22"/>
      <c r="R5922" s="23"/>
    </row>
    <row r="5923" spans="1:18" ht="12.75">
      <c r="A5923" s="22"/>
      <c r="D5923" s="19"/>
      <c r="H5923" s="18"/>
      <c r="J5923" s="18"/>
      <c r="N5923" s="16"/>
      <c r="O5923" s="17"/>
      <c r="Q5923" s="22"/>
      <c r="R5923" s="23"/>
    </row>
    <row r="5924" spans="1:18" ht="12.75">
      <c r="A5924" s="22"/>
      <c r="D5924" s="19"/>
      <c r="H5924" s="18"/>
      <c r="J5924" s="18"/>
      <c r="N5924" s="16"/>
      <c r="O5924" s="17"/>
      <c r="Q5924" s="22"/>
      <c r="R5924" s="23"/>
    </row>
    <row r="5925" spans="1:18" ht="12.75">
      <c r="A5925" s="22"/>
      <c r="D5925" s="19"/>
      <c r="H5925" s="18"/>
      <c r="J5925" s="18"/>
      <c r="N5925" s="16"/>
      <c r="O5925" s="17"/>
      <c r="Q5925" s="22"/>
      <c r="R5925" s="23"/>
    </row>
    <row r="5926" spans="1:18" ht="12.75">
      <c r="A5926" s="22"/>
      <c r="D5926" s="19"/>
      <c r="H5926" s="18"/>
      <c r="J5926" s="18"/>
      <c r="N5926" s="16"/>
      <c r="O5926" s="17"/>
      <c r="Q5926" s="22"/>
      <c r="R5926" s="23"/>
    </row>
    <row r="5927" spans="1:18" ht="12.75">
      <c r="A5927" s="22"/>
      <c r="D5927" s="19"/>
      <c r="H5927" s="18"/>
      <c r="J5927" s="18"/>
      <c r="N5927" s="16"/>
      <c r="O5927" s="17"/>
      <c r="Q5927" s="22"/>
      <c r="R5927" s="23"/>
    </row>
    <row r="5928" spans="1:18" ht="12.75">
      <c r="A5928" s="22"/>
      <c r="D5928" s="19"/>
      <c r="H5928" s="18"/>
      <c r="J5928" s="18"/>
      <c r="N5928" s="16"/>
      <c r="O5928" s="17"/>
      <c r="Q5928" s="22"/>
      <c r="R5928" s="23"/>
    </row>
    <row r="5929" spans="1:18" ht="12.75">
      <c r="A5929" s="22"/>
      <c r="D5929" s="19"/>
      <c r="H5929" s="18"/>
      <c r="J5929" s="18"/>
      <c r="N5929" s="16"/>
      <c r="O5929" s="17"/>
      <c r="Q5929" s="22"/>
      <c r="R5929" s="23"/>
    </row>
    <row r="5930" spans="1:18" ht="12.75">
      <c r="A5930" s="22"/>
      <c r="D5930" s="19"/>
      <c r="H5930" s="18"/>
      <c r="J5930" s="18"/>
      <c r="N5930" s="16"/>
      <c r="O5930" s="17"/>
      <c r="Q5930" s="22"/>
      <c r="R5930" s="23"/>
    </row>
    <row r="5931" spans="1:18" ht="12.75">
      <c r="A5931" s="22"/>
      <c r="D5931" s="19"/>
      <c r="H5931" s="18"/>
      <c r="J5931" s="18"/>
      <c r="N5931" s="16"/>
      <c r="O5931" s="17"/>
      <c r="Q5931" s="22"/>
      <c r="R5931" s="23"/>
    </row>
    <row r="5932" spans="1:18" ht="12.75">
      <c r="A5932" s="22"/>
      <c r="D5932" s="19"/>
      <c r="H5932" s="18"/>
      <c r="J5932" s="18"/>
      <c r="N5932" s="16"/>
      <c r="O5932" s="17"/>
      <c r="Q5932" s="22"/>
      <c r="R5932" s="23"/>
    </row>
    <row r="5933" spans="1:18" ht="12.75">
      <c r="A5933" s="22"/>
      <c r="D5933" s="19"/>
      <c r="H5933" s="18"/>
      <c r="J5933" s="18"/>
      <c r="N5933" s="16"/>
      <c r="O5933" s="17"/>
      <c r="Q5933" s="22"/>
      <c r="R5933" s="23"/>
    </row>
    <row r="5934" spans="1:18" ht="12.75">
      <c r="A5934" s="22"/>
      <c r="D5934" s="19"/>
      <c r="H5934" s="18"/>
      <c r="J5934" s="18"/>
      <c r="N5934" s="16"/>
      <c r="O5934" s="17"/>
      <c r="Q5934" s="22"/>
      <c r="R5934" s="23"/>
    </row>
    <row r="5935" spans="1:18" ht="12.75">
      <c r="A5935" s="22"/>
      <c r="D5935" s="19"/>
      <c r="H5935" s="18"/>
      <c r="J5935" s="18"/>
      <c r="N5935" s="16"/>
      <c r="O5935" s="17"/>
      <c r="Q5935" s="22"/>
      <c r="R5935" s="23"/>
    </row>
    <row r="5936" spans="1:18" ht="12.75">
      <c r="A5936" s="22"/>
      <c r="D5936" s="19"/>
      <c r="H5936" s="18"/>
      <c r="J5936" s="18"/>
      <c r="N5936" s="16"/>
      <c r="O5936" s="17"/>
      <c r="Q5936" s="22"/>
      <c r="R5936" s="23"/>
    </row>
    <row r="5937" spans="1:18" ht="12.75">
      <c r="A5937" s="22"/>
      <c r="D5937" s="19"/>
      <c r="H5937" s="18"/>
      <c r="J5937" s="18"/>
      <c r="N5937" s="16"/>
      <c r="O5937" s="17"/>
      <c r="Q5937" s="22"/>
      <c r="R5937" s="23"/>
    </row>
    <row r="5938" spans="1:18" ht="12.75">
      <c r="A5938" s="22"/>
      <c r="D5938" s="19"/>
      <c r="H5938" s="18"/>
      <c r="J5938" s="18"/>
      <c r="N5938" s="16"/>
      <c r="O5938" s="17"/>
      <c r="Q5938" s="22"/>
      <c r="R5938" s="23"/>
    </row>
    <row r="5939" spans="1:18" ht="12.75">
      <c r="A5939" s="22"/>
      <c r="D5939" s="19"/>
      <c r="H5939" s="18"/>
      <c r="J5939" s="18"/>
      <c r="N5939" s="16"/>
      <c r="O5939" s="17"/>
      <c r="Q5939" s="22"/>
      <c r="R5939" s="23"/>
    </row>
    <row r="5940" spans="1:18" ht="12.75">
      <c r="A5940" s="22"/>
      <c r="D5940" s="19"/>
      <c r="H5940" s="18"/>
      <c r="J5940" s="18"/>
      <c r="N5940" s="16"/>
      <c r="O5940" s="17"/>
      <c r="Q5940" s="22"/>
      <c r="R5940" s="23"/>
    </row>
    <row r="5941" spans="1:18" ht="12.75">
      <c r="A5941" s="22"/>
      <c r="D5941" s="19"/>
      <c r="H5941" s="18"/>
      <c r="J5941" s="18"/>
      <c r="N5941" s="16"/>
      <c r="O5941" s="17"/>
      <c r="Q5941" s="22"/>
      <c r="R5941" s="23"/>
    </row>
    <row r="5942" spans="1:18" ht="12.75">
      <c r="A5942" s="22"/>
      <c r="D5942" s="19"/>
      <c r="H5942" s="18"/>
      <c r="J5942" s="18"/>
      <c r="N5942" s="16"/>
      <c r="O5942" s="17"/>
      <c r="Q5942" s="22"/>
      <c r="R5942" s="23"/>
    </row>
    <row r="5943" spans="1:18" ht="12.75">
      <c r="A5943" s="22"/>
      <c r="D5943" s="19"/>
      <c r="H5943" s="18"/>
      <c r="J5943" s="18"/>
      <c r="N5943" s="16"/>
      <c r="O5943" s="17"/>
      <c r="Q5943" s="22"/>
      <c r="R5943" s="23"/>
    </row>
    <row r="5944" spans="1:18" ht="12.75">
      <c r="A5944" s="22"/>
      <c r="D5944" s="19"/>
      <c r="H5944" s="18"/>
      <c r="J5944" s="18"/>
      <c r="N5944" s="16"/>
      <c r="O5944" s="17"/>
      <c r="Q5944" s="22"/>
      <c r="R5944" s="23"/>
    </row>
    <row r="5945" spans="1:18" ht="12.75">
      <c r="A5945" s="22"/>
      <c r="D5945" s="19"/>
      <c r="H5945" s="18"/>
      <c r="J5945" s="18"/>
      <c r="N5945" s="16"/>
      <c r="O5945" s="17"/>
      <c r="Q5945" s="22"/>
      <c r="R5945" s="23"/>
    </row>
    <row r="5946" spans="1:18" ht="12.75">
      <c r="A5946" s="22"/>
      <c r="D5946" s="19"/>
      <c r="H5946" s="18"/>
      <c r="J5946" s="18"/>
      <c r="N5946" s="16"/>
      <c r="O5946" s="17"/>
      <c r="Q5946" s="22"/>
      <c r="R5946" s="23"/>
    </row>
    <row r="5947" spans="1:18" ht="12.75">
      <c r="A5947" s="22"/>
      <c r="D5947" s="19"/>
      <c r="H5947" s="18"/>
      <c r="J5947" s="18"/>
      <c r="N5947" s="16"/>
      <c r="O5947" s="17"/>
      <c r="Q5947" s="22"/>
      <c r="R5947" s="23"/>
    </row>
    <row r="5948" spans="1:18" ht="12.75">
      <c r="A5948" s="22"/>
      <c r="D5948" s="19"/>
      <c r="H5948" s="18"/>
      <c r="J5948" s="18"/>
      <c r="N5948" s="16"/>
      <c r="O5948" s="17"/>
      <c r="Q5948" s="22"/>
      <c r="R5948" s="23"/>
    </row>
    <row r="5949" spans="1:18" ht="12.75">
      <c r="A5949" s="22"/>
      <c r="D5949" s="19"/>
      <c r="H5949" s="18"/>
      <c r="J5949" s="18"/>
      <c r="N5949" s="16"/>
      <c r="O5949" s="17"/>
      <c r="Q5949" s="22"/>
      <c r="R5949" s="23"/>
    </row>
    <row r="5950" spans="1:18" ht="12.75">
      <c r="A5950" s="22"/>
      <c r="D5950" s="19"/>
      <c r="H5950" s="18"/>
      <c r="J5950" s="18"/>
      <c r="N5950" s="16"/>
      <c r="O5950" s="17"/>
      <c r="Q5950" s="22"/>
      <c r="R5950" s="23"/>
    </row>
    <row r="5951" spans="1:18" ht="12.75">
      <c r="A5951" s="22"/>
      <c r="D5951" s="19"/>
      <c r="H5951" s="18"/>
      <c r="J5951" s="18"/>
      <c r="N5951" s="16"/>
      <c r="O5951" s="17"/>
      <c r="Q5951" s="22"/>
      <c r="R5951" s="23"/>
    </row>
    <row r="5952" spans="1:18" ht="12.75">
      <c r="A5952" s="22"/>
      <c r="D5952" s="19"/>
      <c r="H5952" s="18"/>
      <c r="J5952" s="18"/>
      <c r="N5952" s="16"/>
      <c r="O5952" s="17"/>
      <c r="Q5952" s="22"/>
      <c r="R5952" s="23"/>
    </row>
    <row r="5953" spans="1:18" ht="12.75">
      <c r="A5953" s="22"/>
      <c r="D5953" s="19"/>
      <c r="H5953" s="18"/>
      <c r="J5953" s="18"/>
      <c r="N5953" s="16"/>
      <c r="O5953" s="17"/>
      <c r="Q5953" s="22"/>
      <c r="R5953" s="23"/>
    </row>
    <row r="5954" spans="1:18" ht="12.75">
      <c r="A5954" s="22"/>
      <c r="D5954" s="19"/>
      <c r="H5954" s="18"/>
      <c r="J5954" s="18"/>
      <c r="N5954" s="16"/>
      <c r="O5954" s="17"/>
      <c r="Q5954" s="22"/>
      <c r="R5954" s="23"/>
    </row>
    <row r="5955" spans="1:18" ht="12.75">
      <c r="A5955" s="22"/>
      <c r="D5955" s="19"/>
      <c r="H5955" s="18"/>
      <c r="J5955" s="18"/>
      <c r="N5955" s="16"/>
      <c r="O5955" s="17"/>
      <c r="Q5955" s="22"/>
      <c r="R5955" s="23"/>
    </row>
    <row r="5956" spans="1:18" ht="12.75">
      <c r="A5956" s="22"/>
      <c r="D5956" s="19"/>
      <c r="H5956" s="18"/>
      <c r="J5956" s="18"/>
      <c r="N5956" s="16"/>
      <c r="O5956" s="17"/>
      <c r="Q5956" s="22"/>
      <c r="R5956" s="23"/>
    </row>
    <row r="5957" spans="1:18" ht="12.75">
      <c r="A5957" s="22"/>
      <c r="D5957" s="19"/>
      <c r="H5957" s="18"/>
      <c r="J5957" s="18"/>
      <c r="N5957" s="16"/>
      <c r="O5957" s="17"/>
      <c r="Q5957" s="22"/>
      <c r="R5957" s="23"/>
    </row>
    <row r="5958" spans="1:18" ht="12.75">
      <c r="A5958" s="22"/>
      <c r="D5958" s="19"/>
      <c r="H5958" s="18"/>
      <c r="J5958" s="18"/>
      <c r="N5958" s="16"/>
      <c r="O5958" s="17"/>
      <c r="Q5958" s="22"/>
      <c r="R5958" s="23"/>
    </row>
    <row r="5959" spans="1:18" ht="12.75">
      <c r="A5959" s="22"/>
      <c r="D5959" s="19"/>
      <c r="H5959" s="18"/>
      <c r="J5959" s="18"/>
      <c r="N5959" s="16"/>
      <c r="O5959" s="17"/>
      <c r="Q5959" s="22"/>
      <c r="R5959" s="23"/>
    </row>
    <row r="5960" spans="1:18" ht="12.75">
      <c r="A5960" s="22"/>
      <c r="D5960" s="19"/>
      <c r="H5960" s="18"/>
      <c r="J5960" s="18"/>
      <c r="N5960" s="16"/>
      <c r="O5960" s="17"/>
      <c r="Q5960" s="22"/>
      <c r="R5960" s="23"/>
    </row>
    <row r="5961" spans="1:18" ht="12.75">
      <c r="A5961" s="22"/>
      <c r="D5961" s="19"/>
      <c r="H5961" s="18"/>
      <c r="J5961" s="18"/>
      <c r="N5961" s="16"/>
      <c r="O5961" s="17"/>
      <c r="Q5961" s="22"/>
      <c r="R5961" s="23"/>
    </row>
    <row r="5962" spans="1:18" ht="12.75">
      <c r="A5962" s="22"/>
      <c r="D5962" s="19"/>
      <c r="H5962" s="18"/>
      <c r="J5962" s="18"/>
      <c r="N5962" s="16"/>
      <c r="O5962" s="17"/>
      <c r="Q5962" s="22"/>
      <c r="R5962" s="23"/>
    </row>
    <row r="5963" spans="1:18" ht="12.75">
      <c r="A5963" s="22"/>
      <c r="D5963" s="19"/>
      <c r="H5963" s="18"/>
      <c r="J5963" s="18"/>
      <c r="N5963" s="16"/>
      <c r="O5963" s="17"/>
      <c r="Q5963" s="22"/>
      <c r="R5963" s="23"/>
    </row>
    <row r="5964" spans="1:18" ht="12.75">
      <c r="A5964" s="22"/>
      <c r="D5964" s="19"/>
      <c r="H5964" s="18"/>
      <c r="J5964" s="18"/>
      <c r="N5964" s="16"/>
      <c r="O5964" s="17"/>
      <c r="Q5964" s="22"/>
      <c r="R5964" s="23"/>
    </row>
    <row r="5965" spans="1:18" ht="12.75">
      <c r="A5965" s="22"/>
      <c r="D5965" s="19"/>
      <c r="H5965" s="18"/>
      <c r="J5965" s="18"/>
      <c r="N5965" s="16"/>
      <c r="O5965" s="17"/>
      <c r="Q5965" s="22"/>
      <c r="R5965" s="23"/>
    </row>
    <row r="5966" spans="1:18" ht="12.75">
      <c r="A5966" s="22"/>
      <c r="D5966" s="19"/>
      <c r="H5966" s="18"/>
      <c r="J5966" s="18"/>
      <c r="N5966" s="16"/>
      <c r="O5966" s="17"/>
      <c r="Q5966" s="22"/>
      <c r="R5966" s="23"/>
    </row>
    <row r="5967" spans="1:18" ht="12.75">
      <c r="A5967" s="22"/>
      <c r="D5967" s="19"/>
      <c r="H5967" s="18"/>
      <c r="J5967" s="18"/>
      <c r="N5967" s="16"/>
      <c r="O5967" s="17"/>
      <c r="Q5967" s="22"/>
      <c r="R5967" s="23"/>
    </row>
    <row r="5968" spans="1:18" ht="12.75">
      <c r="A5968" s="22"/>
      <c r="D5968" s="19"/>
      <c r="H5968" s="18"/>
      <c r="J5968" s="18"/>
      <c r="N5968" s="16"/>
      <c r="O5968" s="17"/>
      <c r="Q5968" s="22"/>
      <c r="R5968" s="23"/>
    </row>
    <row r="5969" spans="1:18" ht="12.75">
      <c r="A5969" s="22"/>
      <c r="D5969" s="19"/>
      <c r="H5969" s="18"/>
      <c r="J5969" s="18"/>
      <c r="N5969" s="16"/>
      <c r="O5969" s="17"/>
      <c r="Q5969" s="22"/>
      <c r="R5969" s="23"/>
    </row>
    <row r="5970" spans="1:18" ht="12.75">
      <c r="A5970" s="22"/>
      <c r="D5970" s="19"/>
      <c r="H5970" s="18"/>
      <c r="J5970" s="18"/>
      <c r="N5970" s="16"/>
      <c r="O5970" s="17"/>
      <c r="Q5970" s="22"/>
      <c r="R5970" s="23"/>
    </row>
    <row r="5971" spans="1:18" ht="12.75">
      <c r="A5971" s="22"/>
      <c r="D5971" s="19"/>
      <c r="H5971" s="18"/>
      <c r="J5971" s="18"/>
      <c r="N5971" s="16"/>
      <c r="O5971" s="17"/>
      <c r="Q5971" s="22"/>
      <c r="R5971" s="23"/>
    </row>
    <row r="5972" spans="1:18" ht="12.75">
      <c r="A5972" s="22"/>
      <c r="D5972" s="19"/>
      <c r="H5972" s="18"/>
      <c r="J5972" s="18"/>
      <c r="N5972" s="16"/>
      <c r="O5972" s="17"/>
      <c r="Q5972" s="22"/>
      <c r="R5972" s="23"/>
    </row>
    <row r="5973" spans="1:18" ht="12.75">
      <c r="A5973" s="22"/>
      <c r="D5973" s="19"/>
      <c r="H5973" s="18"/>
      <c r="J5973" s="18"/>
      <c r="N5973" s="16"/>
      <c r="O5973" s="17"/>
      <c r="Q5973" s="22"/>
      <c r="R5973" s="23"/>
    </row>
    <row r="5974" spans="1:18" ht="12.75">
      <c r="A5974" s="22"/>
      <c r="D5974" s="19"/>
      <c r="H5974" s="18"/>
      <c r="J5974" s="18"/>
      <c r="N5974" s="16"/>
      <c r="O5974" s="17"/>
      <c r="Q5974" s="22"/>
      <c r="R5974" s="23"/>
    </row>
    <row r="5975" spans="1:18" ht="12.75">
      <c r="A5975" s="22"/>
      <c r="D5975" s="19"/>
      <c r="H5975" s="18"/>
      <c r="J5975" s="18"/>
      <c r="N5975" s="16"/>
      <c r="O5975" s="17"/>
      <c r="Q5975" s="22"/>
      <c r="R5975" s="23"/>
    </row>
  </sheetData>
  <autoFilter ref="A1:Z1130" xr:uid="{00000000-0009-0000-0000-000003000000}"/>
  <dataValidations count="2">
    <dataValidation type="list" showErrorMessage="1" sqref="A455" xr:uid="{00000000-0002-0000-0300-000004000000}">
      <formula1>"13/mar."</formula1>
    </dataValidation>
    <dataValidation type="list" showErrorMessage="1" sqref="B487:B495 B513" xr:uid="{00000000-0002-0000-0300-000008000000}">
      <formula1>"Cassio,Jheyson"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ErrorMessage="1" xr:uid="{00000000-0002-0000-0300-000000000000}">
          <x14:formula1>
            <xm:f>'Controle GEral'!$F:$F</xm:f>
          </x14:formula1>
          <xm:sqref>G2:G513</xm:sqref>
        </x14:dataValidation>
        <x14:dataValidation type="list" showErrorMessage="1" xr:uid="{00000000-0002-0000-0300-000001000000}">
          <x14:formula1>
            <xm:f>'Controle GEral'!$H:$H</xm:f>
          </x14:formula1>
          <xm:sqref>R2:R1130 R1132:R5975</xm:sqref>
        </x14:dataValidation>
        <x14:dataValidation type="list" showErrorMessage="1" xr:uid="{00000000-0002-0000-0300-000002000000}">
          <x14:formula1>
            <xm:f>'Controle GEral'!$R:$R</xm:f>
          </x14:formula1>
          <xm:sqref>I2:I513</xm:sqref>
        </x14:dataValidation>
        <x14:dataValidation type="list" showErrorMessage="1" xr:uid="{00000000-0002-0000-0300-000003000000}">
          <x14:formula1>
            <xm:f>'Controle GEral'!A:A</xm:f>
          </x14:formula1>
          <xm:sqref>A2:A454 A456:A513</xm:sqref>
        </x14:dataValidation>
        <x14:dataValidation type="list" showErrorMessage="1" xr:uid="{00000000-0002-0000-0300-000005000000}">
          <x14:formula1>
            <xm:f>'Controle GEral'!$J:$J</xm:f>
          </x14:formula1>
          <xm:sqref>K2:K513</xm:sqref>
        </x14:dataValidation>
        <x14:dataValidation type="list" showErrorMessage="1" xr:uid="{00000000-0002-0000-0300-000006000000}">
          <x14:formula1>
            <xm:f>'Controle GEral'!$K:$K</xm:f>
          </x14:formula1>
          <xm:sqref>L2:L513</xm:sqref>
        </x14:dataValidation>
        <x14:dataValidation type="list" showErrorMessage="1" xr:uid="{00000000-0002-0000-0300-000007000000}">
          <x14:formula1>
            <xm:f>'Controle GEral'!$D$2:$D$3</xm:f>
          </x14:formula1>
          <xm:sqref>E2:E513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 GEral</vt:lpstr>
      <vt:lpstr>Tela de dados</vt:lpstr>
      <vt:lpstr>Página9</vt:lpstr>
      <vt:lpstr>Cópia de Tela de 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Matheus Matheus</cp:lastModifiedBy>
  <dcterms:created xsi:type="dcterms:W3CDTF">2026-10-19T15:39:41Z</dcterms:created>
  <dcterms:modified xsi:type="dcterms:W3CDTF">2026-10-19T15:59:12Z</dcterms:modified>
</cp:coreProperties>
</file>